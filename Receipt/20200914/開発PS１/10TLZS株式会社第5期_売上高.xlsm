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352DCF5A-E22A-45C8-A114-8245EB4DC8E4}" xr6:coauthVersionLast="45" xr6:coauthVersionMax="45" xr10:uidLastSave="{00000000-0000-0000-0000-000000000000}"/>
  <bookViews>
    <workbookView xWindow="-120" yWindow="-120" windowWidth="29040" windowHeight="15840" tabRatio="780" activeTab="6" xr2:uid="{00000000-000D-0000-FFFF-FFFF00000000}"/>
  </bookViews>
  <sheets>
    <sheet name="目次" sheetId="10" r:id="rId1"/>
    <sheet name="10取引先" sheetId="60" r:id="rId2"/>
    <sheet name="20社員" sheetId="61" r:id="rId3"/>
    <sheet name="30営業" sheetId="99" r:id="rId4"/>
    <sheet name="40コスト" sheetId="78" r:id="rId5"/>
    <sheet name="▲" sheetId="62" r:id="rId6"/>
    <sheet name="202007" sheetId="98" r:id="rId7"/>
  </sheets>
  <functionGroups builtInGroupCount="19"/>
  <definedNames>
    <definedName name="_xlnm._FilterDatabase" localSheetId="6" hidden="1">'202007'!$A$2:$AE$19</definedName>
    <definedName name="_xlnm._FilterDatabase" localSheetId="4" hidden="1">'40コスト'!$B$2:$R$42</definedName>
    <definedName name="_xlnm.Print_Area" localSheetId="6">'202007'!$A$1:$AE$21</definedName>
    <definedName name="_xlnm.Print_Area" localSheetId="0">目次!$A$1:$L$25</definedName>
    <definedName name="_xlnm.Print_Titles" localSheetId="1">'10取引先'!$1:$2</definedName>
    <definedName name="_xlnm.Print_Titles" localSheetId="6">'202007'!$1:$2</definedName>
    <definedName name="営業担当">▲!$D$3:$D$14</definedName>
    <definedName name="課税_非課税">▲!$F$3:$F$14</definedName>
    <definedName name="会社名">'10取引先'!$C$3:$C$200</definedName>
    <definedName name="確認担当">▲!$C$3:$C$14</definedName>
    <definedName name="割合">▲!$G$3:$G$14</definedName>
    <definedName name="項目">▲!$H$3:$H$14</definedName>
    <definedName name="社員区分">▲!$B$3:$B$14</definedName>
    <definedName name="消費税率">▲!$E$3:$E$14</definedName>
    <definedName name="分類">▲!$I$3:$I$14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5" i="60" l="1"/>
  <c r="B197" i="61" l="1"/>
  <c r="B198" i="61"/>
  <c r="B199" i="61"/>
  <c r="B196" i="61" l="1"/>
  <c r="B134" i="60" l="1"/>
  <c r="B195" i="61" l="1"/>
  <c r="B194" i="61"/>
  <c r="B192" i="61" l="1"/>
  <c r="B193" i="61"/>
  <c r="B188" i="61" l="1"/>
  <c r="B189" i="61"/>
  <c r="B190" i="61"/>
  <c r="B191" i="61"/>
  <c r="D130" i="60" l="1"/>
  <c r="D131" i="60"/>
  <c r="D132" i="60"/>
  <c r="D133" i="60"/>
  <c r="B133" i="60" l="1"/>
  <c r="B187" i="61" l="1"/>
  <c r="E9" i="10"/>
  <c r="E8" i="10"/>
  <c r="E13" i="10"/>
  <c r="E5" i="10"/>
  <c r="E10" i="10"/>
  <c r="E6" i="10"/>
  <c r="E11" i="10"/>
  <c r="E15" i="10"/>
  <c r="E7" i="10"/>
  <c r="E12" i="10"/>
  <c r="B13" i="98" l="1"/>
  <c r="N13" i="98"/>
  <c r="P13" i="98" s="1"/>
  <c r="AC13" i="98"/>
  <c r="Q13" i="98" l="1"/>
  <c r="S13" i="98" s="1"/>
  <c r="B132" i="60" l="1"/>
  <c r="AC12" i="98" l="1"/>
  <c r="B12" i="98"/>
  <c r="B131" i="60" l="1"/>
  <c r="R1" i="98" l="1"/>
  <c r="H1" i="98"/>
  <c r="G1" i="98"/>
  <c r="F10" i="10"/>
  <c r="F15" i="10"/>
  <c r="F13" i="10"/>
  <c r="F14" i="10"/>
  <c r="F7" i="10"/>
  <c r="F4" i="10"/>
  <c r="F6" i="10"/>
  <c r="F8" i="10"/>
  <c r="F9" i="10"/>
  <c r="F11" i="10"/>
  <c r="F5" i="10"/>
  <c r="F12" i="10"/>
  <c r="F6" i="99" l="1"/>
  <c r="G6" i="99"/>
  <c r="H6" i="99"/>
  <c r="I6" i="99"/>
  <c r="J6" i="99"/>
  <c r="K6" i="99"/>
  <c r="L6" i="99"/>
  <c r="M6" i="99"/>
  <c r="N6" i="99"/>
  <c r="O6" i="99"/>
  <c r="P6" i="99"/>
  <c r="Q6" i="99"/>
  <c r="G1" i="99"/>
  <c r="H1" i="99"/>
  <c r="I1" i="99"/>
  <c r="J1" i="99"/>
  <c r="K1" i="99"/>
  <c r="L1" i="99"/>
  <c r="M1" i="99"/>
  <c r="N1" i="99"/>
  <c r="O1" i="99"/>
  <c r="P1" i="99"/>
  <c r="Q1" i="99"/>
  <c r="F1" i="99"/>
  <c r="E4" i="99"/>
  <c r="E5" i="99"/>
  <c r="F20" i="99"/>
  <c r="G20" i="99"/>
  <c r="H20" i="99"/>
  <c r="I20" i="99"/>
  <c r="J20" i="99"/>
  <c r="K20" i="99"/>
  <c r="L20" i="99"/>
  <c r="M20" i="99"/>
  <c r="N20" i="99"/>
  <c r="O20" i="99"/>
  <c r="P20" i="99"/>
  <c r="Q20" i="99"/>
  <c r="F13" i="99"/>
  <c r="G13" i="99"/>
  <c r="H13" i="99"/>
  <c r="I13" i="99"/>
  <c r="J13" i="99"/>
  <c r="K13" i="99"/>
  <c r="L13" i="99"/>
  <c r="M13" i="99"/>
  <c r="N13" i="99"/>
  <c r="O13" i="99"/>
  <c r="P13" i="99"/>
  <c r="Q13" i="99"/>
  <c r="E8" i="99"/>
  <c r="E9" i="99"/>
  <c r="E10" i="99"/>
  <c r="E11" i="99"/>
  <c r="E12" i="99"/>
  <c r="E15" i="99"/>
  <c r="E16" i="99"/>
  <c r="E17" i="99"/>
  <c r="E18" i="99"/>
  <c r="E19" i="99"/>
  <c r="E7" i="99"/>
  <c r="E14" i="99"/>
  <c r="E3" i="99"/>
  <c r="E6" i="99" l="1"/>
  <c r="E13" i="99"/>
  <c r="E1" i="99"/>
  <c r="F20" i="10" s="1"/>
  <c r="E20" i="99"/>
  <c r="AC14" i="98"/>
  <c r="AC17" i="98"/>
  <c r="AC16" i="98"/>
  <c r="AC15" i="98"/>
  <c r="AC18" i="98"/>
  <c r="AC19" i="98"/>
  <c r="AC11" i="98"/>
  <c r="AC10" i="98"/>
  <c r="AC9" i="98"/>
  <c r="AC8" i="98"/>
  <c r="AC7" i="98"/>
  <c r="AC6" i="98"/>
  <c r="AC5" i="98"/>
  <c r="AC4" i="98"/>
  <c r="AC3" i="98"/>
  <c r="I15" i="10"/>
  <c r="I11" i="10"/>
  <c r="I14" i="10"/>
  <c r="I13" i="10"/>
  <c r="I5" i="10"/>
  <c r="I8" i="10"/>
  <c r="I10" i="10"/>
  <c r="I6" i="10"/>
  <c r="I9" i="10"/>
  <c r="I4" i="10"/>
  <c r="I7" i="10"/>
  <c r="I12" i="10"/>
  <c r="I16" i="10" l="1"/>
  <c r="B18" i="98"/>
  <c r="D115" i="60" l="1"/>
  <c r="D116" i="60"/>
  <c r="D117" i="60"/>
  <c r="D118" i="60"/>
  <c r="D119" i="60"/>
  <c r="D120" i="60"/>
  <c r="D121" i="60"/>
  <c r="D122" i="60"/>
  <c r="D123" i="60"/>
  <c r="D124" i="60"/>
  <c r="D125" i="60"/>
  <c r="D126" i="60"/>
  <c r="D127" i="60"/>
  <c r="D128" i="60"/>
  <c r="D129" i="60"/>
  <c r="D65" i="60"/>
  <c r="D50" i="60"/>
  <c r="D80" i="60"/>
  <c r="B134" i="61" l="1"/>
  <c r="B186" i="61"/>
  <c r="B138" i="61"/>
  <c r="B137" i="61"/>
  <c r="N14" i="98" l="1"/>
  <c r="P14" i="98" s="1"/>
  <c r="B14" i="98"/>
  <c r="N17" i="98"/>
  <c r="P17" i="98" s="1"/>
  <c r="B17" i="98"/>
  <c r="N16" i="98"/>
  <c r="P16" i="98" s="1"/>
  <c r="B16" i="98"/>
  <c r="N15" i="98"/>
  <c r="B15" i="98"/>
  <c r="N12" i="98"/>
  <c r="N18" i="98"/>
  <c r="N19" i="98"/>
  <c r="P19" i="98" s="1"/>
  <c r="B19" i="98"/>
  <c r="N11" i="98"/>
  <c r="P11" i="98" s="1"/>
  <c r="B11" i="98"/>
  <c r="N10" i="98"/>
  <c r="B10" i="98"/>
  <c r="N9" i="98"/>
  <c r="B9" i="98"/>
  <c r="N8" i="98"/>
  <c r="P8" i="98" s="1"/>
  <c r="B8" i="98"/>
  <c r="N7" i="98"/>
  <c r="P7" i="98" s="1"/>
  <c r="B7" i="98"/>
  <c r="N6" i="98"/>
  <c r="B6" i="98"/>
  <c r="N5" i="98"/>
  <c r="B5" i="98"/>
  <c r="N4" i="98"/>
  <c r="P4" i="98" s="1"/>
  <c r="B4" i="98"/>
  <c r="N3" i="98"/>
  <c r="P3" i="98" s="1"/>
  <c r="B3" i="98"/>
  <c r="P12" i="98" l="1"/>
  <c r="Q12" i="98" s="1"/>
  <c r="S12" i="98" s="1"/>
  <c r="P5" i="98"/>
  <c r="P9" i="98"/>
  <c r="Q9" i="98" s="1"/>
  <c r="S9" i="98" s="1"/>
  <c r="P6" i="98"/>
  <c r="Q6" i="98" s="1"/>
  <c r="S6" i="98" s="1"/>
  <c r="P10" i="98"/>
  <c r="Q10" i="98" s="1"/>
  <c r="S10" i="98" s="1"/>
  <c r="P18" i="98"/>
  <c r="Q18" i="98" s="1"/>
  <c r="S18" i="98" s="1"/>
  <c r="P15" i="98"/>
  <c r="Q15" i="98" s="1"/>
  <c r="S15" i="98" s="1"/>
  <c r="N1" i="98"/>
  <c r="Q4" i="98"/>
  <c r="S4" i="98" s="1"/>
  <c r="Q8" i="98"/>
  <c r="S8" i="98" s="1"/>
  <c r="Q19" i="98"/>
  <c r="S19" i="98" s="1"/>
  <c r="Q17" i="98"/>
  <c r="S17" i="98" s="1"/>
  <c r="Q14" i="98"/>
  <c r="S14" i="98" s="1"/>
  <c r="Q7" i="98"/>
  <c r="S7" i="98" s="1"/>
  <c r="Q11" i="98"/>
  <c r="S11" i="98" s="1"/>
  <c r="Q16" i="98"/>
  <c r="S16" i="98" s="1"/>
  <c r="D15" i="10"/>
  <c r="P1" i="98" l="1"/>
  <c r="Q5" i="98"/>
  <c r="S5" i="98" s="1"/>
  <c r="Q3" i="98"/>
  <c r="S3" i="98" s="1"/>
  <c r="E4" i="10"/>
  <c r="S1" i="98" l="1"/>
  <c r="Q1" i="98"/>
  <c r="J15" i="10"/>
  <c r="G15" i="10"/>
  <c r="B80" i="60" l="1"/>
  <c r="B50" i="60" l="1"/>
  <c r="B114" i="61" l="1"/>
  <c r="B65" i="60" l="1"/>
  <c r="E177" i="61" l="1"/>
  <c r="E178" i="61"/>
  <c r="E179" i="61"/>
  <c r="E180" i="61"/>
  <c r="E181" i="61"/>
  <c r="E182" i="61"/>
  <c r="E135" i="61"/>
  <c r="E132" i="61"/>
  <c r="E183" i="61"/>
  <c r="E76" i="61"/>
  <c r="E126" i="61"/>
  <c r="E130" i="61"/>
  <c r="E184" i="61"/>
  <c r="E139" i="61"/>
  <c r="E99" i="61"/>
  <c r="E105" i="61"/>
  <c r="E124" i="61"/>
  <c r="E101" i="61"/>
  <c r="E104" i="61"/>
  <c r="E119" i="61"/>
  <c r="E120" i="61"/>
  <c r="E185" i="61"/>
  <c r="E96" i="61"/>
  <c r="E114" i="61"/>
  <c r="E134" i="61"/>
  <c r="E186" i="61"/>
  <c r="E138" i="61"/>
  <c r="E137" i="61"/>
  <c r="E187" i="61"/>
  <c r="E188" i="61"/>
  <c r="E189" i="61"/>
  <c r="E190" i="61"/>
  <c r="E191" i="61"/>
  <c r="E192" i="61"/>
  <c r="E193" i="61"/>
  <c r="E194" i="61"/>
  <c r="E195" i="61"/>
  <c r="E196" i="61"/>
  <c r="E197" i="61"/>
  <c r="E198" i="61"/>
  <c r="E199" i="61"/>
  <c r="E200" i="61"/>
  <c r="E201" i="61"/>
  <c r="E202" i="61"/>
  <c r="E203" i="61"/>
  <c r="E204" i="61"/>
  <c r="E205" i="61"/>
  <c r="E206" i="61"/>
  <c r="E207" i="61"/>
  <c r="E208" i="61"/>
  <c r="E209" i="61"/>
  <c r="E210" i="61"/>
  <c r="E211" i="61"/>
  <c r="E212" i="61"/>
  <c r="E213" i="61"/>
  <c r="E214" i="61"/>
  <c r="E215" i="61"/>
  <c r="E216" i="61"/>
  <c r="E217" i="61"/>
  <c r="E218" i="61"/>
  <c r="E219" i="61"/>
  <c r="D37" i="60" l="1"/>
  <c r="D33" i="60"/>
  <c r="D72" i="60"/>
  <c r="D55" i="60"/>
  <c r="D40" i="60"/>
  <c r="D77" i="60"/>
  <c r="D59" i="60"/>
  <c r="D62" i="60"/>
  <c r="D76" i="60"/>
  <c r="D69" i="60"/>
  <c r="D74" i="60"/>
  <c r="D15" i="60"/>
  <c r="D79" i="60"/>
  <c r="D14" i="10"/>
  <c r="E14" i="10"/>
  <c r="B79" i="60" l="1"/>
  <c r="J14" i="10"/>
  <c r="G14" i="10"/>
  <c r="B15" i="60" l="1"/>
  <c r="B74" i="60" l="1"/>
  <c r="B69" i="60" l="1"/>
  <c r="B62" i="60" l="1"/>
  <c r="B76" i="60"/>
  <c r="B77" i="60" l="1"/>
  <c r="B130" i="60"/>
  <c r="B59" i="60"/>
  <c r="D13" i="10"/>
  <c r="B40" i="60" l="1"/>
  <c r="J13" i="10"/>
  <c r="G13" i="10"/>
  <c r="B185" i="61" l="1"/>
  <c r="B96" i="61"/>
  <c r="B183" i="61"/>
  <c r="B76" i="61"/>
  <c r="B126" i="61"/>
  <c r="B130" i="61"/>
  <c r="B184" i="61"/>
  <c r="B139" i="61"/>
  <c r="B99" i="61"/>
  <c r="B105" i="61"/>
  <c r="B124" i="61"/>
  <c r="B101" i="61"/>
  <c r="B104" i="61"/>
  <c r="B119" i="61"/>
  <c r="B120" i="61"/>
  <c r="H5" i="10"/>
  <c r="H6" i="10"/>
  <c r="H12" i="10"/>
  <c r="H4" i="10"/>
  <c r="H11" i="10"/>
  <c r="H9" i="10"/>
  <c r="H13" i="10"/>
  <c r="H14" i="10"/>
  <c r="H8" i="10"/>
  <c r="H7" i="10"/>
  <c r="H10" i="10"/>
  <c r="H15" i="10"/>
  <c r="H16" i="10" l="1"/>
  <c r="G12" i="10"/>
  <c r="J12" i="10"/>
  <c r="D12" i="10"/>
  <c r="E113" i="61" l="1"/>
  <c r="E144" i="61"/>
  <c r="E103" i="61"/>
  <c r="E122" i="61"/>
  <c r="E98" i="61"/>
  <c r="E93" i="61"/>
  <c r="E77" i="61"/>
  <c r="E81" i="61"/>
  <c r="E146" i="61"/>
  <c r="E83" i="61"/>
  <c r="E78" i="61"/>
  <c r="E70" i="61"/>
  <c r="B113" i="61"/>
  <c r="B144" i="61"/>
  <c r="B103" i="61"/>
  <c r="B122" i="61"/>
  <c r="B98" i="61"/>
  <c r="B93" i="61"/>
  <c r="B77" i="61"/>
  <c r="B81" i="61"/>
  <c r="B146" i="61"/>
  <c r="B83" i="61"/>
  <c r="B78" i="61"/>
  <c r="B70" i="61"/>
  <c r="B135" i="61"/>
  <c r="B132" i="61"/>
  <c r="B37" i="60" l="1"/>
  <c r="B33" i="60"/>
  <c r="B72" i="60"/>
  <c r="B55" i="60"/>
  <c r="D25" i="60" l="1"/>
  <c r="D67" i="60"/>
  <c r="D32" i="60"/>
  <c r="B32" i="60"/>
  <c r="Q7" i="78"/>
  <c r="Q8" i="78" s="1"/>
  <c r="Q9" i="78" s="1"/>
  <c r="P7" i="78"/>
  <c r="P8" i="78" s="1"/>
  <c r="P9" i="78" s="1"/>
  <c r="O7" i="78"/>
  <c r="O8" i="78" s="1"/>
  <c r="O9" i="78" s="1"/>
  <c r="N7" i="78"/>
  <c r="N8" i="78" s="1"/>
  <c r="N9" i="78" s="1"/>
  <c r="M7" i="78"/>
  <c r="M8" i="78" s="1"/>
  <c r="M9" i="78" s="1"/>
  <c r="L7" i="78"/>
  <c r="L8" i="78" s="1"/>
  <c r="L9" i="78" s="1"/>
  <c r="K7" i="78"/>
  <c r="K8" i="78" s="1"/>
  <c r="K9" i="78" s="1"/>
  <c r="J7" i="78"/>
  <c r="J8" i="78" s="1"/>
  <c r="J9" i="78" s="1"/>
  <c r="I7" i="78"/>
  <c r="I8" i="78" s="1"/>
  <c r="I9" i="78" s="1"/>
  <c r="H7" i="78"/>
  <c r="H8" i="78" s="1"/>
  <c r="H9" i="78" s="1"/>
  <c r="G7" i="78"/>
  <c r="G8" i="78" s="1"/>
  <c r="G9" i="78" s="1"/>
  <c r="F7" i="78"/>
  <c r="F8" i="78" s="1"/>
  <c r="E6" i="78"/>
  <c r="E5" i="78"/>
  <c r="E4" i="78"/>
  <c r="E3" i="78"/>
  <c r="F9" i="78" l="1"/>
  <c r="E9" i="78" s="1"/>
  <c r="E8" i="78"/>
  <c r="E7" i="78"/>
  <c r="D63" i="60" l="1"/>
  <c r="D41" i="60"/>
  <c r="D22" i="60"/>
  <c r="D45" i="60"/>
  <c r="G11" i="10"/>
  <c r="D11" i="10"/>
  <c r="J11" i="10"/>
  <c r="D61" i="60" l="1"/>
  <c r="D73" i="60"/>
  <c r="B129" i="60" l="1"/>
  <c r="B61" i="60"/>
  <c r="B73" i="60"/>
  <c r="B63" i="60"/>
  <c r="B41" i="60"/>
  <c r="B22" i="60"/>
  <c r="B45" i="60"/>
  <c r="B25" i="60"/>
  <c r="B67" i="60"/>
  <c r="B28" i="60"/>
  <c r="D28" i="60"/>
  <c r="D66" i="60"/>
  <c r="B66" i="60"/>
  <c r="J10" i="10"/>
  <c r="D10" i="10"/>
  <c r="G10" i="10"/>
  <c r="B63" i="61" l="1"/>
  <c r="E63" i="61"/>
  <c r="J9" i="10"/>
  <c r="G6" i="10"/>
  <c r="G7" i="10"/>
  <c r="G8" i="10"/>
  <c r="D7" i="10"/>
  <c r="J6" i="10"/>
  <c r="D9" i="10"/>
  <c r="D8" i="10"/>
  <c r="D5" i="10"/>
  <c r="D6" i="10"/>
  <c r="J8" i="10"/>
  <c r="G9" i="10"/>
  <c r="J7" i="10"/>
  <c r="Q39" i="78" l="1"/>
  <c r="P39" i="78"/>
  <c r="O39" i="78"/>
  <c r="N39" i="78"/>
  <c r="M39" i="78"/>
  <c r="L39" i="78"/>
  <c r="K39" i="78"/>
  <c r="J39" i="78"/>
  <c r="I39" i="78"/>
  <c r="H39" i="78"/>
  <c r="G39" i="78"/>
  <c r="F39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Q23" i="78"/>
  <c r="P23" i="78"/>
  <c r="O23" i="78"/>
  <c r="N23" i="78"/>
  <c r="M23" i="78"/>
  <c r="L23" i="78"/>
  <c r="K23" i="78"/>
  <c r="J23" i="78"/>
  <c r="I23" i="78"/>
  <c r="H23" i="78"/>
  <c r="G23" i="78"/>
  <c r="F23" i="78"/>
  <c r="Q15" i="78"/>
  <c r="G15" i="78"/>
  <c r="H15" i="78"/>
  <c r="I15" i="78"/>
  <c r="J15" i="78"/>
  <c r="K15" i="78"/>
  <c r="L15" i="78"/>
  <c r="M15" i="78"/>
  <c r="N15" i="78"/>
  <c r="O15" i="78"/>
  <c r="P15" i="78"/>
  <c r="F15" i="78"/>
  <c r="G5" i="10"/>
  <c r="F16" i="78" l="1"/>
  <c r="Q16" i="78"/>
  <c r="P16" i="78"/>
  <c r="O16" i="78"/>
  <c r="N16" i="78"/>
  <c r="M16" i="78"/>
  <c r="L16" i="78"/>
  <c r="K16" i="78"/>
  <c r="J16" i="78"/>
  <c r="I16" i="78"/>
  <c r="H16" i="78"/>
  <c r="G16" i="78"/>
  <c r="J5" i="10"/>
  <c r="Q40" i="78" l="1"/>
  <c r="Q41" i="78" s="1"/>
  <c r="P40" i="78"/>
  <c r="P41" i="78" s="1"/>
  <c r="O40" i="78"/>
  <c r="O41" i="78" s="1"/>
  <c r="N40" i="78"/>
  <c r="N41" i="78" s="1"/>
  <c r="M40" i="78"/>
  <c r="M41" i="78" s="1"/>
  <c r="L40" i="78"/>
  <c r="L41" i="78" s="1"/>
  <c r="K40" i="78"/>
  <c r="K41" i="78" s="1"/>
  <c r="J40" i="78"/>
  <c r="J41" i="78" s="1"/>
  <c r="I40" i="78"/>
  <c r="I41" i="78" s="1"/>
  <c r="H40" i="78"/>
  <c r="H41" i="78" s="1"/>
  <c r="G40" i="78"/>
  <c r="G41" i="78" s="1"/>
  <c r="F40" i="78"/>
  <c r="F41" i="78" s="1"/>
  <c r="E39" i="78"/>
  <c r="E38" i="78"/>
  <c r="E37" i="78"/>
  <c r="E36" i="78"/>
  <c r="E35" i="78"/>
  <c r="Q32" i="78"/>
  <c r="Q33" i="78" s="1"/>
  <c r="P32" i="78"/>
  <c r="P33" i="78" s="1"/>
  <c r="O32" i="78"/>
  <c r="O33" i="78" s="1"/>
  <c r="N32" i="78"/>
  <c r="N33" i="78" s="1"/>
  <c r="M32" i="78"/>
  <c r="M33" i="78" s="1"/>
  <c r="L32" i="78"/>
  <c r="L33" i="78" s="1"/>
  <c r="K32" i="78"/>
  <c r="K33" i="78" s="1"/>
  <c r="J32" i="78"/>
  <c r="J33" i="78" s="1"/>
  <c r="I32" i="78"/>
  <c r="I33" i="78" s="1"/>
  <c r="H32" i="78"/>
  <c r="H33" i="78" s="1"/>
  <c r="G32" i="78"/>
  <c r="G33" i="78" s="1"/>
  <c r="F32" i="78"/>
  <c r="F33" i="78" s="1"/>
  <c r="E31" i="78"/>
  <c r="E30" i="78"/>
  <c r="E29" i="78"/>
  <c r="E28" i="78"/>
  <c r="E27" i="78"/>
  <c r="Q24" i="78"/>
  <c r="Q25" i="78" s="1"/>
  <c r="P24" i="78"/>
  <c r="O24" i="78"/>
  <c r="O25" i="78" s="1"/>
  <c r="N24" i="78"/>
  <c r="N25" i="78" s="1"/>
  <c r="M24" i="78"/>
  <c r="M25" i="78" s="1"/>
  <c r="L24" i="78"/>
  <c r="K24" i="78"/>
  <c r="K25" i="78" s="1"/>
  <c r="J24" i="78"/>
  <c r="J25" i="78" s="1"/>
  <c r="I24" i="78"/>
  <c r="I25" i="78" s="1"/>
  <c r="H24" i="78"/>
  <c r="H25" i="78" s="1"/>
  <c r="G24" i="78"/>
  <c r="G25" i="78" s="1"/>
  <c r="F24" i="78"/>
  <c r="F25" i="78" s="1"/>
  <c r="E23" i="78"/>
  <c r="E22" i="78"/>
  <c r="E21" i="78"/>
  <c r="E20" i="78"/>
  <c r="E19" i="78"/>
  <c r="G17" i="78"/>
  <c r="H17" i="78"/>
  <c r="I17" i="78"/>
  <c r="J17" i="78"/>
  <c r="K17" i="78"/>
  <c r="L17" i="78"/>
  <c r="M17" i="78"/>
  <c r="N17" i="78"/>
  <c r="O17" i="78"/>
  <c r="P17" i="78"/>
  <c r="Q17" i="78"/>
  <c r="E12" i="78"/>
  <c r="E13" i="78"/>
  <c r="E14" i="78"/>
  <c r="E15" i="78"/>
  <c r="E11" i="78"/>
  <c r="E16" i="78" l="1"/>
  <c r="F17" i="78"/>
  <c r="E17" i="78" s="1"/>
  <c r="E33" i="78"/>
  <c r="E41" i="78"/>
  <c r="E40" i="78"/>
  <c r="E32" i="78"/>
  <c r="E24" i="78"/>
  <c r="L25" i="78"/>
  <c r="P25" i="78"/>
  <c r="E25" i="78" l="1"/>
  <c r="D4" i="10"/>
  <c r="D16" i="10" l="1"/>
  <c r="G4" i="10"/>
  <c r="J4" i="10"/>
  <c r="Q1" i="61" l="1"/>
  <c r="P1" i="61"/>
  <c r="O1" i="61"/>
  <c r="N1" i="61"/>
  <c r="M1" i="61"/>
  <c r="L1" i="61"/>
  <c r="K1" i="61"/>
  <c r="J1" i="61"/>
  <c r="I1" i="61"/>
  <c r="H1" i="61"/>
  <c r="G1" i="61"/>
  <c r="F1" i="61"/>
  <c r="E1" i="61" l="1"/>
  <c r="F19" i="10" s="1"/>
  <c r="E38" i="61"/>
  <c r="B38" i="61"/>
  <c r="E95" i="61"/>
  <c r="B87" i="61"/>
  <c r="B157" i="61"/>
  <c r="B164" i="61"/>
  <c r="B131" i="61"/>
  <c r="E1" i="60"/>
  <c r="F1" i="60"/>
  <c r="G1" i="60"/>
  <c r="H1" i="60"/>
  <c r="I1" i="60"/>
  <c r="J1" i="60"/>
  <c r="K1" i="60"/>
  <c r="L1" i="60"/>
  <c r="M1" i="60"/>
  <c r="N1" i="60"/>
  <c r="O1" i="60"/>
  <c r="P1" i="60"/>
  <c r="D1" i="60" l="1"/>
  <c r="F18" i="10" s="1"/>
  <c r="B149" i="61"/>
  <c r="E149" i="61"/>
  <c r="B145" i="61"/>
  <c r="E145" i="61"/>
  <c r="B79" i="61"/>
  <c r="E79" i="61"/>
  <c r="B68" i="61"/>
  <c r="E68" i="61"/>
  <c r="B148" i="61"/>
  <c r="E148" i="61"/>
  <c r="B73" i="61"/>
  <c r="E73" i="61"/>
  <c r="B128" i="61"/>
  <c r="E128" i="61"/>
  <c r="B58" i="61"/>
  <c r="E58" i="61"/>
  <c r="B47" i="61"/>
  <c r="E47" i="61"/>
  <c r="B141" i="61"/>
  <c r="E141" i="61"/>
  <c r="B121" i="61"/>
  <c r="E121" i="61"/>
  <c r="B86" i="61"/>
  <c r="E86" i="61"/>
  <c r="B182" i="61"/>
  <c r="B57" i="61"/>
  <c r="B31" i="61"/>
  <c r="B112" i="61"/>
  <c r="B80" i="61"/>
  <c r="B18" i="61"/>
  <c r="B108" i="61"/>
  <c r="B75" i="61"/>
  <c r="B91" i="61"/>
  <c r="B115" i="61"/>
  <c r="B72" i="61"/>
  <c r="B136" i="61"/>
  <c r="B111" i="61"/>
  <c r="B100" i="61"/>
  <c r="B106" i="61"/>
  <c r="B109" i="61"/>
  <c r="B37" i="61"/>
  <c r="B48" i="61"/>
  <c r="B117" i="61"/>
  <c r="B29" i="61"/>
  <c r="B61" i="61"/>
  <c r="B92" i="61"/>
  <c r="B36" i="61"/>
  <c r="B123" i="61"/>
  <c r="B110" i="61"/>
  <c r="B24" i="61"/>
  <c r="B40" i="61"/>
  <c r="B62" i="61"/>
  <c r="B32" i="61"/>
  <c r="B35" i="61"/>
  <c r="B88" i="61"/>
  <c r="B90" i="61"/>
  <c r="B50" i="61"/>
  <c r="B53" i="61"/>
  <c r="B49" i="61"/>
  <c r="E4" i="61"/>
  <c r="E10" i="61"/>
  <c r="E3" i="61"/>
  <c r="E59" i="61"/>
  <c r="E9" i="61"/>
  <c r="E7" i="61"/>
  <c r="E5" i="61"/>
  <c r="E17" i="61"/>
  <c r="E51" i="61"/>
  <c r="E43" i="61"/>
  <c r="E162" i="61"/>
  <c r="E21" i="61"/>
  <c r="E64" i="61"/>
  <c r="E44" i="61"/>
  <c r="E8" i="61"/>
  <c r="E16" i="61"/>
  <c r="E11" i="61"/>
  <c r="E22" i="61"/>
  <c r="E30" i="61"/>
  <c r="E125" i="61"/>
  <c r="E69" i="61"/>
  <c r="E55" i="61"/>
  <c r="E161" i="61"/>
  <c r="E26" i="61"/>
  <c r="E82" i="61"/>
  <c r="E89" i="61"/>
  <c r="E174" i="61"/>
  <c r="E25" i="61"/>
  <c r="E34" i="61"/>
  <c r="E67" i="61"/>
  <c r="E46" i="61"/>
  <c r="E39" i="61"/>
  <c r="E143" i="61"/>
  <c r="E13" i="61"/>
  <c r="E85" i="61"/>
  <c r="E12" i="61"/>
  <c r="E6" i="61"/>
  <c r="E14" i="61"/>
  <c r="E140" i="61"/>
  <c r="E54" i="61"/>
  <c r="E65" i="61"/>
  <c r="E33" i="61"/>
  <c r="E107" i="61"/>
  <c r="E20" i="61"/>
  <c r="E133" i="61"/>
  <c r="E41" i="61"/>
  <c r="E60" i="61"/>
  <c r="E52" i="61"/>
  <c r="E127" i="61"/>
  <c r="E147" i="61"/>
  <c r="E175" i="61"/>
  <c r="E74" i="61"/>
  <c r="E42" i="61"/>
  <c r="E27" i="61"/>
  <c r="E176" i="61"/>
  <c r="E102" i="61"/>
  <c r="E94" i="61"/>
  <c r="E28" i="61"/>
  <c r="E87" i="61"/>
  <c r="E157" i="61"/>
  <c r="E164" i="61"/>
  <c r="E131" i="61"/>
  <c r="E23" i="61"/>
  <c r="E45" i="61"/>
  <c r="E97" i="61"/>
  <c r="E116" i="61"/>
  <c r="E118" i="61"/>
  <c r="E142" i="61"/>
  <c r="E129" i="61"/>
  <c r="E66" i="61"/>
  <c r="E71" i="61"/>
  <c r="E56" i="61"/>
  <c r="E84" i="61"/>
  <c r="E19" i="61"/>
  <c r="E15" i="61"/>
  <c r="E150" i="61"/>
  <c r="E153" i="61"/>
  <c r="E170" i="61"/>
  <c r="E169" i="61"/>
  <c r="E151" i="61"/>
  <c r="E154" i="61"/>
  <c r="E163" i="61"/>
  <c r="E159" i="61"/>
  <c r="E155" i="61"/>
  <c r="E152" i="61"/>
  <c r="E172" i="61"/>
  <c r="E167" i="61"/>
  <c r="E165" i="61"/>
  <c r="E158" i="61"/>
  <c r="E168" i="61"/>
  <c r="E166" i="61"/>
  <c r="E156" i="61"/>
  <c r="E171" i="61"/>
  <c r="E160" i="61"/>
  <c r="E173" i="61"/>
  <c r="E57" i="61"/>
  <c r="E31" i="61"/>
  <c r="E112" i="61"/>
  <c r="E80" i="61"/>
  <c r="E18" i="61"/>
  <c r="E108" i="61"/>
  <c r="E75" i="61"/>
  <c r="E91" i="61"/>
  <c r="E115" i="61"/>
  <c r="E72" i="61"/>
  <c r="E136" i="61"/>
  <c r="E111" i="61"/>
  <c r="E100" i="61"/>
  <c r="E106" i="61"/>
  <c r="E109" i="61"/>
  <c r="E37" i="61"/>
  <c r="E48" i="61"/>
  <c r="E117" i="61"/>
  <c r="E29" i="61"/>
  <c r="E61" i="61"/>
  <c r="E92" i="61"/>
  <c r="E36" i="61"/>
  <c r="E123" i="61"/>
  <c r="E110" i="61"/>
  <c r="E24" i="61"/>
  <c r="E40" i="61"/>
  <c r="E62" i="61"/>
  <c r="E32" i="61"/>
  <c r="E35" i="61"/>
  <c r="E88" i="61"/>
  <c r="E90" i="61"/>
  <c r="E50" i="61"/>
  <c r="E53" i="61"/>
  <c r="E49" i="61"/>
  <c r="D51" i="60" l="1"/>
  <c r="D48" i="60"/>
  <c r="D27" i="60"/>
  <c r="D112" i="60"/>
  <c r="D81" i="60"/>
  <c r="D113" i="60"/>
  <c r="D114" i="60"/>
  <c r="D14" i="60"/>
  <c r="D13" i="60"/>
  <c r="D6" i="60"/>
  <c r="D18" i="60"/>
  <c r="D3" i="60"/>
  <c r="D19" i="60"/>
  <c r="D44" i="60"/>
  <c r="D109" i="60"/>
  <c r="D101" i="60"/>
  <c r="D83" i="60"/>
  <c r="D99" i="60"/>
  <c r="D105" i="60"/>
  <c r="D34" i="60"/>
  <c r="D23" i="60"/>
  <c r="D86" i="60"/>
  <c r="D88" i="60"/>
  <c r="D16" i="60"/>
  <c r="D102" i="60"/>
  <c r="D60" i="60"/>
  <c r="D56" i="60"/>
  <c r="D12" i="60"/>
  <c r="D4" i="60"/>
  <c r="D97" i="60"/>
  <c r="D85" i="60"/>
  <c r="D107" i="60"/>
  <c r="D104" i="60"/>
  <c r="D89" i="60"/>
  <c r="D94" i="60"/>
  <c r="D24" i="60"/>
  <c r="D29" i="60"/>
  <c r="D21" i="60"/>
  <c r="D100" i="60"/>
  <c r="D53" i="60"/>
  <c r="D43" i="60"/>
  <c r="D106" i="60"/>
  <c r="D64" i="60"/>
  <c r="D31" i="60"/>
  <c r="D57" i="60"/>
  <c r="D93" i="60"/>
  <c r="D90" i="60"/>
  <c r="D103" i="60"/>
  <c r="D82" i="60"/>
  <c r="D95" i="60"/>
  <c r="D91" i="60"/>
  <c r="D98" i="60"/>
  <c r="D92" i="60"/>
  <c r="D36" i="60"/>
  <c r="D96" i="60"/>
  <c r="D87" i="60"/>
  <c r="D70" i="60"/>
  <c r="D108" i="60"/>
  <c r="D110" i="60"/>
  <c r="D20" i="60"/>
  <c r="D71" i="60"/>
  <c r="D42" i="60"/>
  <c r="D30" i="60"/>
  <c r="D26" i="60"/>
  <c r="D84" i="60"/>
  <c r="D49" i="60"/>
  <c r="D5" i="60"/>
  <c r="D7" i="60"/>
  <c r="D9" i="60"/>
  <c r="D54" i="60"/>
  <c r="D39" i="60"/>
  <c r="D78" i="60"/>
  <c r="D11" i="60"/>
  <c r="D10" i="60"/>
  <c r="D35" i="60"/>
  <c r="D52" i="60"/>
  <c r="D8" i="60"/>
  <c r="D17" i="60"/>
  <c r="D47" i="60"/>
  <c r="D58" i="60"/>
  <c r="D38" i="60"/>
  <c r="D68" i="60"/>
  <c r="D75" i="60"/>
  <c r="D46" i="60"/>
  <c r="D111" i="60"/>
  <c r="B66" i="61" l="1"/>
  <c r="B173" i="61"/>
  <c r="B129" i="61"/>
  <c r="B142" i="61"/>
  <c r="B150" i="61"/>
  <c r="B153" i="61"/>
  <c r="B180" i="61"/>
  <c r="B170" i="61"/>
  <c r="B169" i="61"/>
  <c r="B151" i="61"/>
  <c r="B154" i="61"/>
  <c r="B163" i="61"/>
  <c r="B159" i="61"/>
  <c r="B155" i="61"/>
  <c r="B152" i="61"/>
  <c r="B172" i="61"/>
  <c r="B167" i="61"/>
  <c r="B165" i="61"/>
  <c r="B158" i="61"/>
  <c r="B168" i="61"/>
  <c r="B166" i="61"/>
  <c r="B181" i="61"/>
  <c r="B156" i="61"/>
  <c r="B171" i="61"/>
  <c r="B160" i="61"/>
  <c r="B15" i="61"/>
  <c r="B19" i="61"/>
  <c r="B8" i="61"/>
  <c r="B16" i="61"/>
  <c r="B11" i="61"/>
  <c r="B22" i="61"/>
  <c r="B30" i="61"/>
  <c r="B125" i="61"/>
  <c r="B69" i="61"/>
  <c r="B55" i="61"/>
  <c r="B161" i="61"/>
  <c r="B26" i="61"/>
  <c r="B82" i="61"/>
  <c r="B89" i="61"/>
  <c r="B174" i="61"/>
  <c r="B25" i="61"/>
  <c r="B34" i="61"/>
  <c r="B67" i="61"/>
  <c r="B46" i="61"/>
  <c r="B39" i="61"/>
  <c r="B143" i="61"/>
  <c r="B13" i="61"/>
  <c r="B85" i="61"/>
  <c r="B12" i="61"/>
  <c r="B6" i="61"/>
  <c r="B14" i="61"/>
  <c r="B140" i="61"/>
  <c r="B54" i="61"/>
  <c r="B65" i="61"/>
  <c r="B33" i="61"/>
  <c r="B107" i="61"/>
  <c r="B20" i="61"/>
  <c r="B133" i="61"/>
  <c r="B41" i="61"/>
  <c r="B60" i="61"/>
  <c r="B52" i="61"/>
  <c r="B127" i="61"/>
  <c r="B147" i="61"/>
  <c r="B175" i="61"/>
  <c r="B74" i="61"/>
  <c r="B42" i="61"/>
  <c r="B27" i="61"/>
  <c r="B176" i="61"/>
  <c r="B102" i="61"/>
  <c r="B94" i="61"/>
  <c r="B28" i="61"/>
  <c r="B177" i="61"/>
  <c r="B178" i="61"/>
  <c r="B23" i="61"/>
  <c r="B45" i="61"/>
  <c r="B97" i="61"/>
  <c r="B116" i="61"/>
  <c r="B118" i="61"/>
  <c r="B71" i="61"/>
  <c r="B56" i="61"/>
  <c r="B179" i="61"/>
  <c r="B84" i="61"/>
  <c r="B44" i="61"/>
  <c r="B64" i="61"/>
  <c r="B21" i="61"/>
  <c r="B162" i="61"/>
  <c r="B43" i="61"/>
  <c r="B51" i="61"/>
  <c r="B17" i="61"/>
  <c r="B5" i="61"/>
  <c r="B7" i="61"/>
  <c r="B9" i="61"/>
  <c r="B59" i="61"/>
  <c r="B3" i="61"/>
  <c r="B10" i="61"/>
  <c r="B4" i="61"/>
  <c r="B95" i="61"/>
  <c r="B75" i="60"/>
  <c r="B46" i="60"/>
  <c r="B51" i="60"/>
  <c r="B48" i="60"/>
  <c r="B27" i="60"/>
  <c r="B112" i="60"/>
  <c r="B81" i="60"/>
  <c r="B113" i="60"/>
  <c r="B114" i="60"/>
  <c r="B14" i="60"/>
  <c r="B115" i="60"/>
  <c r="B116" i="60"/>
  <c r="B13" i="60"/>
  <c r="B6" i="60"/>
  <c r="B18" i="60"/>
  <c r="B117" i="60"/>
  <c r="B3" i="60"/>
  <c r="B118" i="60"/>
  <c r="B119" i="60"/>
  <c r="B19" i="60"/>
  <c r="B44" i="60"/>
  <c r="B109" i="60"/>
  <c r="B101" i="60"/>
  <c r="B83" i="60"/>
  <c r="B99" i="60"/>
  <c r="B105" i="60"/>
  <c r="B34" i="60"/>
  <c r="B23" i="60"/>
  <c r="B120" i="60"/>
  <c r="B86" i="60"/>
  <c r="B88" i="60"/>
  <c r="B121" i="60"/>
  <c r="B16" i="60"/>
  <c r="B102" i="60"/>
  <c r="B60" i="60"/>
  <c r="B56" i="60"/>
  <c r="B12" i="60"/>
  <c r="B4" i="60"/>
  <c r="B122" i="60"/>
  <c r="B123" i="60"/>
  <c r="B97" i="60"/>
  <c r="B85" i="60"/>
  <c r="B107" i="60"/>
  <c r="B104" i="60"/>
  <c r="B89" i="60"/>
  <c r="B94" i="60"/>
  <c r="B24" i="60"/>
  <c r="B29" i="60"/>
  <c r="B21" i="60"/>
  <c r="B100" i="60"/>
  <c r="B53" i="60"/>
  <c r="B43" i="60"/>
  <c r="B106" i="60"/>
  <c r="B64" i="60"/>
  <c r="B31" i="60"/>
  <c r="B57" i="60"/>
  <c r="B93" i="60"/>
  <c r="B124" i="60"/>
  <c r="B90" i="60"/>
  <c r="B125" i="60"/>
  <c r="B103" i="60"/>
  <c r="B126" i="60"/>
  <c r="B127" i="60"/>
  <c r="B128" i="60"/>
  <c r="B82" i="60"/>
  <c r="B95" i="60"/>
  <c r="B91" i="60"/>
  <c r="B98" i="60"/>
  <c r="B92" i="60"/>
  <c r="B36" i="60"/>
  <c r="B96" i="60"/>
  <c r="B87" i="60"/>
  <c r="B70" i="60"/>
  <c r="B108" i="60"/>
  <c r="B110" i="60"/>
  <c r="B20" i="60"/>
  <c r="B71" i="60"/>
  <c r="B42" i="60"/>
  <c r="B30" i="60"/>
  <c r="B26" i="60"/>
  <c r="B84" i="60"/>
  <c r="B49" i="60"/>
  <c r="B5" i="60"/>
  <c r="B7" i="60"/>
  <c r="B9" i="60"/>
  <c r="B54" i="60"/>
  <c r="B39" i="60"/>
  <c r="B78" i="60"/>
  <c r="B11" i="60"/>
  <c r="B10" i="60"/>
  <c r="B35" i="60"/>
  <c r="B52" i="60"/>
  <c r="B8" i="60"/>
  <c r="B17" i="60"/>
  <c r="B47" i="60"/>
  <c r="B58" i="60"/>
  <c r="B38" i="60"/>
  <c r="B68" i="60"/>
  <c r="B111" i="60"/>
  <c r="E16" i="10" l="1"/>
  <c r="F16" i="10" l="1"/>
  <c r="J16" i="10"/>
  <c r="G19" i="10" l="1"/>
  <c r="G20" i="10"/>
  <c r="G18" i="10"/>
  <c r="G16" i="10"/>
</calcChain>
</file>

<file path=xl/sharedStrings.xml><?xml version="1.0" encoding="utf-8"?>
<sst xmlns="http://schemas.openxmlformats.org/spreadsheetml/2006/main" count="754" uniqueCount="459">
  <si>
    <t>#</t>
    <phoneticPr fontId="1"/>
  </si>
  <si>
    <t>分類</t>
    <rPh sb="0" eb="2">
      <t>ブンルイ</t>
    </rPh>
    <phoneticPr fontId="1"/>
  </si>
  <si>
    <t>項目</t>
    <rPh sb="0" eb="2">
      <t>コウモク</t>
    </rPh>
    <phoneticPr fontId="1"/>
  </si>
  <si>
    <t>名前</t>
    <rPh sb="0" eb="2">
      <t>ナマエ</t>
    </rPh>
    <phoneticPr fontId="1"/>
  </si>
  <si>
    <t>現場</t>
    <rPh sb="0" eb="2">
      <t>ゲンバ</t>
    </rPh>
    <phoneticPr fontId="1"/>
  </si>
  <si>
    <t>金額
（税別）</t>
    <rPh sb="0" eb="2">
      <t>キンガク</t>
    </rPh>
    <rPh sb="4" eb="6">
      <t>ゼイベツ</t>
    </rPh>
    <phoneticPr fontId="1"/>
  </si>
  <si>
    <t>日時</t>
    <rPh sb="0" eb="2">
      <t>ニチジ</t>
    </rPh>
    <phoneticPr fontId="1"/>
  </si>
  <si>
    <t>備考</t>
    <rPh sb="0" eb="2">
      <t>ビコウ</t>
    </rPh>
    <phoneticPr fontId="1"/>
  </si>
  <si>
    <t>振込期限</t>
    <rPh sb="0" eb="2">
      <t>フリコ</t>
    </rPh>
    <rPh sb="2" eb="4">
      <t>キゲン</t>
    </rPh>
    <phoneticPr fontId="1"/>
  </si>
  <si>
    <t>日付</t>
    <rPh sb="0" eb="2">
      <t>ヒヅケ</t>
    </rPh>
    <phoneticPr fontId="1"/>
  </si>
  <si>
    <t>合計</t>
    <rPh sb="0" eb="2">
      <t>ゴウケイ</t>
    </rPh>
    <phoneticPr fontId="1"/>
  </si>
  <si>
    <t>確認日1</t>
    <rPh sb="0" eb="2">
      <t>カクニン</t>
    </rPh>
    <rPh sb="2" eb="3">
      <t>ビ</t>
    </rPh>
    <phoneticPr fontId="1"/>
  </si>
  <si>
    <t>確認者1</t>
    <rPh sb="0" eb="2">
      <t>カクニン</t>
    </rPh>
    <rPh sb="2" eb="3">
      <t>シャ</t>
    </rPh>
    <phoneticPr fontId="1"/>
  </si>
  <si>
    <t>確認日2</t>
    <rPh sb="0" eb="2">
      <t>カクニン</t>
    </rPh>
    <rPh sb="2" eb="3">
      <t>ビ</t>
    </rPh>
    <phoneticPr fontId="1"/>
  </si>
  <si>
    <t>確認者2</t>
    <rPh sb="0" eb="2">
      <t>カクニン</t>
    </rPh>
    <rPh sb="2" eb="3">
      <t>シャ</t>
    </rPh>
    <phoneticPr fontId="1"/>
  </si>
  <si>
    <t>株式会社インタートレード</t>
  </si>
  <si>
    <t>LabriseDesign株式会社</t>
  </si>
  <si>
    <t>安 仲</t>
  </si>
  <si>
    <t>アイテックジャパン株式会社</t>
  </si>
  <si>
    <t>王 旭蓬</t>
  </si>
  <si>
    <t>王 旭勃</t>
  </si>
  <si>
    <t>みんなの未来株式会社</t>
    <phoneticPr fontId="6"/>
  </si>
  <si>
    <t>馮 書愷</t>
  </si>
  <si>
    <t>アシュリオンジャパン・ホールディングス合同会社</t>
  </si>
  <si>
    <t>福信株式会社</t>
  </si>
  <si>
    <t>楊 群</t>
  </si>
  <si>
    <t>株式会社オーティーシ</t>
  </si>
  <si>
    <t>株式会社テクリアス</t>
  </si>
  <si>
    <t>ITドウニユウホジヨキ</t>
    <phoneticPr fontId="6"/>
  </si>
  <si>
    <t>エスーラボ合同会社</t>
    <phoneticPr fontId="6"/>
  </si>
  <si>
    <t>セッダー株式会社</t>
  </si>
  <si>
    <t>周 子騰</t>
  </si>
  <si>
    <t>徐 穎明</t>
  </si>
  <si>
    <t>雷 威</t>
  </si>
  <si>
    <t>周 鴻寿</t>
  </si>
  <si>
    <t>株式会社クリーンソフト</t>
  </si>
  <si>
    <t>株式会社コアコンセプト・テクノロジー</t>
  </si>
  <si>
    <t>SMHC株式会社</t>
  </si>
  <si>
    <t>取引先</t>
    <rPh sb="0" eb="3">
      <t>トリヒキサキ</t>
    </rPh>
    <phoneticPr fontId="6"/>
  </si>
  <si>
    <t>＃</t>
    <phoneticPr fontId="6"/>
  </si>
  <si>
    <t>備考</t>
    <rPh sb="0" eb="2">
      <t>ビコウ</t>
    </rPh>
    <phoneticPr fontId="6"/>
  </si>
  <si>
    <t>区分</t>
    <rPh sb="0" eb="2">
      <t>クブン</t>
    </rPh>
    <phoneticPr fontId="6"/>
  </si>
  <si>
    <t>請求金額
（合計）</t>
    <rPh sb="0" eb="2">
      <t>セイキュウ</t>
    </rPh>
    <rPh sb="2" eb="4">
      <t>キンガク</t>
    </rPh>
    <rPh sb="6" eb="8">
      <t>ゴウケイ</t>
    </rPh>
    <phoneticPr fontId="1"/>
  </si>
  <si>
    <t>社員</t>
    <rPh sb="0" eb="2">
      <t>シャイン</t>
    </rPh>
    <phoneticPr fontId="6"/>
  </si>
  <si>
    <t>アースアイズ株式会社</t>
  </si>
  <si>
    <t>株式会社JCC</t>
  </si>
  <si>
    <t>JYJサンブリッジ株式会社</t>
  </si>
  <si>
    <t>株式会社アジレット</t>
  </si>
  <si>
    <t>株式会社トラストシステムズ</t>
  </si>
  <si>
    <t>デジタルトランスコミュニケーションズ株式会社</t>
  </si>
  <si>
    <t>株式会社アジャイルテック</t>
  </si>
  <si>
    <t>東京エレクトロンデバイス株式会社</t>
  </si>
  <si>
    <t>株式会社オプティム</t>
  </si>
  <si>
    <t>トランス・コスモス株式会社</t>
  </si>
  <si>
    <t>株式会社富士通システムズウェブテクノロジー</t>
  </si>
  <si>
    <t>SBクラウド株式会社</t>
  </si>
  <si>
    <t>株式会社PFU</t>
  </si>
  <si>
    <t>株式会社リードウェイブソリューション</t>
  </si>
  <si>
    <t>株式会社ソフトワイズ</t>
  </si>
  <si>
    <t>ビットクロス 株式会社</t>
  </si>
  <si>
    <t>株式会社 海隆一創</t>
  </si>
  <si>
    <t>北海ソリューションズ株式会社</t>
  </si>
  <si>
    <t>株式会社アイフォーカス</t>
  </si>
  <si>
    <t>株式会社ディー･トレンド･ジャパン</t>
  </si>
  <si>
    <t>ビートテック株式会社</t>
  </si>
  <si>
    <t>株式会社ナピル</t>
  </si>
  <si>
    <t>株式会社ベター・テック</t>
  </si>
  <si>
    <t>株式会社レヴェル</t>
  </si>
  <si>
    <t>株式会社カナック</t>
  </si>
  <si>
    <t>株式会社プロフェース・システムズ</t>
  </si>
  <si>
    <t>シーアイ・オーガナイズニュー株式会社</t>
  </si>
  <si>
    <t>株式会社バイボックス・ジャパン</t>
  </si>
  <si>
    <t>日中ブリッジ株式会社</t>
  </si>
  <si>
    <t>ユーリンク株式会社</t>
  </si>
  <si>
    <t>株式会社ネットコム</t>
  </si>
  <si>
    <t>サービスミ－ム株式会社</t>
  </si>
  <si>
    <t>株式会社テックシス</t>
  </si>
  <si>
    <t>株式会社日本凌佳システム</t>
  </si>
  <si>
    <t>株式会社マルチテクノロジー</t>
  </si>
  <si>
    <t>ＨＬ株式会社</t>
  </si>
  <si>
    <t>サン・ベスト株式会社</t>
  </si>
  <si>
    <t>NetWisdom 株式会社</t>
  </si>
  <si>
    <t>株式会社インタークリエイティヴ</t>
  </si>
  <si>
    <t>アレシス 株式会社</t>
  </si>
  <si>
    <t>アイピーエス株式会社</t>
  </si>
  <si>
    <t>ゼロスペック株式会社</t>
  </si>
  <si>
    <t>サンシャインパワー株式会社</t>
  </si>
  <si>
    <t>東和株式会社</t>
  </si>
  <si>
    <t>日本恒研株式会社</t>
  </si>
  <si>
    <t>株式会社パーサヴィアランステック</t>
  </si>
  <si>
    <t>株式会社ベターフューチャー</t>
  </si>
  <si>
    <t>株式会社早信国際</t>
  </si>
  <si>
    <t>株式会社グローバルソフトウェア</t>
  </si>
  <si>
    <t>株式会社ラディクラフト</t>
  </si>
  <si>
    <t>かぐや東京株式会社</t>
  </si>
  <si>
    <t>安信株式会社</t>
  </si>
  <si>
    <t>太平洋株式会社</t>
  </si>
  <si>
    <t>芦 建軍</t>
    <rPh sb="0" eb="1">
      <t>ロ</t>
    </rPh>
    <rPh sb="2" eb="3">
      <t>ケン</t>
    </rPh>
    <rPh sb="3" eb="4">
      <t>グン</t>
    </rPh>
    <phoneticPr fontId="5"/>
  </si>
  <si>
    <t>張 雪強</t>
    <rPh sb="0" eb="1">
      <t>チョウ</t>
    </rPh>
    <rPh sb="2" eb="3">
      <t>セツ</t>
    </rPh>
    <rPh sb="3" eb="4">
      <t>キョウ</t>
    </rPh>
    <phoneticPr fontId="5"/>
  </si>
  <si>
    <t>王 孜彤</t>
    <rPh sb="0" eb="1">
      <t>オウ</t>
    </rPh>
    <rPh sb="2" eb="3">
      <t>シ</t>
    </rPh>
    <rPh sb="3" eb="4">
      <t>トウ</t>
    </rPh>
    <phoneticPr fontId="5"/>
  </si>
  <si>
    <t>西尾 祐一</t>
    <rPh sb="0" eb="2">
      <t>ニシオ</t>
    </rPh>
    <rPh sb="3" eb="5">
      <t>ユウイチ</t>
    </rPh>
    <phoneticPr fontId="5"/>
  </si>
  <si>
    <t>車 宏偉</t>
  </si>
  <si>
    <t>周 斌</t>
    <rPh sb="0" eb="1">
      <t>シュウ</t>
    </rPh>
    <rPh sb="2" eb="3">
      <t>ビン</t>
    </rPh>
    <phoneticPr fontId="5"/>
  </si>
  <si>
    <t>朱 容嘉</t>
    <rPh sb="0" eb="1">
      <t>シュ</t>
    </rPh>
    <rPh sb="2" eb="3">
      <t>ヨウ</t>
    </rPh>
    <rPh sb="3" eb="4">
      <t>カ</t>
    </rPh>
    <phoneticPr fontId="5"/>
  </si>
  <si>
    <t>陳 文華</t>
    <rPh sb="0" eb="1">
      <t>チン</t>
    </rPh>
    <rPh sb="2" eb="3">
      <t>ブン</t>
    </rPh>
    <rPh sb="3" eb="4">
      <t>カ</t>
    </rPh>
    <phoneticPr fontId="5"/>
  </si>
  <si>
    <t>陳 自健</t>
    <rPh sb="0" eb="1">
      <t>チン</t>
    </rPh>
    <rPh sb="2" eb="3">
      <t>ジ</t>
    </rPh>
    <rPh sb="3" eb="4">
      <t>ケン</t>
    </rPh>
    <phoneticPr fontId="5"/>
  </si>
  <si>
    <t>劉 園園</t>
    <rPh sb="0" eb="1">
      <t>リュウ</t>
    </rPh>
    <rPh sb="2" eb="3">
      <t>エン</t>
    </rPh>
    <rPh sb="3" eb="4">
      <t>エン</t>
    </rPh>
    <phoneticPr fontId="5"/>
  </si>
  <si>
    <t>韓 健美</t>
    <rPh sb="0" eb="1">
      <t>カン</t>
    </rPh>
    <rPh sb="2" eb="3">
      <t>ケン</t>
    </rPh>
    <rPh sb="3" eb="4">
      <t>ビ</t>
    </rPh>
    <phoneticPr fontId="5"/>
  </si>
  <si>
    <t>王 蕾</t>
    <rPh sb="0" eb="1">
      <t>オウ</t>
    </rPh>
    <rPh sb="2" eb="3">
      <t>ライ</t>
    </rPh>
    <phoneticPr fontId="5"/>
  </si>
  <si>
    <t>梁 珈瑋</t>
    <rPh sb="0" eb="1">
      <t>リョウ</t>
    </rPh>
    <rPh sb="2" eb="3">
      <t>カ</t>
    </rPh>
    <rPh sb="3" eb="4">
      <t>イ</t>
    </rPh>
    <phoneticPr fontId="5"/>
  </si>
  <si>
    <t>陳 浩</t>
    <rPh sb="0" eb="1">
      <t>チン</t>
    </rPh>
    <rPh sb="2" eb="3">
      <t>ヒロシ</t>
    </rPh>
    <phoneticPr fontId="5"/>
  </si>
  <si>
    <t>張 振</t>
  </si>
  <si>
    <t>肖 虎</t>
    <rPh sb="0" eb="1">
      <t>ショウ</t>
    </rPh>
    <rPh sb="2" eb="3">
      <t>トラ</t>
    </rPh>
    <phoneticPr fontId="5"/>
  </si>
  <si>
    <t>杜 嘉寧</t>
    <rPh sb="0" eb="1">
      <t>ト</t>
    </rPh>
    <rPh sb="2" eb="3">
      <t>カ</t>
    </rPh>
    <rPh sb="3" eb="4">
      <t>ネイ</t>
    </rPh>
    <phoneticPr fontId="5"/>
  </si>
  <si>
    <t>韓 博</t>
    <rPh sb="0" eb="1">
      <t>カン</t>
    </rPh>
    <rPh sb="2" eb="3">
      <t>ヒロシ</t>
    </rPh>
    <phoneticPr fontId="5"/>
  </si>
  <si>
    <t>王 龍</t>
    <rPh sb="0" eb="1">
      <t>オウ</t>
    </rPh>
    <rPh sb="2" eb="3">
      <t>リュウ</t>
    </rPh>
    <phoneticPr fontId="5"/>
  </si>
  <si>
    <t>趙 宏偉</t>
    <rPh sb="0" eb="1">
      <t>チョウ</t>
    </rPh>
    <rPh sb="2" eb="3">
      <t>ヒロシ</t>
    </rPh>
    <rPh sb="3" eb="4">
      <t>エラ</t>
    </rPh>
    <phoneticPr fontId="5"/>
  </si>
  <si>
    <t>雷 檸暢</t>
    <rPh sb="0" eb="1">
      <t>ライ</t>
    </rPh>
    <phoneticPr fontId="5"/>
  </si>
  <si>
    <t>佟 令玉</t>
  </si>
  <si>
    <t>王 強</t>
    <rPh sb="0" eb="1">
      <t>オウ</t>
    </rPh>
    <rPh sb="2" eb="3">
      <t>ツヨ</t>
    </rPh>
    <phoneticPr fontId="5"/>
  </si>
  <si>
    <t>劉 賀明</t>
    <rPh sb="0" eb="1">
      <t>リュウ</t>
    </rPh>
    <rPh sb="2" eb="3">
      <t>カ</t>
    </rPh>
    <rPh sb="3" eb="4">
      <t>メイ</t>
    </rPh>
    <phoneticPr fontId="5"/>
  </si>
  <si>
    <t>鄧 宏亮</t>
    <rPh sb="2" eb="3">
      <t>コウ</t>
    </rPh>
    <rPh sb="3" eb="4">
      <t>リョウ</t>
    </rPh>
    <phoneticPr fontId="5"/>
  </si>
  <si>
    <t>劉 麗</t>
    <rPh sb="0" eb="1">
      <t>リュウ</t>
    </rPh>
    <rPh sb="2" eb="3">
      <t>レイ</t>
    </rPh>
    <phoneticPr fontId="5"/>
  </si>
  <si>
    <t>王 暁晨</t>
  </si>
  <si>
    <t>紀 宇</t>
  </si>
  <si>
    <t>趙 新楽</t>
    <rPh sb="0" eb="1">
      <t>チョウ</t>
    </rPh>
    <rPh sb="2" eb="3">
      <t>シン</t>
    </rPh>
    <rPh sb="3" eb="4">
      <t>ラク</t>
    </rPh>
    <phoneticPr fontId="5"/>
  </si>
  <si>
    <t>孫 麗雪</t>
    <rPh sb="0" eb="1">
      <t>ソン</t>
    </rPh>
    <rPh sb="2" eb="3">
      <t>レイ</t>
    </rPh>
    <rPh sb="3" eb="4">
      <t>ユキ</t>
    </rPh>
    <phoneticPr fontId="5"/>
  </si>
  <si>
    <t>黃 景暘</t>
  </si>
  <si>
    <t>徐 鋒</t>
    <rPh sb="0" eb="1">
      <t>ジョ</t>
    </rPh>
    <rPh sb="2" eb="3">
      <t>ホコ</t>
    </rPh>
    <phoneticPr fontId="5"/>
  </si>
  <si>
    <t>李 潤晨</t>
    <rPh sb="0" eb="1">
      <t>リ</t>
    </rPh>
    <rPh sb="2" eb="3">
      <t>ジュン</t>
    </rPh>
    <rPh sb="3" eb="4">
      <t>ジン</t>
    </rPh>
    <phoneticPr fontId="5"/>
  </si>
  <si>
    <t>王 潤博</t>
    <rPh sb="0" eb="1">
      <t>オウ</t>
    </rPh>
    <rPh sb="2" eb="3">
      <t>ジュン</t>
    </rPh>
    <rPh sb="3" eb="4">
      <t>ハク</t>
    </rPh>
    <phoneticPr fontId="5"/>
  </si>
  <si>
    <t>陳 欣</t>
    <rPh sb="0" eb="1">
      <t>チン</t>
    </rPh>
    <rPh sb="2" eb="3">
      <t>キン</t>
    </rPh>
    <phoneticPr fontId="5"/>
  </si>
  <si>
    <t>趙 涛</t>
    <rPh sb="0" eb="1">
      <t>チョウ</t>
    </rPh>
    <rPh sb="2" eb="3">
      <t>トウ</t>
    </rPh>
    <phoneticPr fontId="5"/>
  </si>
  <si>
    <t>王 亜旭</t>
    <rPh sb="0" eb="1">
      <t>オウ</t>
    </rPh>
    <rPh sb="2" eb="3">
      <t>ア</t>
    </rPh>
    <rPh sb="3" eb="4">
      <t>キョク</t>
    </rPh>
    <phoneticPr fontId="5"/>
  </si>
  <si>
    <t>何 慶祥</t>
    <rPh sb="0" eb="1">
      <t>ナン</t>
    </rPh>
    <rPh sb="2" eb="3">
      <t>ヨロコ</t>
    </rPh>
    <rPh sb="3" eb="4">
      <t>ショウ</t>
    </rPh>
    <phoneticPr fontId="5"/>
  </si>
  <si>
    <t>王 春嬌</t>
    <rPh sb="0" eb="1">
      <t>オウ</t>
    </rPh>
    <rPh sb="2" eb="3">
      <t>ハル</t>
    </rPh>
    <rPh sb="3" eb="4">
      <t>キョウ</t>
    </rPh>
    <phoneticPr fontId="5"/>
  </si>
  <si>
    <t>李 世陽</t>
    <rPh sb="0" eb="1">
      <t>リ</t>
    </rPh>
    <rPh sb="2" eb="3">
      <t>ヨ</t>
    </rPh>
    <rPh sb="3" eb="4">
      <t>ヨウ</t>
    </rPh>
    <phoneticPr fontId="5"/>
  </si>
  <si>
    <t>楊 麗珠</t>
    <rPh sb="0" eb="1">
      <t>ヨウ</t>
    </rPh>
    <rPh sb="2" eb="3">
      <t>レイ</t>
    </rPh>
    <rPh sb="3" eb="4">
      <t>タマ</t>
    </rPh>
    <phoneticPr fontId="5"/>
  </si>
  <si>
    <t>黄 雪平</t>
    <rPh sb="0" eb="1">
      <t>コウ</t>
    </rPh>
    <rPh sb="2" eb="3">
      <t>ユキ</t>
    </rPh>
    <rPh sb="3" eb="4">
      <t>ヘイ</t>
    </rPh>
    <phoneticPr fontId="5"/>
  </si>
  <si>
    <t>饒 玉婷</t>
    <rPh sb="0" eb="1">
      <t>ジョウ</t>
    </rPh>
    <rPh sb="2" eb="3">
      <t>タマ</t>
    </rPh>
    <rPh sb="3" eb="4">
      <t>テイ</t>
    </rPh>
    <phoneticPr fontId="5"/>
  </si>
  <si>
    <t>申 一博</t>
    <rPh sb="0" eb="1">
      <t>サル</t>
    </rPh>
    <rPh sb="2" eb="4">
      <t>カズヒロ</t>
    </rPh>
    <phoneticPr fontId="5"/>
  </si>
  <si>
    <t>楊 永飛</t>
    <rPh sb="2" eb="3">
      <t>エイ</t>
    </rPh>
    <rPh sb="3" eb="4">
      <t>ヒ</t>
    </rPh>
    <phoneticPr fontId="5"/>
  </si>
  <si>
    <t>黄 少蘭</t>
    <rPh sb="0" eb="1">
      <t>キ</t>
    </rPh>
    <rPh sb="2" eb="3">
      <t>ショウ</t>
    </rPh>
    <rPh sb="3" eb="4">
      <t>ラン</t>
    </rPh>
    <phoneticPr fontId="5"/>
  </si>
  <si>
    <t>羅 建英</t>
    <rPh sb="0" eb="1">
      <t>ラ</t>
    </rPh>
    <rPh sb="2" eb="3">
      <t>ケン</t>
    </rPh>
    <rPh sb="3" eb="4">
      <t>エイ</t>
    </rPh>
    <phoneticPr fontId="5"/>
  </si>
  <si>
    <t>唐 栄</t>
    <rPh sb="0" eb="1">
      <t>トウ</t>
    </rPh>
    <rPh sb="2" eb="3">
      <t>エイ</t>
    </rPh>
    <phoneticPr fontId="5"/>
  </si>
  <si>
    <t>王 広峰</t>
    <rPh sb="0" eb="1">
      <t>オウ</t>
    </rPh>
    <rPh sb="2" eb="3">
      <t>ヒロ</t>
    </rPh>
    <rPh sb="3" eb="4">
      <t>ミネ</t>
    </rPh>
    <phoneticPr fontId="5"/>
  </si>
  <si>
    <t>余 涛</t>
    <rPh sb="0" eb="1">
      <t>アマ</t>
    </rPh>
    <rPh sb="2" eb="3">
      <t>トウ</t>
    </rPh>
    <phoneticPr fontId="5"/>
  </si>
  <si>
    <t>小林 圭</t>
  </si>
  <si>
    <t>清水 佑樹</t>
  </si>
  <si>
    <t>澤田 亜衣</t>
    <rPh sb="0" eb="2">
      <t>サワダ</t>
    </rPh>
    <rPh sb="3" eb="5">
      <t>アイ</t>
    </rPh>
    <phoneticPr fontId="5"/>
  </si>
  <si>
    <t>王 欣</t>
    <rPh sb="0" eb="1">
      <t>オウ</t>
    </rPh>
    <rPh sb="2" eb="3">
      <t>キン</t>
    </rPh>
    <phoneticPr fontId="5"/>
  </si>
  <si>
    <t>厳 旭</t>
    <rPh sb="0" eb="1">
      <t>ゲン</t>
    </rPh>
    <rPh sb="2" eb="3">
      <t>キョク</t>
    </rPh>
    <phoneticPr fontId="5"/>
  </si>
  <si>
    <t>陸 祥国</t>
  </si>
  <si>
    <t>王 奇章</t>
  </si>
  <si>
    <t>李 操</t>
    <rPh sb="0" eb="1">
      <t>リ</t>
    </rPh>
    <rPh sb="2" eb="3">
      <t>ミサオ</t>
    </rPh>
    <phoneticPr fontId="5"/>
  </si>
  <si>
    <t>張 亮</t>
    <rPh sb="0" eb="1">
      <t>チョウ</t>
    </rPh>
    <rPh sb="2" eb="3">
      <t>リョウ</t>
    </rPh>
    <phoneticPr fontId="5"/>
  </si>
  <si>
    <t>蒋 輝</t>
    <rPh sb="0" eb="1">
      <t>ショウ</t>
    </rPh>
    <rPh sb="2" eb="3">
      <t>ヒカリ</t>
    </rPh>
    <phoneticPr fontId="5"/>
  </si>
  <si>
    <t>龍 文宇</t>
    <rPh sb="0" eb="1">
      <t>リュウ</t>
    </rPh>
    <rPh sb="2" eb="3">
      <t>ブン</t>
    </rPh>
    <rPh sb="3" eb="4">
      <t>ウ</t>
    </rPh>
    <phoneticPr fontId="5"/>
  </si>
  <si>
    <t>侯 明傑</t>
    <rPh sb="0" eb="1">
      <t>コウ</t>
    </rPh>
    <rPh sb="2" eb="3">
      <t>メイ</t>
    </rPh>
    <rPh sb="3" eb="4">
      <t>ケツ</t>
    </rPh>
    <phoneticPr fontId="5"/>
  </si>
  <si>
    <t>張 涛</t>
    <rPh sb="0" eb="1">
      <t>チョウ</t>
    </rPh>
    <rPh sb="2" eb="3">
      <t>トウ</t>
    </rPh>
    <phoneticPr fontId="5"/>
  </si>
  <si>
    <t>崔 贇</t>
    <rPh sb="0" eb="1">
      <t>サイ</t>
    </rPh>
    <rPh sb="2" eb="3">
      <t>イン</t>
    </rPh>
    <phoneticPr fontId="5"/>
  </si>
  <si>
    <t>張 玉虎</t>
    <rPh sb="0" eb="1">
      <t>チョウ</t>
    </rPh>
    <rPh sb="2" eb="3">
      <t>タマ</t>
    </rPh>
    <rPh sb="3" eb="4">
      <t>トラ</t>
    </rPh>
    <phoneticPr fontId="5"/>
  </si>
  <si>
    <t>木村 美千代</t>
  </si>
  <si>
    <t>趙 浩然</t>
    <rPh sb="0" eb="1">
      <t>チョウ</t>
    </rPh>
    <rPh sb="2" eb="4">
      <t>コウゼン</t>
    </rPh>
    <phoneticPr fontId="5"/>
  </si>
  <si>
    <t>韓 寧寧</t>
    <rPh sb="0" eb="1">
      <t>カン</t>
    </rPh>
    <rPh sb="2" eb="3">
      <t>ネイ</t>
    </rPh>
    <rPh sb="3" eb="4">
      <t>ネイ</t>
    </rPh>
    <phoneticPr fontId="5"/>
  </si>
  <si>
    <t>席 碧艶</t>
    <rPh sb="0" eb="1">
      <t>セキ</t>
    </rPh>
    <rPh sb="2" eb="3">
      <t>ヘキ</t>
    </rPh>
    <rPh sb="3" eb="4">
      <t>ツヤ</t>
    </rPh>
    <phoneticPr fontId="5"/>
  </si>
  <si>
    <t>李 隆隆</t>
  </si>
  <si>
    <t>張 婉婷</t>
  </si>
  <si>
    <t>盛 傑</t>
    <rPh sb="0" eb="1">
      <t>モ</t>
    </rPh>
    <rPh sb="2" eb="3">
      <t>ケツ</t>
    </rPh>
    <phoneticPr fontId="5"/>
  </si>
  <si>
    <t>陳 守松</t>
    <rPh sb="0" eb="1">
      <t>チン</t>
    </rPh>
    <rPh sb="2" eb="3">
      <t>マモ</t>
    </rPh>
    <rPh sb="3" eb="4">
      <t>マツ</t>
    </rPh>
    <phoneticPr fontId="5"/>
  </si>
  <si>
    <t>張 彪</t>
    <rPh sb="0" eb="1">
      <t>チョウ</t>
    </rPh>
    <rPh sb="2" eb="3">
      <t>ヒョウ</t>
    </rPh>
    <phoneticPr fontId="5"/>
  </si>
  <si>
    <t>李 龍</t>
    <rPh sb="0" eb="1">
      <t>リ</t>
    </rPh>
    <rPh sb="2" eb="3">
      <t>リュウ</t>
    </rPh>
    <phoneticPr fontId="5"/>
  </si>
  <si>
    <t>馬 嵩</t>
    <rPh sb="0" eb="1">
      <t>バ</t>
    </rPh>
    <phoneticPr fontId="5"/>
  </si>
  <si>
    <t>蔡 佳</t>
    <rPh sb="0" eb="1">
      <t>サイ</t>
    </rPh>
    <rPh sb="2" eb="3">
      <t>カ</t>
    </rPh>
    <phoneticPr fontId="5"/>
  </si>
  <si>
    <t>李 輝</t>
  </si>
  <si>
    <t>株式会社JAST</t>
    <phoneticPr fontId="6"/>
  </si>
  <si>
    <t>正社員</t>
    <rPh sb="0" eb="3">
      <t>セイシャイン</t>
    </rPh>
    <phoneticPr fontId="6"/>
  </si>
  <si>
    <t>個人事業主</t>
    <rPh sb="0" eb="4">
      <t>コジンジギョウ</t>
    </rPh>
    <rPh sb="4" eb="5">
      <t>ヌシ</t>
    </rPh>
    <phoneticPr fontId="6"/>
  </si>
  <si>
    <t>パートナー</t>
  </si>
  <si>
    <t>パートナー</t>
    <phoneticPr fontId="6"/>
  </si>
  <si>
    <t xml:space="preserve">株式会社ベターフューチャー </t>
    <phoneticPr fontId="6"/>
  </si>
  <si>
    <t>株式会社ＤＴＳ</t>
    <phoneticPr fontId="6"/>
  </si>
  <si>
    <t>テレコムプロフェッショナルサービス株式会社</t>
    <phoneticPr fontId="6"/>
  </si>
  <si>
    <t>株式会社CONNECT・EC</t>
    <phoneticPr fontId="6"/>
  </si>
  <si>
    <t>霍 達</t>
    <phoneticPr fontId="6"/>
  </si>
  <si>
    <t>張 芷燁</t>
    <phoneticPr fontId="6"/>
  </si>
  <si>
    <t>徐 飛</t>
  </si>
  <si>
    <t>閔 創</t>
    <phoneticPr fontId="6"/>
  </si>
  <si>
    <t>屈 波</t>
    <phoneticPr fontId="6"/>
  </si>
  <si>
    <t>喩 志平</t>
    <phoneticPr fontId="6"/>
  </si>
  <si>
    <t>雑 収入</t>
    <rPh sb="0" eb="1">
      <t>ザツ</t>
    </rPh>
    <rPh sb="2" eb="4">
      <t>シュウニュウ</t>
    </rPh>
    <phoneticPr fontId="6"/>
  </si>
  <si>
    <t>王 是騁</t>
    <phoneticPr fontId="6"/>
  </si>
  <si>
    <t>晴海情報株式会社</t>
    <phoneticPr fontId="6"/>
  </si>
  <si>
    <t>株式会社コネクト</t>
    <phoneticPr fontId="6"/>
  </si>
  <si>
    <t>芦 建軍</t>
  </si>
  <si>
    <t>陳 倩</t>
  </si>
  <si>
    <t>営業担当</t>
    <rPh sb="0" eb="2">
      <t>エイギョウ</t>
    </rPh>
    <rPh sb="2" eb="4">
      <t>タントウ</t>
    </rPh>
    <phoneticPr fontId="6"/>
  </si>
  <si>
    <t>確認担当</t>
    <rPh sb="0" eb="2">
      <t>カクニン</t>
    </rPh>
    <rPh sb="2" eb="4">
      <t>タントウ</t>
    </rPh>
    <phoneticPr fontId="6"/>
  </si>
  <si>
    <t>合計</t>
    <rPh sb="0" eb="2">
      <t>ゴウケイ</t>
    </rPh>
    <phoneticPr fontId="6"/>
  </si>
  <si>
    <t>ニュータッチ共達ネットワーク株式会社</t>
    <phoneticPr fontId="6"/>
  </si>
  <si>
    <t>塗 曇峰</t>
    <rPh sb="0" eb="1">
      <t>ト</t>
    </rPh>
    <rPh sb="2" eb="3">
      <t>クモ</t>
    </rPh>
    <rPh sb="3" eb="4">
      <t>ミネ</t>
    </rPh>
    <phoneticPr fontId="5"/>
  </si>
  <si>
    <t>サービスミーム株式会社</t>
    <phoneticPr fontId="6"/>
  </si>
  <si>
    <t>社員区分</t>
    <rPh sb="0" eb="2">
      <t>シャイン</t>
    </rPh>
    <rPh sb="2" eb="4">
      <t>クブン</t>
    </rPh>
    <phoneticPr fontId="6"/>
  </si>
  <si>
    <t>社員区分</t>
    <rPh sb="0" eb="2">
      <t>シャイン</t>
    </rPh>
    <rPh sb="2" eb="4">
      <t>クブン</t>
    </rPh>
    <phoneticPr fontId="6"/>
  </si>
  <si>
    <t>瀋陽支社</t>
    <rPh sb="0" eb="2">
      <t>シンヨウ</t>
    </rPh>
    <rPh sb="2" eb="4">
      <t>シシャ</t>
    </rPh>
    <phoneticPr fontId="6"/>
  </si>
  <si>
    <t>北京支社</t>
    <rPh sb="0" eb="2">
      <t>ペキン</t>
    </rPh>
    <rPh sb="2" eb="4">
      <t>シシャ</t>
    </rPh>
    <phoneticPr fontId="6"/>
  </si>
  <si>
    <t>その他</t>
    <rPh sb="2" eb="3">
      <t>タ</t>
    </rPh>
    <phoneticPr fontId="6"/>
  </si>
  <si>
    <t>早竹 亮</t>
    <phoneticPr fontId="6"/>
  </si>
  <si>
    <t>課税
非課税</t>
    <rPh sb="0" eb="2">
      <t>カゼイ</t>
    </rPh>
    <rPh sb="3" eb="6">
      <t>ヒカゼイ</t>
    </rPh>
    <phoneticPr fontId="6"/>
  </si>
  <si>
    <t>課税_非課税</t>
    <phoneticPr fontId="1"/>
  </si>
  <si>
    <t>課税</t>
    <phoneticPr fontId="6"/>
  </si>
  <si>
    <t>非課税</t>
    <phoneticPr fontId="6"/>
  </si>
  <si>
    <t>課税</t>
  </si>
  <si>
    <t>当方負担
手数料</t>
    <rPh sb="0" eb="2">
      <t>トウホウ</t>
    </rPh>
    <rPh sb="2" eb="4">
      <t>フタン</t>
    </rPh>
    <rPh sb="5" eb="8">
      <t>テスウリョウ</t>
    </rPh>
    <phoneticPr fontId="6"/>
  </si>
  <si>
    <t>実際入金額
（合計）</t>
    <rPh sb="0" eb="2">
      <t>ジッサイ</t>
    </rPh>
    <rPh sb="2" eb="4">
      <t>ニュウキン</t>
    </rPh>
    <rPh sb="4" eb="5">
      <t>ガク</t>
    </rPh>
    <rPh sb="7" eb="9">
      <t>ゴウケイ</t>
    </rPh>
    <phoneticPr fontId="6"/>
  </si>
  <si>
    <t>営業
担当1</t>
    <rPh sb="0" eb="2">
      <t>エイギョウ</t>
    </rPh>
    <rPh sb="3" eb="5">
      <t>タントウ</t>
    </rPh>
    <phoneticPr fontId="6"/>
  </si>
  <si>
    <t>営業
割合1</t>
    <rPh sb="0" eb="2">
      <t>エイギョウ</t>
    </rPh>
    <rPh sb="3" eb="5">
      <t>ワリアイ</t>
    </rPh>
    <phoneticPr fontId="6"/>
  </si>
  <si>
    <t>営業
担当2</t>
    <rPh sb="0" eb="2">
      <t>エイギョウ</t>
    </rPh>
    <rPh sb="3" eb="5">
      <t>タントウ</t>
    </rPh>
    <phoneticPr fontId="6"/>
  </si>
  <si>
    <t>営業
割合2</t>
    <rPh sb="0" eb="2">
      <t>エイギョウ</t>
    </rPh>
    <rPh sb="3" eb="5">
      <t>ワリアイ</t>
    </rPh>
    <phoneticPr fontId="6"/>
  </si>
  <si>
    <t>割合</t>
    <rPh sb="0" eb="2">
      <t>ワリアイ</t>
    </rPh>
    <phoneticPr fontId="6"/>
  </si>
  <si>
    <t>単価
（税別）</t>
    <rPh sb="0" eb="2">
      <t>タンカ</t>
    </rPh>
    <rPh sb="4" eb="6">
      <t>ゼイベツ</t>
    </rPh>
    <phoneticPr fontId="1"/>
  </si>
  <si>
    <t>人月</t>
    <rPh sb="0" eb="2">
      <t>ニンゲツ</t>
    </rPh>
    <phoneticPr fontId="6"/>
  </si>
  <si>
    <t>株式会社シーメイプル</t>
    <phoneticPr fontId="6"/>
  </si>
  <si>
    <t>任 建楠</t>
    <phoneticPr fontId="6"/>
  </si>
  <si>
    <t>北千住</t>
    <rPh sb="0" eb="1">
      <t>キタ</t>
    </rPh>
    <rPh sb="1" eb="3">
      <t>センジュ</t>
    </rPh>
    <phoneticPr fontId="6"/>
  </si>
  <si>
    <t>項目</t>
    <rPh sb="0" eb="2">
      <t>コウモク</t>
    </rPh>
    <phoneticPr fontId="6"/>
  </si>
  <si>
    <t>②給料(残業代込み)</t>
  </si>
  <si>
    <t>③通勤手当</t>
  </si>
  <si>
    <t>④各種保険</t>
  </si>
  <si>
    <t>⑤公共費用</t>
  </si>
  <si>
    <t>①外注費(税抜き)</t>
    <rPh sb="1" eb="4">
      <t>ガイチュウヒ</t>
    </rPh>
    <rPh sb="5" eb="6">
      <t>ゼイ</t>
    </rPh>
    <rPh sb="6" eb="7">
      <t>ヌ</t>
    </rPh>
    <phoneticPr fontId="6"/>
  </si>
  <si>
    <t>⑥コスト(自動計算)</t>
    <rPh sb="5" eb="7">
      <t>ジドウ</t>
    </rPh>
    <rPh sb="7" eb="9">
      <t>ケイサン</t>
    </rPh>
    <phoneticPr fontId="6"/>
  </si>
  <si>
    <t>⑦利益(自動計算)</t>
  </si>
  <si>
    <t>⑦利益(自動計算)</t>
    <phoneticPr fontId="6"/>
  </si>
  <si>
    <t>張 雪強</t>
    <phoneticPr fontId="6"/>
  </si>
  <si>
    <t>王 孜彤</t>
    <phoneticPr fontId="6"/>
  </si>
  <si>
    <t>公共費用</t>
    <rPh sb="0" eb="4">
      <t>コウキョウヒヨウ</t>
    </rPh>
    <phoneticPr fontId="6"/>
  </si>
  <si>
    <t>陳 倩</t>
    <phoneticPr fontId="6"/>
  </si>
  <si>
    <t>韓 健美</t>
    <phoneticPr fontId="6"/>
  </si>
  <si>
    <t>諏訪 晴秀</t>
    <phoneticPr fontId="6"/>
  </si>
  <si>
    <t>永宗 直樹</t>
    <phoneticPr fontId="6"/>
  </si>
  <si>
    <t>劉 兆良</t>
    <phoneticPr fontId="6"/>
  </si>
  <si>
    <t>分類</t>
    <rPh sb="0" eb="2">
      <t>ブンルイ</t>
    </rPh>
    <phoneticPr fontId="6"/>
  </si>
  <si>
    <t>準委任</t>
  </si>
  <si>
    <t>出向</t>
  </si>
  <si>
    <t>待機</t>
    <rPh sb="0" eb="2">
      <t>タイキ</t>
    </rPh>
    <phoneticPr fontId="6"/>
  </si>
  <si>
    <t>入金日</t>
    <rPh sb="0" eb="2">
      <t>ニュウキン</t>
    </rPh>
    <rPh sb="2" eb="3">
      <t>ビ</t>
    </rPh>
    <phoneticPr fontId="1"/>
  </si>
  <si>
    <t>富士通株式会社</t>
  </si>
  <si>
    <t>株式会社言語サービス</t>
    <phoneticPr fontId="6"/>
  </si>
  <si>
    <t>孫 涛</t>
    <rPh sb="0" eb="1">
      <t>ソン</t>
    </rPh>
    <rPh sb="2" eb="3">
      <t>トウ</t>
    </rPh>
    <phoneticPr fontId="3"/>
  </si>
  <si>
    <t>劉 家東</t>
    <rPh sb="2" eb="3">
      <t>イエ</t>
    </rPh>
    <rPh sb="3" eb="4">
      <t>ヒガシ</t>
    </rPh>
    <phoneticPr fontId="3"/>
  </si>
  <si>
    <t>株式会社EvangTech</t>
    <phoneticPr fontId="6"/>
  </si>
  <si>
    <t>アールシーソリューショ株式会社</t>
    <phoneticPr fontId="6"/>
  </si>
  <si>
    <t>張 凌飛</t>
  </si>
  <si>
    <t>郭 雯てい</t>
  </si>
  <si>
    <t>方 靭</t>
  </si>
  <si>
    <t>冀 静銘</t>
    <phoneticPr fontId="6"/>
  </si>
  <si>
    <t>劉 辰</t>
    <phoneticPr fontId="6"/>
  </si>
  <si>
    <t>劉 華萍</t>
    <phoneticPr fontId="6"/>
  </si>
  <si>
    <t>劉 菁菁</t>
    <rPh sb="0" eb="1">
      <t>リュウ</t>
    </rPh>
    <rPh sb="2" eb="3">
      <t>セイ</t>
    </rPh>
    <rPh sb="3" eb="4">
      <t>カブ</t>
    </rPh>
    <phoneticPr fontId="6"/>
  </si>
  <si>
    <t>唐 来彬</t>
    <rPh sb="0" eb="1">
      <t>トウ</t>
    </rPh>
    <rPh sb="2" eb="3">
      <t>ライ</t>
    </rPh>
    <rPh sb="3" eb="4">
      <t>ヒン</t>
    </rPh>
    <phoneticPr fontId="6"/>
  </si>
  <si>
    <t>開発支援</t>
    <rPh sb="0" eb="2">
      <t>カイハツ</t>
    </rPh>
    <rPh sb="2" eb="4">
      <t>シエン</t>
    </rPh>
    <phoneticPr fontId="6"/>
  </si>
  <si>
    <r>
      <t>劉</t>
    </r>
    <r>
      <rPr>
        <sz val="11"/>
        <color theme="1"/>
        <rFont val="Microsoft YaHei"/>
        <family val="3"/>
        <charset val="134"/>
      </rPr>
      <t xml:space="preserve"> </t>
    </r>
    <r>
      <rPr>
        <sz val="11"/>
        <color theme="1"/>
        <rFont val="ＭＳ Ｐゴシック"/>
        <family val="3"/>
        <charset val="128"/>
        <scheme val="minor"/>
      </rPr>
      <t>海光</t>
    </r>
    <phoneticPr fontId="6"/>
  </si>
  <si>
    <t>アースアイズ株式会社</t>
    <phoneticPr fontId="1"/>
  </si>
  <si>
    <t>さくらケーシーエス</t>
    <phoneticPr fontId="6"/>
  </si>
  <si>
    <t>周 昕</t>
    <rPh sb="0" eb="1">
      <t>シュウ</t>
    </rPh>
    <rPh sb="2" eb="3">
      <t>キン</t>
    </rPh>
    <phoneticPr fontId="6"/>
  </si>
  <si>
    <t>山本</t>
  </si>
  <si>
    <t>ｴｲﾐｬｯﾄ</t>
  </si>
  <si>
    <t>タイラー</t>
  </si>
  <si>
    <t>株式会社ランドコンピュー</t>
    <phoneticPr fontId="6"/>
  </si>
  <si>
    <t>閻 季</t>
    <phoneticPr fontId="6"/>
  </si>
  <si>
    <t>株式会社GoodWorld</t>
    <phoneticPr fontId="6"/>
  </si>
  <si>
    <t>べリソフト株式会社</t>
    <phoneticPr fontId="6"/>
  </si>
  <si>
    <t>徐 月清</t>
    <phoneticPr fontId="6"/>
  </si>
  <si>
    <t>株式会社カナミックネットワーク</t>
    <phoneticPr fontId="6"/>
  </si>
  <si>
    <t>園山 峰雄</t>
    <phoneticPr fontId="6"/>
  </si>
  <si>
    <t>株式会社オークネット</t>
    <phoneticPr fontId="6"/>
  </si>
  <si>
    <t>株式会社ウィンテクノ</t>
    <phoneticPr fontId="6"/>
  </si>
  <si>
    <t>李 偉</t>
    <rPh sb="0" eb="1">
      <t>リ</t>
    </rPh>
    <rPh sb="2" eb="3">
      <t>イ</t>
    </rPh>
    <phoneticPr fontId="6"/>
  </si>
  <si>
    <t>康 育哲</t>
    <phoneticPr fontId="6"/>
  </si>
  <si>
    <t>孫 継濱</t>
    <phoneticPr fontId="6"/>
  </si>
  <si>
    <t>エレクス株式会社</t>
    <phoneticPr fontId="6"/>
  </si>
  <si>
    <t>林 美頴</t>
    <rPh sb="0" eb="1">
      <t>ハヤシ</t>
    </rPh>
    <rPh sb="2" eb="3">
      <t>ミ</t>
    </rPh>
    <rPh sb="3" eb="4">
      <t>エイ</t>
    </rPh>
    <phoneticPr fontId="5"/>
  </si>
  <si>
    <t>門 佳君</t>
    <rPh sb="0" eb="1">
      <t>モン</t>
    </rPh>
    <rPh sb="2" eb="3">
      <t>カ</t>
    </rPh>
    <rPh sb="3" eb="4">
      <t>クン</t>
    </rPh>
    <phoneticPr fontId="6"/>
  </si>
  <si>
    <t>李 剣</t>
    <rPh sb="0" eb="1">
      <t>リ</t>
    </rPh>
    <rPh sb="2" eb="3">
      <t>ケン</t>
    </rPh>
    <phoneticPr fontId="6"/>
  </si>
  <si>
    <t>于 永傑</t>
    <rPh sb="0" eb="1">
      <t>ウ</t>
    </rPh>
    <rPh sb="2" eb="3">
      <t>エイ</t>
    </rPh>
    <rPh sb="3" eb="4">
      <t>ケツ</t>
    </rPh>
    <phoneticPr fontId="6"/>
  </si>
  <si>
    <t>株式会社IoTBank</t>
    <phoneticPr fontId="6"/>
  </si>
  <si>
    <t>李 鵬飛</t>
    <phoneticPr fontId="6"/>
  </si>
  <si>
    <t>魚 振江</t>
    <phoneticPr fontId="6"/>
  </si>
  <si>
    <t>林 浩博</t>
    <phoneticPr fontId="6"/>
  </si>
  <si>
    <t>蘇 豪</t>
    <phoneticPr fontId="6"/>
  </si>
  <si>
    <t>毛 振</t>
    <phoneticPr fontId="6"/>
  </si>
  <si>
    <t>孫 学明</t>
    <phoneticPr fontId="6"/>
  </si>
  <si>
    <t>株式会社日進サイエンティア</t>
    <phoneticPr fontId="6"/>
  </si>
  <si>
    <t>謝 祖界</t>
    <phoneticPr fontId="6"/>
  </si>
  <si>
    <t>BITソフト株式会社</t>
    <phoneticPr fontId="6"/>
  </si>
  <si>
    <t>劉 懿超</t>
    <phoneticPr fontId="6"/>
  </si>
  <si>
    <t>雷 永麒</t>
    <phoneticPr fontId="6"/>
  </si>
  <si>
    <t>株式会社天公システム</t>
    <phoneticPr fontId="6"/>
  </si>
  <si>
    <t>李 煉</t>
    <phoneticPr fontId="6"/>
  </si>
  <si>
    <t>張 兢晶</t>
    <phoneticPr fontId="6"/>
  </si>
  <si>
    <t>株式会社ZOOA</t>
    <phoneticPr fontId="6"/>
  </si>
  <si>
    <t>株式会社HANAWA</t>
    <phoneticPr fontId="6"/>
  </si>
  <si>
    <t>日本電気株式会社</t>
    <phoneticPr fontId="6"/>
  </si>
  <si>
    <t>エーサーズテック株式会社</t>
    <phoneticPr fontId="6"/>
  </si>
  <si>
    <t>株式会社Oriental　Kingdom　Group</t>
    <phoneticPr fontId="6"/>
  </si>
  <si>
    <t>呉 鐘善</t>
    <phoneticPr fontId="6"/>
  </si>
  <si>
    <t>株式会社ブリッジワールドコンサルティング</t>
    <phoneticPr fontId="6"/>
  </si>
  <si>
    <t>許 齊麟</t>
    <phoneticPr fontId="6"/>
  </si>
  <si>
    <t>株式会社ＷＩＮＣＬＥ</t>
    <phoneticPr fontId="6"/>
  </si>
  <si>
    <t>楊 一鳴</t>
    <rPh sb="0" eb="1">
      <t>ヨウ</t>
    </rPh>
    <rPh sb="2" eb="3">
      <t>イチ</t>
    </rPh>
    <rPh sb="3" eb="4">
      <t>ナ</t>
    </rPh>
    <phoneticPr fontId="6"/>
  </si>
  <si>
    <t>株式会社GENZ</t>
    <phoneticPr fontId="6"/>
  </si>
  <si>
    <t>株式会社E-Safenet</t>
    <phoneticPr fontId="6"/>
  </si>
  <si>
    <t>株式会社往来情報サービス</t>
    <phoneticPr fontId="6"/>
  </si>
  <si>
    <t>李 強</t>
    <rPh sb="0" eb="1">
      <t>リ</t>
    </rPh>
    <rPh sb="2" eb="3">
      <t>キョウ</t>
    </rPh>
    <phoneticPr fontId="6"/>
  </si>
  <si>
    <t>株式会社イーティーアイ</t>
    <phoneticPr fontId="6"/>
  </si>
  <si>
    <t>株式会社イー・ビジネス</t>
    <phoneticPr fontId="6"/>
  </si>
  <si>
    <t>精算分</t>
    <rPh sb="0" eb="2">
      <t>セイサン</t>
    </rPh>
    <rPh sb="2" eb="3">
      <t>ブン</t>
    </rPh>
    <phoneticPr fontId="6"/>
  </si>
  <si>
    <t>三友ステージ株式会社</t>
    <phoneticPr fontId="6"/>
  </si>
  <si>
    <t>芦 建軍</t>
    <phoneticPr fontId="6"/>
  </si>
  <si>
    <t>消費税</t>
    <rPh sb="0" eb="3">
      <t>ショウヒゼイ</t>
    </rPh>
    <phoneticPr fontId="6"/>
  </si>
  <si>
    <r>
      <t>会社名　　　　　　　　</t>
    </r>
    <r>
      <rPr>
        <sz val="11"/>
        <color rgb="FFFF0000"/>
        <rFont val="ＭＳ Ｐゴシック"/>
        <family val="3"/>
        <charset val="128"/>
        <scheme val="minor"/>
      </rPr>
      <t>　→　実際入金額（合計）</t>
    </r>
    <rPh sb="0" eb="2">
      <t>カイシャ</t>
    </rPh>
    <rPh sb="2" eb="3">
      <t>メイ</t>
    </rPh>
    <phoneticPr fontId="6"/>
  </si>
  <si>
    <t>株式会社 シスコム・テクノロジー</t>
    <phoneticPr fontId="6"/>
  </si>
  <si>
    <t>王 磊</t>
    <phoneticPr fontId="6"/>
  </si>
  <si>
    <t>株式会社三斗データ</t>
    <phoneticPr fontId="6"/>
  </si>
  <si>
    <t>富士通アプリケーションズ株式会社</t>
    <phoneticPr fontId="6"/>
  </si>
  <si>
    <t>李 自飛</t>
    <phoneticPr fontId="6"/>
  </si>
  <si>
    <t>日発株式会社</t>
    <phoneticPr fontId="6"/>
  </si>
  <si>
    <t>株式会社トレックス</t>
    <phoneticPr fontId="6"/>
  </si>
  <si>
    <t>安藤 嶺</t>
    <phoneticPr fontId="6"/>
  </si>
  <si>
    <t>田 照銀</t>
    <phoneticPr fontId="6"/>
  </si>
  <si>
    <t>王 夢同</t>
    <phoneticPr fontId="6"/>
  </si>
  <si>
    <t>伊久留 了輔</t>
    <phoneticPr fontId="6"/>
  </si>
  <si>
    <t xml:space="preserve">株式会社テラボックス </t>
    <phoneticPr fontId="6"/>
  </si>
  <si>
    <t>株式会社グリッドオンライン</t>
    <phoneticPr fontId="6"/>
  </si>
  <si>
    <t>扇 雄介</t>
    <phoneticPr fontId="6"/>
  </si>
  <si>
    <t>株式会社サイテック</t>
    <phoneticPr fontId="6"/>
  </si>
  <si>
    <t>楊 志萍</t>
    <phoneticPr fontId="6"/>
  </si>
  <si>
    <t>徐 暁荷</t>
    <phoneticPr fontId="6"/>
  </si>
  <si>
    <t>NewFuture株式会社</t>
    <phoneticPr fontId="6"/>
  </si>
  <si>
    <t>楊 添羽</t>
  </si>
  <si>
    <t>蘇 伶俐</t>
  </si>
  <si>
    <t>趙 玲</t>
  </si>
  <si>
    <t>何 良</t>
  </si>
  <si>
    <t>徐 向</t>
  </si>
  <si>
    <t>王 巧輝</t>
  </si>
  <si>
    <t>李 連第</t>
  </si>
  <si>
    <t>楊 黎明</t>
  </si>
  <si>
    <t>崔 凱</t>
    <phoneticPr fontId="6"/>
  </si>
  <si>
    <t>王 琨</t>
    <phoneticPr fontId="6"/>
  </si>
  <si>
    <t>仙頭 克美</t>
    <phoneticPr fontId="6"/>
  </si>
  <si>
    <t>侯 振亮</t>
    <phoneticPr fontId="6"/>
  </si>
  <si>
    <t>董 哲先</t>
  </si>
  <si>
    <t>Frontier-info株式会社</t>
    <phoneticPr fontId="6"/>
  </si>
  <si>
    <t xml:space="preserve">株式会社Synergy </t>
    <phoneticPr fontId="6"/>
  </si>
  <si>
    <t>湯 瑋豪</t>
    <phoneticPr fontId="6"/>
  </si>
  <si>
    <t>SOARHAP株式会社</t>
    <phoneticPr fontId="6"/>
  </si>
  <si>
    <t>梁 岳</t>
    <phoneticPr fontId="6"/>
  </si>
  <si>
    <t>グローバルトラックソフト株式会社</t>
    <phoneticPr fontId="6"/>
  </si>
  <si>
    <t>王 顗鈞</t>
    <phoneticPr fontId="6"/>
  </si>
  <si>
    <t xml:space="preserve">株式会社Flobroad </t>
    <phoneticPr fontId="6"/>
  </si>
  <si>
    <t>陳 晶</t>
    <phoneticPr fontId="6"/>
  </si>
  <si>
    <t>蛭田 誠行</t>
    <phoneticPr fontId="6"/>
  </si>
  <si>
    <t>株式会社ティー ・ユー・ビー</t>
    <phoneticPr fontId="6"/>
  </si>
  <si>
    <t xml:space="preserve">ベース株式会社 </t>
    <phoneticPr fontId="6"/>
  </si>
  <si>
    <t>包 文君</t>
    <phoneticPr fontId="6"/>
  </si>
  <si>
    <t>フライソフト株式会社</t>
    <phoneticPr fontId="6"/>
  </si>
  <si>
    <t>孔 双江</t>
    <phoneticPr fontId="6"/>
  </si>
  <si>
    <t>馮 喜星</t>
    <phoneticPr fontId="6"/>
  </si>
  <si>
    <t>徐 万偉</t>
  </si>
  <si>
    <t>宋 志鵬</t>
  </si>
  <si>
    <t>張 福建</t>
    <phoneticPr fontId="6"/>
  </si>
  <si>
    <t>張 紹朋</t>
    <phoneticPr fontId="6"/>
  </si>
  <si>
    <t>待機
人数</t>
    <rPh sb="0" eb="2">
      <t>タイキ</t>
    </rPh>
    <rPh sb="3" eb="5">
      <t>ニンズ</t>
    </rPh>
    <phoneticPr fontId="6"/>
  </si>
  <si>
    <t>コピー用</t>
    <rPh sb="3" eb="4">
      <t>ヨウ</t>
    </rPh>
    <phoneticPr fontId="6"/>
  </si>
  <si>
    <t>王 芸蒙</t>
    <rPh sb="0" eb="1">
      <t>オウ</t>
    </rPh>
    <rPh sb="2" eb="3">
      <t>ゲイ</t>
    </rPh>
    <rPh sb="3" eb="4">
      <t>モウ</t>
    </rPh>
    <phoneticPr fontId="6"/>
  </si>
  <si>
    <t>株式会社ミライエービーシー</t>
    <phoneticPr fontId="6"/>
  </si>
  <si>
    <t>黄 宇</t>
    <phoneticPr fontId="6"/>
  </si>
  <si>
    <t>余 毅</t>
    <phoneticPr fontId="6"/>
  </si>
  <si>
    <t>合同会社ジョブガレッジ</t>
  </si>
  <si>
    <t>株式会社KENSOFT</t>
    <phoneticPr fontId="6"/>
  </si>
  <si>
    <t>朱 嘯松</t>
    <phoneticPr fontId="6"/>
  </si>
  <si>
    <t>休業</t>
    <rPh sb="0" eb="2">
      <t>キュウギョウ</t>
    </rPh>
    <phoneticPr fontId="6"/>
  </si>
  <si>
    <t>李 曲</t>
    <rPh sb="0" eb="1">
      <t>リ</t>
    </rPh>
    <rPh sb="2" eb="3">
      <t>キョク</t>
    </rPh>
    <phoneticPr fontId="6"/>
  </si>
  <si>
    <t>社内投資</t>
    <rPh sb="0" eb="2">
      <t>シャナイ</t>
    </rPh>
    <rPh sb="2" eb="4">
      <t>トウシ</t>
    </rPh>
    <phoneticPr fontId="6"/>
  </si>
  <si>
    <t>未定</t>
    <rPh sb="0" eb="2">
      <t>ミテイ</t>
    </rPh>
    <phoneticPr fontId="6"/>
  </si>
  <si>
    <t>10正社員</t>
    <rPh sb="2" eb="5">
      <t>セイシャイン</t>
    </rPh>
    <phoneticPr fontId="6"/>
  </si>
  <si>
    <t>20契約社員</t>
    <rPh sb="2" eb="4">
      <t>ケイヤク</t>
    </rPh>
    <rPh sb="4" eb="6">
      <t>シャイン</t>
    </rPh>
    <phoneticPr fontId="6"/>
  </si>
  <si>
    <t>30アルバイト</t>
    <phoneticPr fontId="6"/>
  </si>
  <si>
    <t>40個人事業主</t>
    <rPh sb="2" eb="6">
      <t>コジンジギョウ</t>
    </rPh>
    <rPh sb="6" eb="7">
      <t>ヌシ</t>
    </rPh>
    <phoneticPr fontId="6"/>
  </si>
  <si>
    <t>50パートナー</t>
    <phoneticPr fontId="6"/>
  </si>
  <si>
    <t>60北京支社</t>
    <rPh sb="2" eb="4">
      <t>ペキン</t>
    </rPh>
    <rPh sb="4" eb="6">
      <t>シシャ</t>
    </rPh>
    <phoneticPr fontId="6"/>
  </si>
  <si>
    <t>70瀋陽支社</t>
    <rPh sb="2" eb="4">
      <t>シンヨウ</t>
    </rPh>
    <rPh sb="4" eb="6">
      <t>シシャ</t>
    </rPh>
    <phoneticPr fontId="6"/>
  </si>
  <si>
    <t>80その他</t>
    <rPh sb="4" eb="5">
      <t>タ</t>
    </rPh>
    <phoneticPr fontId="6"/>
  </si>
  <si>
    <t>10芦 建軍</t>
  </si>
  <si>
    <t>10芦 建軍</t>
    <phoneticPr fontId="6"/>
  </si>
  <si>
    <t>20韓 健美</t>
    <rPh sb="2" eb="3">
      <t>カン</t>
    </rPh>
    <rPh sb="4" eb="5">
      <t>ケン</t>
    </rPh>
    <rPh sb="5" eb="6">
      <t>ビ</t>
    </rPh>
    <phoneticPr fontId="6"/>
  </si>
  <si>
    <t>21黄 少蘭</t>
    <rPh sb="2" eb="3">
      <t>コウ</t>
    </rPh>
    <rPh sb="4" eb="5">
      <t>ショウ</t>
    </rPh>
    <rPh sb="5" eb="6">
      <t>ラン</t>
    </rPh>
    <phoneticPr fontId="6"/>
  </si>
  <si>
    <t>22林 美頴</t>
    <rPh sb="2" eb="3">
      <t>リン</t>
    </rPh>
    <rPh sb="4" eb="5">
      <t>ビ</t>
    </rPh>
    <rPh sb="5" eb="6">
      <t>エイ</t>
    </rPh>
    <phoneticPr fontId="6"/>
  </si>
  <si>
    <t>23羅 建英</t>
    <rPh sb="2" eb="3">
      <t>ラ</t>
    </rPh>
    <rPh sb="4" eb="5">
      <t>ケン</t>
    </rPh>
    <rPh sb="5" eb="6">
      <t>エイ</t>
    </rPh>
    <phoneticPr fontId="6"/>
  </si>
  <si>
    <t>30諏訪 晴秀</t>
    <rPh sb="2" eb="4">
      <t>スワ</t>
    </rPh>
    <phoneticPr fontId="6"/>
  </si>
  <si>
    <t>31福満 義信</t>
    <rPh sb="2" eb="3">
      <t>フク</t>
    </rPh>
    <rPh sb="3" eb="4">
      <t>ミツル</t>
    </rPh>
    <rPh sb="5" eb="7">
      <t>ヨシノブ</t>
    </rPh>
    <phoneticPr fontId="6"/>
  </si>
  <si>
    <t>10正社員</t>
    <phoneticPr fontId="6"/>
  </si>
  <si>
    <t>作業請負</t>
    <phoneticPr fontId="6"/>
  </si>
  <si>
    <t>作成請負</t>
    <rPh sb="0" eb="2">
      <t>サクセイ</t>
    </rPh>
    <phoneticPr fontId="6"/>
  </si>
  <si>
    <t>https://n.career-info.jp/contents/?id=10114</t>
    <phoneticPr fontId="6"/>
  </si>
  <si>
    <t>「作成請負」は、ソフトウェアやシステムなどの成果物に対して請け負う契約で、「一括契約」とも言われます。</t>
    <phoneticPr fontId="6"/>
  </si>
  <si>
    <t>「作業請負」は、ソフトウェア開発やシステム開発において、開発作業を行う要員を提供するという契約形態になります。</t>
    <phoneticPr fontId="6"/>
  </si>
  <si>
    <t>訓練</t>
    <rPh sb="0" eb="2">
      <t>クンレン</t>
    </rPh>
    <phoneticPr fontId="6"/>
  </si>
  <si>
    <t>単位</t>
    <rPh sb="0" eb="2">
      <t>タンイ</t>
    </rPh>
    <phoneticPr fontId="6"/>
  </si>
  <si>
    <t>90事務</t>
    <rPh sb="2" eb="4">
      <t>ジム</t>
    </rPh>
    <phoneticPr fontId="6"/>
  </si>
  <si>
    <t>準委任</t>
    <phoneticPr fontId="6"/>
  </si>
  <si>
    <t>一括案件</t>
    <rPh sb="0" eb="4">
      <t>イッカツアンケン</t>
    </rPh>
    <phoneticPr fontId="6"/>
  </si>
  <si>
    <t>稼動
人月</t>
    <rPh sb="0" eb="2">
      <t>カドウ</t>
    </rPh>
    <rPh sb="3" eb="5">
      <t>ニンゲツ</t>
    </rPh>
    <phoneticPr fontId="6"/>
  </si>
  <si>
    <t>部署</t>
    <rPh sb="0" eb="2">
      <t>ブショ</t>
    </rPh>
    <phoneticPr fontId="6"/>
  </si>
  <si>
    <t>営業本部</t>
    <phoneticPr fontId="5"/>
  </si>
  <si>
    <t>第一営業部</t>
    <phoneticPr fontId="6"/>
  </si>
  <si>
    <t>第二営業部</t>
    <phoneticPr fontId="6"/>
  </si>
  <si>
    <t>小計</t>
    <rPh sb="0" eb="2">
      <t>ショウケイ</t>
    </rPh>
    <phoneticPr fontId="6"/>
  </si>
  <si>
    <t>シート「10取引先」から</t>
    <rPh sb="6" eb="9">
      <t>トリヒキサキ</t>
    </rPh>
    <phoneticPr fontId="1"/>
  </si>
  <si>
    <t>シート「20社員」から</t>
    <rPh sb="6" eb="8">
      <t>シャイン</t>
    </rPh>
    <phoneticPr fontId="1"/>
  </si>
  <si>
    <t>シート「30営業」から</t>
    <rPh sb="6" eb="8">
      <t>エイギョウ</t>
    </rPh>
    <phoneticPr fontId="1"/>
  </si>
  <si>
    <t>社内作業</t>
    <rPh sb="0" eb="2">
      <t>シャナイ</t>
    </rPh>
    <rPh sb="2" eb="4">
      <t>サギョウ</t>
    </rPh>
    <phoneticPr fontId="6"/>
  </si>
  <si>
    <t>尹 稚淳</t>
    <phoneticPr fontId="6"/>
  </si>
  <si>
    <t>株式会社DigiFoucus</t>
    <phoneticPr fontId="6"/>
  </si>
  <si>
    <t>消費税率</t>
    <rPh sb="0" eb="3">
      <t>ショウヒゼイ</t>
    </rPh>
    <rPh sb="3" eb="4">
      <t>リツ</t>
    </rPh>
    <phoneticPr fontId="1"/>
  </si>
  <si>
    <t>消費税
(選択、自動計算)</t>
    <rPh sb="0" eb="3">
      <t>ショウヒゼイ</t>
    </rPh>
    <rPh sb="5" eb="7">
      <t>センタク</t>
    </rPh>
    <rPh sb="8" eb="10">
      <t>ジドウ</t>
    </rPh>
    <rPh sb="10" eb="12">
      <t>ケイサン</t>
    </rPh>
    <phoneticPr fontId="6"/>
  </si>
  <si>
    <t>魏 来</t>
    <phoneticPr fontId="5"/>
  </si>
  <si>
    <t>株式会社クリアストーン</t>
    <phoneticPr fontId="6"/>
  </si>
  <si>
    <t>顧 寅</t>
    <phoneticPr fontId="6"/>
  </si>
  <si>
    <t>李 思博</t>
    <phoneticPr fontId="6"/>
  </si>
  <si>
    <t>202007</t>
    <phoneticPr fontId="1"/>
  </si>
  <si>
    <t>202008</t>
    <phoneticPr fontId="1"/>
  </si>
  <si>
    <t>202101</t>
    <phoneticPr fontId="1"/>
  </si>
  <si>
    <t>202009</t>
    <phoneticPr fontId="1"/>
  </si>
  <si>
    <t>202010</t>
  </si>
  <si>
    <t>202011</t>
  </si>
  <si>
    <t>202012</t>
  </si>
  <si>
    <t>202102</t>
    <phoneticPr fontId="1"/>
  </si>
  <si>
    <t>202103</t>
    <phoneticPr fontId="1"/>
  </si>
  <si>
    <t>202104</t>
  </si>
  <si>
    <t>202105</t>
  </si>
  <si>
    <t>202106</t>
  </si>
  <si>
    <t>陳 佳妤</t>
    <phoneticPr fontId="6"/>
  </si>
  <si>
    <t>株式会社Ｘ＆Ｗ</t>
    <phoneticPr fontId="6"/>
  </si>
  <si>
    <t>李 偉偉</t>
    <phoneticPr fontId="6"/>
  </si>
  <si>
    <t>温 良楠</t>
    <phoneticPr fontId="6"/>
  </si>
  <si>
    <t>周 文学</t>
    <phoneticPr fontId="6"/>
  </si>
  <si>
    <t>董 海翔</t>
    <phoneticPr fontId="6"/>
  </si>
  <si>
    <t>岳 成海</t>
    <phoneticPr fontId="6"/>
  </si>
  <si>
    <t>遠藤 太郎</t>
    <phoneticPr fontId="6"/>
  </si>
  <si>
    <t>程 坤</t>
    <phoneticPr fontId="6"/>
  </si>
  <si>
    <t>株式会社リクルート</t>
    <phoneticPr fontId="6"/>
  </si>
  <si>
    <t>祝 佳</t>
    <phoneticPr fontId="6"/>
  </si>
  <si>
    <t xml:space="preserve">何 启明 </t>
    <phoneticPr fontId="6"/>
  </si>
  <si>
    <t>夏 幸</t>
    <phoneticPr fontId="6"/>
  </si>
  <si>
    <t>陳 志</t>
    <phoneticPr fontId="6"/>
  </si>
  <si>
    <t>株式会社C＆J</t>
    <phoneticPr fontId="6"/>
  </si>
  <si>
    <t>祥瑞ソリューション株式会社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</si>
</sst>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¥&quot;#,##0;&quot;¥&quot;\-#,##0"/>
    <numFmt numFmtId="6" formatCode="&quot;¥&quot;#,##0;[Red]&quot;¥&quot;\-#,##0"/>
    <numFmt numFmtId="43" formatCode="_ * #,##0.00_ ;_ * \-#,##0.00_ ;_ * &quot;-&quot;??_ ;_ @_ "/>
    <numFmt numFmtId="176" formatCode="_-&quot;¥&quot;* #,##0.00_-\ ;\-&quot;¥&quot;* #,##0.00_-\ ;_-&quot;¥&quot;* &quot;-&quot;??_-\ ;_-@_-"/>
    <numFmt numFmtId="177" formatCode="&quot;¥&quot;#,##0_);[Red]\(&quot;¥&quot;#,##0\)"/>
    <numFmt numFmtId="178" formatCode="0.0_ "/>
    <numFmt numFmtId="179" formatCode="0.00_);[Red]\(0.00\)"/>
    <numFmt numFmtId="180" formatCode="0.0_);[Red]\(0.0\)"/>
  </numFmts>
  <fonts count="15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icrosoft YaHei"/>
      <family val="2"/>
      <charset val="134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34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50">
    <xf numFmtId="0" fontId="0" fillId="0" borderId="0" xfId="0">
      <alignment vertical="center"/>
    </xf>
    <xf numFmtId="0" fontId="7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5" fontId="7" fillId="0" borderId="0" xfId="0" applyNumberFormat="1" applyFont="1" applyAlignment="1">
      <alignment horizontal="center" vertical="center"/>
    </xf>
    <xf numFmtId="6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>
      <alignment vertical="center"/>
    </xf>
    <xf numFmtId="0" fontId="7" fillId="2" borderId="1" xfId="0" applyNumberFormat="1" applyFont="1" applyFill="1" applyBorder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5" fontId="7" fillId="2" borderId="1" xfId="0" applyNumberFormat="1" applyFont="1" applyFill="1" applyBorder="1" applyAlignment="1">
      <alignment horizontal="center" vertical="center" wrapText="1"/>
    </xf>
    <xf numFmtId="6" fontId="7" fillId="2" borderId="1" xfId="0" applyNumberFormat="1" applyFont="1" applyFill="1" applyBorder="1" applyAlignment="1">
      <alignment horizontal="center" vertical="center" wrapText="1"/>
    </xf>
    <xf numFmtId="0" fontId="7" fillId="0" borderId="0" xfId="0" applyFont="1" applyFill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6" fontId="7" fillId="0" borderId="1" xfId="0" applyNumberFormat="1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6" fontId="5" fillId="3" borderId="1" xfId="0" applyNumberFormat="1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5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3" borderId="5" xfId="0" applyNumberFormat="1" applyFont="1" applyFill="1" applyBorder="1" applyAlignment="1">
      <alignment vertical="center"/>
    </xf>
    <xf numFmtId="6" fontId="5" fillId="2" borderId="1" xfId="0" applyNumberFormat="1" applyFont="1" applyFill="1" applyBorder="1" applyAlignment="1">
      <alignment horizontal="center" vertical="center" wrapText="1"/>
    </xf>
    <xf numFmtId="6" fontId="0" fillId="2" borderId="1" xfId="0" applyNumberFormat="1" applyFont="1" applyFill="1" applyBorder="1" applyAlignment="1">
      <alignment horizontal="center" vertical="center" wrapText="1"/>
    </xf>
    <xf numFmtId="6" fontId="0" fillId="4" borderId="1" xfId="0" applyNumberFormat="1" applyFont="1" applyFill="1" applyBorder="1" applyAlignment="1">
      <alignment horizontal="center" vertical="center" wrapText="1"/>
    </xf>
    <xf numFmtId="5" fontId="7" fillId="0" borderId="0" xfId="0" applyNumberFormat="1" applyFont="1" applyAlignment="1">
      <alignment horizontal="right" vertical="center"/>
    </xf>
    <xf numFmtId="0" fontId="10" fillId="0" borderId="1" xfId="0" applyFont="1" applyBorder="1">
      <alignment vertical="center"/>
    </xf>
    <xf numFmtId="0" fontId="0" fillId="2" borderId="1" xfId="0" applyNumberForma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177" fontId="0" fillId="0" borderId="1" xfId="0" applyNumberFormat="1" applyBorder="1" applyAlignment="1">
      <alignment horizontal="right" vertical="center"/>
    </xf>
    <xf numFmtId="5" fontId="0" fillId="0" borderId="1" xfId="0" applyNumberFormat="1" applyBorder="1" applyAlignment="1">
      <alignment horizontal="right" vertical="center"/>
    </xf>
    <xf numFmtId="5" fontId="0" fillId="2" borderId="1" xfId="0" applyNumberFormat="1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2" borderId="6" xfId="0" applyFill="1" applyBorder="1">
      <alignment vertical="center"/>
    </xf>
    <xf numFmtId="178" fontId="0" fillId="0" borderId="1" xfId="0" applyNumberFormat="1" applyBorder="1">
      <alignment vertical="center"/>
    </xf>
    <xf numFmtId="6" fontId="7" fillId="5" borderId="1" xfId="0" applyNumberFormat="1" applyFont="1" applyFill="1" applyBorder="1" applyAlignment="1">
      <alignment horizontal="right" vertical="center"/>
    </xf>
    <xf numFmtId="6" fontId="5" fillId="5" borderId="1" xfId="0" applyNumberFormat="1" applyFont="1" applyFill="1" applyBorder="1" applyAlignment="1">
      <alignment horizontal="right" vertical="center"/>
    </xf>
    <xf numFmtId="0" fontId="7" fillId="0" borderId="1" xfId="0" applyFont="1" applyFill="1" applyBorder="1" applyAlignment="1">
      <alignment horizontal="left" vertical="distributed"/>
    </xf>
    <xf numFmtId="0" fontId="0" fillId="0" borderId="1" xfId="0" applyFont="1" applyFill="1" applyBorder="1" applyAlignment="1">
      <alignment horizontal="left" vertical="distributed"/>
    </xf>
    <xf numFmtId="0" fontId="0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5" fontId="0" fillId="0" borderId="1" xfId="0" applyNumberFormat="1" applyFont="1" applyFill="1" applyBorder="1" applyAlignment="1">
      <alignment horizontal="center" vertical="center"/>
    </xf>
    <xf numFmtId="6" fontId="7" fillId="0" borderId="1" xfId="0" applyNumberFormat="1" applyFont="1" applyFill="1" applyBorder="1" applyAlignment="1">
      <alignment horizontal="right" vertical="center"/>
    </xf>
    <xf numFmtId="179" fontId="7" fillId="0" borderId="1" xfId="0" applyNumberFormat="1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6" fontId="8" fillId="3" borderId="1" xfId="0" applyNumberFormat="1" applyFont="1" applyFill="1" applyBorder="1">
      <alignment vertical="center"/>
    </xf>
    <xf numFmtId="6" fontId="8" fillId="4" borderId="1" xfId="0" applyNumberFormat="1" applyFont="1" applyFill="1" applyBorder="1">
      <alignment vertical="center"/>
    </xf>
    <xf numFmtId="0" fontId="12" fillId="0" borderId="1" xfId="0" applyFont="1" applyBorder="1">
      <alignment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0" fillId="5" borderId="1" xfId="0" applyNumberFormat="1" applyFill="1" applyBorder="1" applyAlignment="1">
      <alignment horizontal="right" vertical="center"/>
    </xf>
    <xf numFmtId="0" fontId="0" fillId="7" borderId="1" xfId="0" applyFill="1" applyBorder="1" applyAlignment="1">
      <alignment horizontal="left" vertical="center"/>
    </xf>
    <xf numFmtId="177" fontId="0" fillId="7" borderId="1" xfId="0" applyNumberFormat="1" applyFill="1" applyBorder="1" applyAlignment="1">
      <alignment horizontal="right" vertical="center"/>
    </xf>
    <xf numFmtId="0" fontId="0" fillId="0" borderId="5" xfId="0" applyBorder="1" applyAlignment="1">
      <alignment horizontal="center" vertical="center"/>
    </xf>
    <xf numFmtId="5" fontId="0" fillId="0" borderId="5" xfId="0" applyNumberFormat="1" applyBorder="1">
      <alignment vertical="center"/>
    </xf>
    <xf numFmtId="0" fontId="13" fillId="0" borderId="1" xfId="0" applyFont="1" applyFill="1" applyBorder="1">
      <alignment vertical="center"/>
    </xf>
    <xf numFmtId="177" fontId="0" fillId="4" borderId="1" xfId="0" applyNumberFormat="1" applyFill="1" applyBorder="1" applyAlignment="1">
      <alignment horizontal="right" vertical="center"/>
    </xf>
    <xf numFmtId="5" fontId="0" fillId="0" borderId="5" xfId="0" applyNumberFormat="1" applyBorder="1" applyAlignment="1">
      <alignment horizontal="right" vertical="center"/>
    </xf>
    <xf numFmtId="0" fontId="0" fillId="8" borderId="1" xfId="0" applyFill="1" applyBorder="1" applyAlignment="1">
      <alignment horizontal="left" vertical="center"/>
    </xf>
    <xf numFmtId="177" fontId="0" fillId="8" borderId="1" xfId="0" applyNumberFormat="1" applyFill="1" applyBorder="1" applyAlignment="1">
      <alignment horizontal="right" vertical="center"/>
    </xf>
    <xf numFmtId="0" fontId="0" fillId="9" borderId="1" xfId="0" applyFill="1" applyBorder="1" applyAlignment="1">
      <alignment horizontal="left" vertical="center"/>
    </xf>
    <xf numFmtId="177" fontId="0" fillId="9" borderId="1" xfId="0" applyNumberFormat="1" applyFill="1" applyBorder="1" applyAlignment="1">
      <alignment horizontal="right" vertical="center"/>
    </xf>
    <xf numFmtId="0" fontId="7" fillId="3" borderId="1" xfId="0" applyNumberFormat="1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180" fontId="8" fillId="0" borderId="1" xfId="0" applyNumberFormat="1" applyFont="1" applyFill="1" applyBorder="1">
      <alignment vertical="center"/>
    </xf>
    <xf numFmtId="180" fontId="5" fillId="3" borderId="1" xfId="0" applyNumberFormat="1" applyFont="1" applyFill="1" applyBorder="1">
      <alignment vertical="center"/>
    </xf>
    <xf numFmtId="0" fontId="0" fillId="12" borderId="0" xfId="0" applyFill="1" applyAlignment="1">
      <alignment horizontal="center" vertical="center"/>
    </xf>
    <xf numFmtId="0" fontId="0" fillId="10" borderId="1" xfId="0" applyFill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0" fillId="0" borderId="4" xfId="0" applyFill="1" applyBorder="1">
      <alignment vertical="center"/>
    </xf>
    <xf numFmtId="0" fontId="7" fillId="6" borderId="1" xfId="0" applyNumberFormat="1" applyFont="1" applyFill="1" applyBorder="1" applyAlignment="1">
      <alignment horizontal="center" vertical="center"/>
    </xf>
    <xf numFmtId="14" fontId="7" fillId="6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distributed"/>
    </xf>
    <xf numFmtId="0" fontId="0" fillId="6" borderId="1" xfId="0" applyFont="1" applyFill="1" applyBorder="1" applyAlignment="1">
      <alignment horizontal="left" vertical="distributed"/>
    </xf>
    <xf numFmtId="0" fontId="7" fillId="6" borderId="1" xfId="0" applyFont="1" applyFill="1" applyBorder="1" applyAlignment="1">
      <alignment horizontal="center" vertical="center"/>
    </xf>
    <xf numFmtId="179" fontId="7" fillId="6" borderId="1" xfId="0" applyNumberFormat="1" applyFont="1" applyFill="1" applyBorder="1" applyAlignment="1">
      <alignment horizontal="right" vertical="center"/>
    </xf>
    <xf numFmtId="14" fontId="7" fillId="6" borderId="1" xfId="0" applyNumberFormat="1" applyFont="1" applyFill="1" applyBorder="1" applyAlignment="1">
      <alignment horizontal="left" vertical="center" wrapText="1"/>
    </xf>
    <xf numFmtId="5" fontId="0" fillId="6" borderId="1" xfId="0" applyNumberFormat="1" applyFont="1" applyFill="1" applyBorder="1" applyAlignment="1">
      <alignment horizontal="center" vertical="center"/>
    </xf>
    <xf numFmtId="6" fontId="7" fillId="6" borderId="1" xfId="0" applyNumberFormat="1" applyFont="1" applyFill="1" applyBorder="1" applyAlignment="1">
      <alignment horizontal="right" vertical="center"/>
    </xf>
    <xf numFmtId="0" fontId="0" fillId="6" borderId="1" xfId="0" applyFont="1" applyFill="1" applyBorder="1" applyAlignment="1">
      <alignment horizontal="center" vertical="center"/>
    </xf>
    <xf numFmtId="6" fontId="0" fillId="2" borderId="1" xfId="0" applyNumberFormat="1" applyFill="1" applyBorder="1" applyAlignment="1">
      <alignment horizontal="center" vertical="center" wrapText="1"/>
    </xf>
    <xf numFmtId="178" fontId="0" fillId="6" borderId="1" xfId="0" applyNumberForma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left" vertical="center" wrapText="1"/>
    </xf>
    <xf numFmtId="6" fontId="8" fillId="0" borderId="1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11" borderId="1" xfId="0" applyFill="1" applyBorder="1" applyAlignment="1">
      <alignment horizontal="center" vertical="center"/>
    </xf>
    <xf numFmtId="177" fontId="0" fillId="11" borderId="1" xfId="0" applyNumberFormat="1" applyFill="1" applyBorder="1" applyAlignment="1">
      <alignment horizontal="right" vertical="center"/>
    </xf>
    <xf numFmtId="0" fontId="0" fillId="14" borderId="1" xfId="0" applyFill="1" applyBorder="1" applyAlignment="1">
      <alignment horizontal="center" vertical="center"/>
    </xf>
    <xf numFmtId="177" fontId="0" fillId="14" borderId="1" xfId="0" applyNumberFormat="1" applyFill="1" applyBorder="1" applyAlignment="1">
      <alignment horizontal="right" vertical="center"/>
    </xf>
    <xf numFmtId="0" fontId="0" fillId="15" borderId="1" xfId="0" applyFill="1" applyBorder="1" applyAlignment="1">
      <alignment horizontal="center" vertical="center"/>
    </xf>
    <xf numFmtId="177" fontId="0" fillId="15" borderId="1" xfId="0" applyNumberFormat="1" applyFill="1" applyBorder="1" applyAlignment="1">
      <alignment horizontal="right" vertical="center"/>
    </xf>
    <xf numFmtId="0" fontId="0" fillId="16" borderId="1" xfId="0" applyFill="1" applyBorder="1" applyAlignment="1">
      <alignment horizontal="center" vertical="center"/>
    </xf>
    <xf numFmtId="177" fontId="0" fillId="16" borderId="1" xfId="0" applyNumberFormat="1" applyFill="1" applyBorder="1" applyAlignment="1">
      <alignment horizontal="right" vertical="center"/>
    </xf>
    <xf numFmtId="0" fontId="0" fillId="13" borderId="1" xfId="0" applyFill="1" applyBorder="1" applyAlignment="1">
      <alignment horizontal="center" vertical="center"/>
    </xf>
    <xf numFmtId="177" fontId="0" fillId="13" borderId="1" xfId="0" applyNumberFormat="1" applyFill="1" applyBorder="1" applyAlignment="1">
      <alignment horizontal="right" vertical="center"/>
    </xf>
    <xf numFmtId="0" fontId="0" fillId="17" borderId="1" xfId="0" applyFill="1" applyBorder="1" applyAlignment="1">
      <alignment horizontal="center" vertical="center"/>
    </xf>
    <xf numFmtId="177" fontId="0" fillId="17" borderId="1" xfId="0" applyNumberFormat="1" applyFill="1" applyBorder="1" applyAlignment="1">
      <alignment horizontal="right" vertical="center"/>
    </xf>
    <xf numFmtId="6" fontId="8" fillId="18" borderId="1" xfId="0" applyNumberFormat="1" applyFont="1" applyFill="1" applyBorder="1">
      <alignment vertical="center"/>
    </xf>
    <xf numFmtId="0" fontId="0" fillId="18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5" fillId="0" borderId="0" xfId="0" applyFont="1">
      <alignment vertical="center"/>
    </xf>
    <xf numFmtId="9" fontId="5" fillId="6" borderId="1" xfId="0" applyNumberFormat="1" applyFont="1" applyFill="1" applyBorder="1" applyAlignment="1" applyProtection="1">
      <alignment horizontal="center" vertical="center"/>
      <protection locked="0"/>
    </xf>
    <xf numFmtId="6" fontId="0" fillId="5" borderId="1" xfId="0" applyNumberFormat="1" applyFont="1" applyFill="1" applyBorder="1" applyAlignment="1">
      <alignment horizontal="right" vertical="center"/>
    </xf>
    <xf numFmtId="0" fontId="0" fillId="3" borderId="1" xfId="0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left" vertical="center"/>
    </xf>
    <xf numFmtId="177" fontId="7" fillId="0" borderId="1" xfId="0" applyNumberFormat="1" applyFont="1" applyBorder="1" applyAlignment="1">
      <alignment horizontal="right" vertical="center"/>
    </xf>
    <xf numFmtId="177" fontId="0" fillId="4" borderId="1" xfId="0" applyNumberFormat="1" applyFont="1" applyFill="1" applyBorder="1" applyAlignment="1">
      <alignment horizontal="center" vertical="center" wrapText="1"/>
    </xf>
    <xf numFmtId="177" fontId="5" fillId="6" borderId="1" xfId="0" applyNumberFormat="1" applyFont="1" applyFill="1" applyBorder="1" applyAlignment="1">
      <alignment horizontal="right" vertical="center"/>
    </xf>
    <xf numFmtId="177" fontId="7" fillId="0" borderId="0" xfId="0" applyNumberFormat="1" applyFont="1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NumberFormat="1" applyFont="1" applyFill="1" applyBorder="1" applyAlignment="1">
      <alignment horizontal="center" vertical="center"/>
    </xf>
    <xf numFmtId="0" fontId="7" fillId="19" borderId="1" xfId="0" applyNumberFormat="1" applyFont="1" applyFill="1" applyBorder="1" applyAlignment="1">
      <alignment horizontal="center" vertical="center"/>
    </xf>
    <xf numFmtId="14" fontId="7" fillId="19" borderId="1" xfId="0" applyNumberFormat="1" applyFont="1" applyFill="1" applyBorder="1" applyAlignment="1">
      <alignment horizontal="center" vertical="center"/>
    </xf>
    <xf numFmtId="0" fontId="7" fillId="19" borderId="1" xfId="0" applyFont="1" applyFill="1" applyBorder="1" applyAlignment="1">
      <alignment horizontal="left" vertical="distributed"/>
    </xf>
    <xf numFmtId="0" fontId="0" fillId="19" borderId="1" xfId="0" applyFont="1" applyFill="1" applyBorder="1" applyAlignment="1">
      <alignment horizontal="left" vertical="distributed"/>
    </xf>
    <xf numFmtId="0" fontId="7" fillId="19" borderId="1" xfId="0" applyFont="1" applyFill="1" applyBorder="1" applyAlignment="1">
      <alignment horizontal="center" vertical="center"/>
    </xf>
    <xf numFmtId="179" fontId="7" fillId="19" borderId="1" xfId="0" applyNumberFormat="1" applyFont="1" applyFill="1" applyBorder="1" applyAlignment="1">
      <alignment horizontal="right" vertical="center"/>
    </xf>
    <xf numFmtId="14" fontId="7" fillId="19" borderId="1" xfId="0" applyNumberFormat="1" applyFont="1" applyFill="1" applyBorder="1" applyAlignment="1">
      <alignment horizontal="left" vertical="center" wrapText="1"/>
    </xf>
    <xf numFmtId="5" fontId="0" fillId="19" borderId="1" xfId="0" applyNumberFormat="1" applyFont="1" applyFill="1" applyBorder="1" applyAlignment="1">
      <alignment horizontal="center" vertical="center"/>
    </xf>
    <xf numFmtId="6" fontId="7" fillId="19" borderId="1" xfId="0" applyNumberFormat="1" applyFont="1" applyFill="1" applyBorder="1" applyAlignment="1">
      <alignment horizontal="right" vertical="center"/>
    </xf>
    <xf numFmtId="9" fontId="5" fillId="19" borderId="1" xfId="0" applyNumberFormat="1" applyFont="1" applyFill="1" applyBorder="1" applyAlignment="1" applyProtection="1">
      <alignment horizontal="center" vertical="center"/>
      <protection locked="0"/>
    </xf>
    <xf numFmtId="177" fontId="5" fillId="19" borderId="1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6" fontId="0" fillId="2" borderId="2" xfId="0" applyNumberFormat="1" applyFont="1" applyFill="1" applyBorder="1" applyAlignment="1">
      <alignment horizontal="center" vertical="center" wrapText="1"/>
    </xf>
    <xf numFmtId="6" fontId="0" fillId="2" borderId="3" xfId="0" applyNumberFormat="1" applyFont="1" applyFill="1" applyBorder="1" applyAlignment="1">
      <alignment horizontal="center" vertical="center" wrapText="1"/>
    </xf>
  </cellXfs>
  <cellStyles count="9">
    <cellStyle name="ハイパーリンク 2" xfId="1" xr:uid="{00000000-0005-0000-0000-000000000000}"/>
    <cellStyle name="桁区切り[0]" xfId="2" xr:uid="{00000000-0005-0000-0000-000001000000}"/>
    <cellStyle name="通貨[0]" xfId="3" xr:uid="{00000000-0005-0000-0000-000002000000}"/>
    <cellStyle name="標準" xfId="0" builtinId="0"/>
    <cellStyle name="標準 2" xfId="4" xr:uid="{00000000-0005-0000-0000-000004000000}"/>
    <cellStyle name="標準 3" xfId="5" xr:uid="{00000000-0005-0000-0000-000005000000}"/>
    <cellStyle name="標準 4" xfId="6" xr:uid="{00000000-0005-0000-0000-000006000000}"/>
    <cellStyle name="標準 5" xfId="7" xr:uid="{00000000-0005-0000-0000-000007000000}"/>
    <cellStyle name="標準 6" xfId="8" xr:uid="{00000000-0005-0000-0000-000008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D92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1981200</xdr:colOff>
      <xdr:row>5</xdr:row>
      <xdr:rowOff>9525</xdr:rowOff>
    </xdr:from>
    <xdr:to>
      <xdr:col>20</xdr:col>
      <xdr:colOff>19050</xdr:colOff>
      <xdr:row>15</xdr:row>
      <xdr:rowOff>228600</xdr:rowOff>
    </xdr:to>
    <xdr:sp macro="" textlink="">
      <xdr:nvSpPr>
        <xdr:cNvPr id="2" name="吹き出し: 線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63175" y="1266825"/>
          <a:ext cx="4095750" cy="3076575"/>
        </a:xfrm>
        <a:prstGeom prst="borderCallout1">
          <a:avLst>
            <a:gd name="adj1" fmla="val 18750"/>
            <a:gd name="adj2" fmla="val -8333"/>
            <a:gd name="adj3" fmla="val 36649"/>
            <a:gd name="adj4" fmla="val -511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統計情報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85725</xdr:rowOff>
        </xdr:from>
        <xdr:to>
          <xdr:col>2</xdr:col>
          <xdr:colOff>1066800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データ読み取り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1133475</xdr:colOff>
          <xdr:row>0</xdr:row>
          <xdr:rowOff>85725</xdr:rowOff>
        </xdr:from>
        <xdr:to>
          <xdr:col>2</xdr:col>
          <xdr:colOff>2143125</xdr:colOff>
          <xdr:row>0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2200275</xdr:colOff>
          <xdr:row>0</xdr:row>
          <xdr:rowOff>85725</xdr:rowOff>
        </xdr:from>
        <xdr:to>
          <xdr:col>2</xdr:col>
          <xdr:colOff>3209925</xdr:colOff>
          <xdr:row>0</xdr:row>
          <xdr:rowOff>409575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168520</xdr:colOff>
      <xdr:row>6</xdr:row>
      <xdr:rowOff>73270</xdr:rowOff>
    </xdr:from>
    <xdr:to>
      <xdr:col>10</xdr:col>
      <xdr:colOff>747346</xdr:colOff>
      <xdr:row>24</xdr:row>
      <xdr:rowOff>116498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96808" y="1553308"/>
          <a:ext cx="4095750" cy="3076575"/>
        </a:xfrm>
        <a:prstGeom prst="borderCallout1">
          <a:avLst>
            <a:gd name="adj1" fmla="val 18750"/>
            <a:gd name="adj2" fmla="val -8333"/>
            <a:gd name="adj3" fmla="val 36649"/>
            <a:gd name="adj4" fmla="val -511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統計情報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66675</xdr:rowOff>
        </xdr:from>
        <xdr:to>
          <xdr:col>2</xdr:col>
          <xdr:colOff>1409700</xdr:colOff>
          <xdr:row>0</xdr:row>
          <xdr:rowOff>371475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データ読み取り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66675</xdr:rowOff>
        </xdr:from>
        <xdr:to>
          <xdr:col>3</xdr:col>
          <xdr:colOff>1400175</xdr:colOff>
          <xdr:row>0</xdr:row>
          <xdr:rowOff>371475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190500</xdr:colOff>
      <xdr:row>15</xdr:row>
      <xdr:rowOff>57150</xdr:rowOff>
    </xdr:from>
    <xdr:to>
      <xdr:col>14</xdr:col>
      <xdr:colOff>781050</xdr:colOff>
      <xdr:row>33</xdr:row>
      <xdr:rowOff>47625</xdr:rowOff>
    </xdr:to>
    <xdr:sp macro="" textlink="">
      <xdr:nvSpPr>
        <xdr:cNvPr id="4" name="吹き出し: 線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182100" y="3067050"/>
          <a:ext cx="4095750" cy="3076575"/>
        </a:xfrm>
        <a:prstGeom prst="borderCallout1">
          <a:avLst>
            <a:gd name="adj1" fmla="val 18750"/>
            <a:gd name="adj2" fmla="val -8333"/>
            <a:gd name="adj3" fmla="val 36649"/>
            <a:gd name="adj4" fmla="val -511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統計情報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66675</xdr:rowOff>
        </xdr:from>
        <xdr:to>
          <xdr:col>2</xdr:col>
          <xdr:colOff>1400175</xdr:colOff>
          <xdr:row>0</xdr:row>
          <xdr:rowOff>371475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3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データ読み取り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66675</xdr:rowOff>
        </xdr:from>
        <xdr:to>
          <xdr:col>3</xdr:col>
          <xdr:colOff>1400175</xdr:colOff>
          <xdr:row>0</xdr:row>
          <xdr:rowOff>371475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3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400050</xdr:colOff>
      <xdr:row>2</xdr:row>
      <xdr:rowOff>200025</xdr:rowOff>
    </xdr:from>
    <xdr:to>
      <xdr:col>12</xdr:col>
      <xdr:colOff>257175</xdr:colOff>
      <xdr:row>15</xdr:row>
      <xdr:rowOff>57150</xdr:rowOff>
    </xdr:to>
    <xdr:sp macro="" textlink="">
      <xdr:nvSpPr>
        <xdr:cNvPr id="4" name="吹き出し: 線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791325" y="1038225"/>
          <a:ext cx="4095750" cy="3076575"/>
        </a:xfrm>
        <a:prstGeom prst="borderCallout1">
          <a:avLst>
            <a:gd name="adj1" fmla="val 18750"/>
            <a:gd name="adj2" fmla="val -8333"/>
            <a:gd name="adj3" fmla="val 36649"/>
            <a:gd name="adj4" fmla="val -511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統計情報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66675</xdr:rowOff>
        </xdr:from>
        <xdr:to>
          <xdr:col>2</xdr:col>
          <xdr:colOff>1409700</xdr:colOff>
          <xdr:row>0</xdr:row>
          <xdr:rowOff>371475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データ読み取り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66675</xdr:rowOff>
        </xdr:from>
        <xdr:to>
          <xdr:col>3</xdr:col>
          <xdr:colOff>1400175</xdr:colOff>
          <xdr:row>0</xdr:row>
          <xdr:rowOff>371475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228600</xdr:colOff>
      <xdr:row>5</xdr:row>
      <xdr:rowOff>133350</xdr:rowOff>
    </xdr:from>
    <xdr:to>
      <xdr:col>12</xdr:col>
      <xdr:colOff>819150</xdr:colOff>
      <xdr:row>23</xdr:row>
      <xdr:rowOff>123825</xdr:rowOff>
    </xdr:to>
    <xdr:sp macro="" textlink="">
      <xdr:nvSpPr>
        <xdr:cNvPr id="4" name="吹き出し: 線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67600" y="1428750"/>
          <a:ext cx="4095750" cy="3076575"/>
        </a:xfrm>
        <a:prstGeom prst="borderCallout1">
          <a:avLst>
            <a:gd name="adj1" fmla="val 18750"/>
            <a:gd name="adj2" fmla="val -8333"/>
            <a:gd name="adj3" fmla="val 36649"/>
            <a:gd name="adj4" fmla="val -511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統計情報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5</xdr:row>
      <xdr:rowOff>100853</xdr:rowOff>
    </xdr:from>
    <xdr:to>
      <xdr:col>11</xdr:col>
      <xdr:colOff>252132</xdr:colOff>
      <xdr:row>14</xdr:row>
      <xdr:rowOff>50986</xdr:rowOff>
    </xdr:to>
    <xdr:sp macro="" textlink="">
      <xdr:nvSpPr>
        <xdr:cNvPr id="2" name="吹き出し: 線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961529" y="1781735"/>
          <a:ext cx="4095750" cy="3076575"/>
        </a:xfrm>
        <a:prstGeom prst="borderCallout1">
          <a:avLst>
            <a:gd name="adj1" fmla="val 18750"/>
            <a:gd name="adj2" fmla="val -8333"/>
            <a:gd name="adj3" fmla="val 36649"/>
            <a:gd name="adj4" fmla="val -511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１．一覧画面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２．登録</a:t>
          </a:r>
          <a:r>
            <a:rPr kumimoji="1" lang="en-US" altLang="ja-JP" sz="1100"/>
            <a:t>/</a:t>
          </a:r>
          <a:r>
            <a:rPr kumimoji="1" lang="ja-JP" altLang="en-US" sz="1100"/>
            <a:t>変更、確認画面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0"/>
  <sheetViews>
    <sheetView showGridLines="0" view="pageBreakPreview" zoomScaleNormal="130" zoomScaleSheetLayoutView="100" workbookViewId="0">
      <selection activeCell="K15" sqref="K15"/>
    </sheetView>
  </sheetViews>
  <sheetFormatPr defaultColWidth="4.125" defaultRowHeight="13.5" x14ac:dyDescent="0.15"/>
  <cols>
    <col min="1" max="1" width="3.25" style="16" customWidth="1"/>
    <col min="2" max="2" width="3.875" style="17" customWidth="1"/>
    <col min="3" max="3" width="7.5" style="17" bestFit="1" customWidth="1"/>
    <col min="4" max="7" width="15.375" style="17" customWidth="1"/>
    <col min="8" max="9" width="8.875" style="19" customWidth="1"/>
    <col min="10" max="10" width="13.5" style="19" customWidth="1"/>
    <col min="11" max="11" width="42.75" style="16" customWidth="1"/>
    <col min="12" max="12" width="3.75" style="16" customWidth="1"/>
    <col min="13" max="16384" width="4.125" style="16"/>
  </cols>
  <sheetData>
    <row r="2" spans="2:11" x14ac:dyDescent="0.15">
      <c r="E2" s="81" t="s">
        <v>374</v>
      </c>
      <c r="F2" s="81" t="s">
        <v>374</v>
      </c>
    </row>
    <row r="3" spans="2:11" ht="27" x14ac:dyDescent="0.15">
      <c r="B3" s="21" t="s">
        <v>0</v>
      </c>
      <c r="C3" s="55" t="s">
        <v>9</v>
      </c>
      <c r="D3" s="31" t="s">
        <v>5</v>
      </c>
      <c r="E3" s="31" t="s">
        <v>320</v>
      </c>
      <c r="F3" s="31" t="s">
        <v>214</v>
      </c>
      <c r="G3" s="30" t="s">
        <v>42</v>
      </c>
      <c r="H3" s="30" t="s">
        <v>373</v>
      </c>
      <c r="I3" s="30" t="s">
        <v>413</v>
      </c>
      <c r="J3" s="30" t="s">
        <v>213</v>
      </c>
      <c r="K3" s="21" t="s">
        <v>7</v>
      </c>
    </row>
    <row r="4" spans="2:11" ht="23.1" customHeight="1" x14ac:dyDescent="0.15">
      <c r="B4" s="116">
        <v>1</v>
      </c>
      <c r="C4" s="117" t="s">
        <v>431</v>
      </c>
      <c r="D4" s="98">
        <f t="shared" ref="D4:D15" ca="1" si="0">INDIRECT(C4&amp;"!N1")</f>
        <v>90909</v>
      </c>
      <c r="E4" s="98">
        <f t="shared" ref="E4:E15" ca="1" si="1">INDIRECT(C4&amp;"!P1")</f>
        <v>9090.9</v>
      </c>
      <c r="F4" s="98">
        <f ca="1">ROUND(INDIRECT(C4&amp;"!R1"),0)</f>
        <v>100000</v>
      </c>
      <c r="G4" s="98">
        <f t="shared" ref="G4:G15" ca="1" si="2">INDIRECT(C4&amp;"!Q1")</f>
        <v>99999.9</v>
      </c>
      <c r="H4" s="79">
        <f t="shared" ref="H4:H15" ca="1" si="3">INDIRECT(C4&amp;"!G1")</f>
        <v>0</v>
      </c>
      <c r="I4" s="79">
        <f t="shared" ref="I4:I15" ca="1" si="4">INDIRECT(C4&amp;"!H1")</f>
        <v>0</v>
      </c>
      <c r="J4" s="98">
        <f t="shared" ref="J4:J15" ca="1" si="5">INDIRECT(C4&amp;"!S1")</f>
        <v>0</v>
      </c>
      <c r="K4" s="118"/>
    </row>
    <row r="5" spans="2:11" ht="23.1" customHeight="1" x14ac:dyDescent="0.15">
      <c r="B5" s="116">
        <v>2</v>
      </c>
      <c r="C5" s="117" t="s">
        <v>432</v>
      </c>
      <c r="D5" s="98" t="e">
        <f t="shared" ca="1" si="0"/>
        <v>#REF!</v>
      </c>
      <c r="E5" s="98" t="e">
        <f t="shared" ca="1" si="1"/>
        <v>#REF!</v>
      </c>
      <c r="F5" s="98" t="e">
        <f t="shared" ref="F5:F15" ca="1" si="6">ROUND(INDIRECT(C5&amp;"!R1"),0)</f>
        <v>#REF!</v>
      </c>
      <c r="G5" s="98" t="e">
        <f t="shared" ca="1" si="2"/>
        <v>#REF!</v>
      </c>
      <c r="H5" s="79" t="e">
        <f t="shared" ca="1" si="3"/>
        <v>#REF!</v>
      </c>
      <c r="I5" s="79" t="e">
        <f t="shared" ca="1" si="4"/>
        <v>#REF!</v>
      </c>
      <c r="J5" s="98" t="e">
        <f t="shared" ca="1" si="5"/>
        <v>#REF!</v>
      </c>
      <c r="K5" s="118"/>
    </row>
    <row r="6" spans="2:11" ht="23.1" customHeight="1" x14ac:dyDescent="0.15">
      <c r="B6" s="116">
        <v>3</v>
      </c>
      <c r="C6" s="117" t="s">
        <v>434</v>
      </c>
      <c r="D6" s="98" t="e">
        <f t="shared" ca="1" si="0"/>
        <v>#REF!</v>
      </c>
      <c r="E6" s="98" t="e">
        <f t="shared" ca="1" si="1"/>
        <v>#REF!</v>
      </c>
      <c r="F6" s="98" t="e">
        <f t="shared" ca="1" si="6"/>
        <v>#REF!</v>
      </c>
      <c r="G6" s="98" t="e">
        <f t="shared" ca="1" si="2"/>
        <v>#REF!</v>
      </c>
      <c r="H6" s="79" t="e">
        <f t="shared" ca="1" si="3"/>
        <v>#REF!</v>
      </c>
      <c r="I6" s="79" t="e">
        <f t="shared" ca="1" si="4"/>
        <v>#REF!</v>
      </c>
      <c r="J6" s="98" t="e">
        <f t="shared" ca="1" si="5"/>
        <v>#REF!</v>
      </c>
      <c r="K6" s="118"/>
    </row>
    <row r="7" spans="2:11" ht="23.1" customHeight="1" x14ac:dyDescent="0.15">
      <c r="B7" s="116">
        <v>4</v>
      </c>
      <c r="C7" s="117" t="s">
        <v>435</v>
      </c>
      <c r="D7" s="98" t="e">
        <f t="shared" ca="1" si="0"/>
        <v>#REF!</v>
      </c>
      <c r="E7" s="98" t="e">
        <f t="shared" ca="1" si="1"/>
        <v>#REF!</v>
      </c>
      <c r="F7" s="98" t="e">
        <f t="shared" ca="1" si="6"/>
        <v>#REF!</v>
      </c>
      <c r="G7" s="98" t="e">
        <f t="shared" ca="1" si="2"/>
        <v>#REF!</v>
      </c>
      <c r="H7" s="79" t="e">
        <f t="shared" ca="1" si="3"/>
        <v>#REF!</v>
      </c>
      <c r="I7" s="79" t="e">
        <f t="shared" ca="1" si="4"/>
        <v>#REF!</v>
      </c>
      <c r="J7" s="98" t="e">
        <f t="shared" ca="1" si="5"/>
        <v>#REF!</v>
      </c>
      <c r="K7" s="118"/>
    </row>
    <row r="8" spans="2:11" ht="23.1" customHeight="1" x14ac:dyDescent="0.15">
      <c r="B8" s="116">
        <v>5</v>
      </c>
      <c r="C8" s="117" t="s">
        <v>436</v>
      </c>
      <c r="D8" s="98" t="e">
        <f t="shared" ca="1" si="0"/>
        <v>#REF!</v>
      </c>
      <c r="E8" s="98" t="e">
        <f t="shared" ca="1" si="1"/>
        <v>#REF!</v>
      </c>
      <c r="F8" s="98" t="e">
        <f t="shared" ca="1" si="6"/>
        <v>#REF!</v>
      </c>
      <c r="G8" s="98" t="e">
        <f t="shared" ca="1" si="2"/>
        <v>#REF!</v>
      </c>
      <c r="H8" s="79" t="e">
        <f t="shared" ca="1" si="3"/>
        <v>#REF!</v>
      </c>
      <c r="I8" s="79" t="e">
        <f t="shared" ca="1" si="4"/>
        <v>#REF!</v>
      </c>
      <c r="J8" s="98" t="e">
        <f t="shared" ca="1" si="5"/>
        <v>#REF!</v>
      </c>
      <c r="K8" s="118"/>
    </row>
    <row r="9" spans="2:11" ht="23.1" customHeight="1" x14ac:dyDescent="0.15">
      <c r="B9" s="116">
        <v>6</v>
      </c>
      <c r="C9" s="117" t="s">
        <v>437</v>
      </c>
      <c r="D9" s="98" t="e">
        <f t="shared" ca="1" si="0"/>
        <v>#REF!</v>
      </c>
      <c r="E9" s="98" t="e">
        <f t="shared" ca="1" si="1"/>
        <v>#REF!</v>
      </c>
      <c r="F9" s="98" t="e">
        <f t="shared" ca="1" si="6"/>
        <v>#REF!</v>
      </c>
      <c r="G9" s="98" t="e">
        <f t="shared" ca="1" si="2"/>
        <v>#REF!</v>
      </c>
      <c r="H9" s="79" t="e">
        <f t="shared" ca="1" si="3"/>
        <v>#REF!</v>
      </c>
      <c r="I9" s="79" t="e">
        <f t="shared" ca="1" si="4"/>
        <v>#REF!</v>
      </c>
      <c r="J9" s="98" t="e">
        <f t="shared" ca="1" si="5"/>
        <v>#REF!</v>
      </c>
      <c r="K9" s="118"/>
    </row>
    <row r="10" spans="2:11" ht="23.1" customHeight="1" x14ac:dyDescent="0.15">
      <c r="B10" s="116">
        <v>7</v>
      </c>
      <c r="C10" s="117" t="s">
        <v>433</v>
      </c>
      <c r="D10" s="98" t="e">
        <f t="shared" ca="1" si="0"/>
        <v>#REF!</v>
      </c>
      <c r="E10" s="98" t="e">
        <f t="shared" ca="1" si="1"/>
        <v>#REF!</v>
      </c>
      <c r="F10" s="98" t="e">
        <f t="shared" ca="1" si="6"/>
        <v>#REF!</v>
      </c>
      <c r="G10" s="98" t="e">
        <f t="shared" ca="1" si="2"/>
        <v>#REF!</v>
      </c>
      <c r="H10" s="79" t="e">
        <f t="shared" ca="1" si="3"/>
        <v>#REF!</v>
      </c>
      <c r="I10" s="79" t="e">
        <f t="shared" ca="1" si="4"/>
        <v>#REF!</v>
      </c>
      <c r="J10" s="98" t="e">
        <f t="shared" ca="1" si="5"/>
        <v>#REF!</v>
      </c>
      <c r="K10" s="119"/>
    </row>
    <row r="11" spans="2:11" ht="23.1" customHeight="1" x14ac:dyDescent="0.15">
      <c r="B11" s="116">
        <v>8</v>
      </c>
      <c r="C11" s="117" t="s">
        <v>438</v>
      </c>
      <c r="D11" s="98" t="e">
        <f t="shared" ca="1" si="0"/>
        <v>#REF!</v>
      </c>
      <c r="E11" s="98" t="e">
        <f t="shared" ca="1" si="1"/>
        <v>#REF!</v>
      </c>
      <c r="F11" s="98" t="e">
        <f t="shared" ca="1" si="6"/>
        <v>#REF!</v>
      </c>
      <c r="G11" s="98" t="e">
        <f t="shared" ca="1" si="2"/>
        <v>#REF!</v>
      </c>
      <c r="H11" s="79" t="e">
        <f t="shared" ca="1" si="3"/>
        <v>#REF!</v>
      </c>
      <c r="I11" s="79" t="e">
        <f t="shared" ca="1" si="4"/>
        <v>#REF!</v>
      </c>
      <c r="J11" s="98" t="e">
        <f t="shared" ca="1" si="5"/>
        <v>#REF!</v>
      </c>
      <c r="K11" s="118"/>
    </row>
    <row r="12" spans="2:11" ht="23.1" customHeight="1" x14ac:dyDescent="0.15">
      <c r="B12" s="116">
        <v>9</v>
      </c>
      <c r="C12" s="117" t="s">
        <v>439</v>
      </c>
      <c r="D12" s="98" t="e">
        <f t="shared" ca="1" si="0"/>
        <v>#REF!</v>
      </c>
      <c r="E12" s="98" t="e">
        <f t="shared" ca="1" si="1"/>
        <v>#REF!</v>
      </c>
      <c r="F12" s="98" t="e">
        <f t="shared" ca="1" si="6"/>
        <v>#REF!</v>
      </c>
      <c r="G12" s="98" t="e">
        <f t="shared" ca="1" si="2"/>
        <v>#REF!</v>
      </c>
      <c r="H12" s="79" t="e">
        <f t="shared" ca="1" si="3"/>
        <v>#REF!</v>
      </c>
      <c r="I12" s="79" t="e">
        <f t="shared" ca="1" si="4"/>
        <v>#REF!</v>
      </c>
      <c r="J12" s="98" t="e">
        <f t="shared" ca="1" si="5"/>
        <v>#REF!</v>
      </c>
      <c r="K12" s="118"/>
    </row>
    <row r="13" spans="2:11" ht="23.1" customHeight="1" x14ac:dyDescent="0.15">
      <c r="B13" s="116">
        <v>10</v>
      </c>
      <c r="C13" s="117" t="s">
        <v>440</v>
      </c>
      <c r="D13" s="98" t="e">
        <f t="shared" ca="1" si="0"/>
        <v>#REF!</v>
      </c>
      <c r="E13" s="98" t="e">
        <f t="shared" ca="1" si="1"/>
        <v>#REF!</v>
      </c>
      <c r="F13" s="98" t="e">
        <f t="shared" ca="1" si="6"/>
        <v>#REF!</v>
      </c>
      <c r="G13" s="98" t="e">
        <f t="shared" ca="1" si="2"/>
        <v>#REF!</v>
      </c>
      <c r="H13" s="79" t="e">
        <f t="shared" ca="1" si="3"/>
        <v>#REF!</v>
      </c>
      <c r="I13" s="79" t="e">
        <f t="shared" ca="1" si="4"/>
        <v>#REF!</v>
      </c>
      <c r="J13" s="98" t="e">
        <f t="shared" ca="1" si="5"/>
        <v>#REF!</v>
      </c>
      <c r="K13" s="118"/>
    </row>
    <row r="14" spans="2:11" ht="23.1" customHeight="1" x14ac:dyDescent="0.15">
      <c r="B14" s="116">
        <v>11</v>
      </c>
      <c r="C14" s="117" t="s">
        <v>441</v>
      </c>
      <c r="D14" s="98" t="e">
        <f t="shared" ca="1" si="0"/>
        <v>#REF!</v>
      </c>
      <c r="E14" s="98" t="e">
        <f t="shared" ca="1" si="1"/>
        <v>#REF!</v>
      </c>
      <c r="F14" s="98" t="e">
        <f t="shared" ca="1" si="6"/>
        <v>#REF!</v>
      </c>
      <c r="G14" s="98" t="e">
        <f t="shared" ca="1" si="2"/>
        <v>#REF!</v>
      </c>
      <c r="H14" s="79" t="e">
        <f t="shared" ca="1" si="3"/>
        <v>#REF!</v>
      </c>
      <c r="I14" s="79" t="e">
        <f t="shared" ca="1" si="4"/>
        <v>#REF!</v>
      </c>
      <c r="J14" s="98" t="e">
        <f t="shared" ca="1" si="5"/>
        <v>#REF!</v>
      </c>
      <c r="K14" s="118"/>
    </row>
    <row r="15" spans="2:11" ht="23.1" customHeight="1" x14ac:dyDescent="0.15">
      <c r="B15" s="116">
        <v>12</v>
      </c>
      <c r="C15" s="117" t="s">
        <v>442</v>
      </c>
      <c r="D15" s="98" t="e">
        <f t="shared" ca="1" si="0"/>
        <v>#REF!</v>
      </c>
      <c r="E15" s="98" t="e">
        <f t="shared" ca="1" si="1"/>
        <v>#REF!</v>
      </c>
      <c r="F15" s="98" t="e">
        <f t="shared" ca="1" si="6"/>
        <v>#REF!</v>
      </c>
      <c r="G15" s="98" t="e">
        <f t="shared" ca="1" si="2"/>
        <v>#REF!</v>
      </c>
      <c r="H15" s="79" t="e">
        <f t="shared" ca="1" si="3"/>
        <v>#REF!</v>
      </c>
      <c r="I15" s="79" t="e">
        <f t="shared" ca="1" si="4"/>
        <v>#REF!</v>
      </c>
      <c r="J15" s="98" t="e">
        <f t="shared" ca="1" si="5"/>
        <v>#REF!</v>
      </c>
      <c r="K15" s="118"/>
    </row>
    <row r="16" spans="2:11" ht="37.5" customHeight="1" x14ac:dyDescent="0.15">
      <c r="B16" s="145" t="s">
        <v>10</v>
      </c>
      <c r="C16" s="146"/>
      <c r="D16" s="98" t="e">
        <f t="shared" ref="D16:F16" ca="1" si="7">SUM(D4:D15)</f>
        <v>#REF!</v>
      </c>
      <c r="E16" s="57" t="e">
        <f t="shared" ca="1" si="7"/>
        <v>#REF!</v>
      </c>
      <c r="F16" s="114" t="e">
        <f t="shared" ca="1" si="7"/>
        <v>#REF!</v>
      </c>
      <c r="G16" s="56" t="e">
        <f ca="1">SUM(G4:G15)</f>
        <v>#REF!</v>
      </c>
      <c r="H16" s="80" t="e">
        <f ca="1">SUM(H4:H15)</f>
        <v>#REF!</v>
      </c>
      <c r="I16" s="80" t="e">
        <f ca="1">SUM(I4:I15)</f>
        <v>#REF!</v>
      </c>
      <c r="J16" s="20" t="e">
        <f ca="1">SUM(J4:J15)</f>
        <v>#REF!</v>
      </c>
      <c r="K16" s="83"/>
    </row>
    <row r="18" spans="2:7" ht="23.1" customHeight="1" x14ac:dyDescent="0.15">
      <c r="B18" s="147" t="s">
        <v>419</v>
      </c>
      <c r="C18" s="147"/>
      <c r="D18" s="147"/>
      <c r="E18" s="115" t="s">
        <v>10</v>
      </c>
      <c r="F18" s="98">
        <f>'10取引先'!D1</f>
        <v>0</v>
      </c>
      <c r="G18" s="17" t="e">
        <f ca="1">IF(ABS(F16-F18)&lt;2, "●","×")</f>
        <v>#REF!</v>
      </c>
    </row>
    <row r="19" spans="2:7" ht="23.1" customHeight="1" x14ac:dyDescent="0.15">
      <c r="B19" s="147" t="s">
        <v>420</v>
      </c>
      <c r="C19" s="147"/>
      <c r="D19" s="147"/>
      <c r="E19" s="115" t="s">
        <v>10</v>
      </c>
      <c r="F19" s="98">
        <f>'20社員'!E1</f>
        <v>0</v>
      </c>
      <c r="G19" s="17" t="e">
        <f ca="1">IF(ABS(F16-F19)&lt;2, "●","×")</f>
        <v>#REF!</v>
      </c>
    </row>
    <row r="20" spans="2:7" ht="23.1" customHeight="1" x14ac:dyDescent="0.15">
      <c r="B20" s="147" t="s">
        <v>421</v>
      </c>
      <c r="C20" s="147"/>
      <c r="D20" s="147"/>
      <c r="E20" s="115" t="s">
        <v>10</v>
      </c>
      <c r="F20" s="98">
        <f>'30営業'!E1</f>
        <v>0</v>
      </c>
      <c r="G20" s="17" t="e">
        <f ca="1">IF(ABS(F16-F20)&lt;2, "●","×")</f>
        <v>#REF!</v>
      </c>
    </row>
  </sheetData>
  <mergeCells count="4">
    <mergeCell ref="B16:C16"/>
    <mergeCell ref="B18:D18"/>
    <mergeCell ref="B19:D19"/>
    <mergeCell ref="B20:D20"/>
  </mergeCells>
  <phoneticPr fontId="1"/>
  <printOptions horizontalCentered="1"/>
  <pageMargins left="0.51181102362204722" right="0.51181102362204722" top="0.74803149606299213" bottom="0.74803149606299213" header="0.31496062992125984" footer="0.31496062992125984"/>
  <pageSetup paperSize="9" scale="90" orientation="landscape" horizontalDpi="180" verticalDpi="180" r:id="rId1"/>
  <headerFooter>
    <oddHeader>&amp;C&amp;A&amp;R社外密</oddHeader>
    <oddFooter>&amp;C&amp;F　&amp;D&amp;R&amp;P ページ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2E15E-0C79-4488-9F52-03056F03FD14}">
  <sheetPr codeName="Sheet2"/>
  <dimension ref="B1:Q136"/>
  <sheetViews>
    <sheetView showGridLines="0" zoomScale="130" zoomScaleNormal="13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9" sqref="E19"/>
    </sheetView>
  </sheetViews>
  <sheetFormatPr defaultRowHeight="13.5" x14ac:dyDescent="0.15"/>
  <cols>
    <col min="1" max="1" width="2.625" customWidth="1"/>
    <col min="2" max="2" width="4.5" style="27" customWidth="1"/>
    <col min="3" max="3" width="42.875" bestFit="1" customWidth="1"/>
    <col min="4" max="4" width="12.625" bestFit="1" customWidth="1"/>
    <col min="5" max="16" width="11.5" bestFit="1" customWidth="1"/>
    <col min="17" max="17" width="29.25" customWidth="1"/>
    <col min="18" max="18" width="3" customWidth="1"/>
  </cols>
  <sheetData>
    <row r="1" spans="2:17" ht="35.25" customHeight="1" x14ac:dyDescent="0.15">
      <c r="D1" s="24">
        <f>SUM(E1:P1)</f>
        <v>0</v>
      </c>
      <c r="E1" s="24">
        <f t="shared" ref="E1:P1" si="0">SUM(E3:E197)</f>
        <v>0</v>
      </c>
      <c r="F1" s="24">
        <f t="shared" si="0"/>
        <v>0</v>
      </c>
      <c r="G1" s="24">
        <f t="shared" si="0"/>
        <v>0</v>
      </c>
      <c r="H1" s="24">
        <f t="shared" si="0"/>
        <v>0</v>
      </c>
      <c r="I1" s="24">
        <f t="shared" si="0"/>
        <v>0</v>
      </c>
      <c r="J1" s="24">
        <f t="shared" si="0"/>
        <v>0</v>
      </c>
      <c r="K1" s="24">
        <f t="shared" si="0"/>
        <v>0</v>
      </c>
      <c r="L1" s="24">
        <f t="shared" si="0"/>
        <v>0</v>
      </c>
      <c r="M1" s="24">
        <f t="shared" si="0"/>
        <v>0</v>
      </c>
      <c r="N1" s="24">
        <f t="shared" si="0"/>
        <v>0</v>
      </c>
      <c r="O1" s="24">
        <f t="shared" si="0"/>
        <v>0</v>
      </c>
      <c r="P1" s="24">
        <f t="shared" si="0"/>
        <v>0</v>
      </c>
    </row>
    <row r="2" spans="2:17" ht="28.5" customHeight="1" x14ac:dyDescent="0.15">
      <c r="B2" s="25" t="s">
        <v>39</v>
      </c>
      <c r="C2" s="25" t="s">
        <v>321</v>
      </c>
      <c r="D2" s="25" t="s">
        <v>198</v>
      </c>
      <c r="E2" s="34">
        <v>202007</v>
      </c>
      <c r="F2" s="34">
        <v>202008</v>
      </c>
      <c r="G2" s="34">
        <v>202009</v>
      </c>
      <c r="H2" s="34">
        <v>202010</v>
      </c>
      <c r="I2" s="34">
        <v>202011</v>
      </c>
      <c r="J2" s="34">
        <v>202012</v>
      </c>
      <c r="K2" s="34">
        <v>202101</v>
      </c>
      <c r="L2" s="34">
        <v>202102</v>
      </c>
      <c r="M2" s="34">
        <v>202103</v>
      </c>
      <c r="N2" s="34">
        <v>202104</v>
      </c>
      <c r="O2" s="34">
        <v>202105</v>
      </c>
      <c r="P2" s="34">
        <v>202106</v>
      </c>
      <c r="Q2" s="23" t="s">
        <v>40</v>
      </c>
    </row>
    <row r="3" spans="2:17" x14ac:dyDescent="0.15">
      <c r="B3" s="26">
        <f t="shared" ref="B3:B34" si="1">ROW()-2</f>
        <v>1</v>
      </c>
      <c r="C3" s="35" t="s">
        <v>54</v>
      </c>
      <c r="D3" s="39">
        <f t="shared" ref="D3:D34" si="2">SUM(E3:P3)</f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22"/>
    </row>
    <row r="4" spans="2:17" x14ac:dyDescent="0.15">
      <c r="B4" s="26">
        <f t="shared" si="1"/>
        <v>2</v>
      </c>
      <c r="C4" s="35" t="s">
        <v>182</v>
      </c>
      <c r="D4" s="39">
        <f t="shared" si="2"/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22"/>
    </row>
    <row r="5" spans="2:17" x14ac:dyDescent="0.15">
      <c r="B5" s="26">
        <f t="shared" si="1"/>
        <v>3</v>
      </c>
      <c r="C5" s="35" t="s">
        <v>247</v>
      </c>
      <c r="D5" s="39">
        <f t="shared" si="2"/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22"/>
    </row>
    <row r="6" spans="2:17" x14ac:dyDescent="0.15">
      <c r="B6" s="26">
        <f t="shared" si="1"/>
        <v>4</v>
      </c>
      <c r="C6" s="35" t="s">
        <v>15</v>
      </c>
      <c r="D6" s="39">
        <f t="shared" si="2"/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22"/>
    </row>
    <row r="7" spans="2:17" x14ac:dyDescent="0.15">
      <c r="B7" s="26">
        <f t="shared" si="1"/>
        <v>5</v>
      </c>
      <c r="C7" s="35" t="s">
        <v>325</v>
      </c>
      <c r="D7" s="39">
        <f t="shared" si="2"/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22"/>
    </row>
    <row r="8" spans="2:17" x14ac:dyDescent="0.15">
      <c r="B8" s="26">
        <f t="shared" si="1"/>
        <v>6</v>
      </c>
      <c r="C8" s="35" t="s">
        <v>276</v>
      </c>
      <c r="D8" s="39">
        <f t="shared" si="2"/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22"/>
    </row>
    <row r="9" spans="2:17" x14ac:dyDescent="0.15">
      <c r="B9" s="26">
        <f t="shared" si="1"/>
        <v>7</v>
      </c>
      <c r="C9" s="35" t="s">
        <v>274</v>
      </c>
      <c r="D9" s="39">
        <f t="shared" si="2"/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22"/>
    </row>
    <row r="10" spans="2:17" x14ac:dyDescent="0.15">
      <c r="B10" s="26">
        <f t="shared" si="1"/>
        <v>8</v>
      </c>
      <c r="C10" s="35" t="s">
        <v>269</v>
      </c>
      <c r="D10" s="39">
        <f t="shared" si="2"/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22"/>
    </row>
    <row r="11" spans="2:17" x14ac:dyDescent="0.15">
      <c r="B11" s="26">
        <f t="shared" si="1"/>
        <v>9</v>
      </c>
      <c r="C11" s="35" t="s">
        <v>264</v>
      </c>
      <c r="D11" s="39">
        <f t="shared" si="2"/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22"/>
    </row>
    <row r="12" spans="2:17" x14ac:dyDescent="0.15">
      <c r="B12" s="26">
        <f t="shared" si="1"/>
        <v>10</v>
      </c>
      <c r="C12" s="35" t="s">
        <v>68</v>
      </c>
      <c r="D12" s="39">
        <f t="shared" si="2"/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  <c r="L12" s="39">
        <v>0</v>
      </c>
      <c r="M12" s="39">
        <v>0</v>
      </c>
      <c r="N12" s="39">
        <v>0</v>
      </c>
      <c r="O12" s="39">
        <v>0</v>
      </c>
      <c r="P12" s="39">
        <v>0</v>
      </c>
      <c r="Q12" s="22"/>
    </row>
    <row r="13" spans="2:17" x14ac:dyDescent="0.15">
      <c r="B13" s="26">
        <f t="shared" si="1"/>
        <v>11</v>
      </c>
      <c r="C13" s="82" t="s">
        <v>52</v>
      </c>
      <c r="D13" s="39">
        <f t="shared" si="2"/>
        <v>0</v>
      </c>
      <c r="E13" s="39">
        <v>0</v>
      </c>
      <c r="F13" s="39">
        <v>0</v>
      </c>
      <c r="G13" s="39">
        <v>0</v>
      </c>
      <c r="H13" s="39">
        <v>0</v>
      </c>
      <c r="I13" s="39">
        <v>0</v>
      </c>
      <c r="J13" s="39">
        <v>0</v>
      </c>
      <c r="K13" s="39">
        <v>0</v>
      </c>
      <c r="L13" s="39">
        <v>0</v>
      </c>
      <c r="M13" s="39">
        <v>0</v>
      </c>
      <c r="N13" s="39">
        <v>0</v>
      </c>
      <c r="O13" s="39">
        <v>0</v>
      </c>
      <c r="P13" s="39">
        <v>0</v>
      </c>
      <c r="Q13" s="22"/>
    </row>
    <row r="14" spans="2:17" x14ac:dyDescent="0.15">
      <c r="B14" s="26">
        <f t="shared" si="1"/>
        <v>12</v>
      </c>
      <c r="C14" s="82" t="s">
        <v>49</v>
      </c>
      <c r="D14" s="39">
        <f t="shared" si="2"/>
        <v>0</v>
      </c>
      <c r="E14" s="39">
        <v>0</v>
      </c>
      <c r="F14" s="39">
        <v>0</v>
      </c>
      <c r="G14" s="39">
        <v>0</v>
      </c>
      <c r="H14" s="39">
        <v>0</v>
      </c>
      <c r="I14" s="39">
        <v>0</v>
      </c>
      <c r="J14" s="39">
        <v>0</v>
      </c>
      <c r="K14" s="39">
        <v>0</v>
      </c>
      <c r="L14" s="39">
        <v>0</v>
      </c>
      <c r="M14" s="39">
        <v>0</v>
      </c>
      <c r="N14" s="39">
        <v>0</v>
      </c>
      <c r="O14" s="39">
        <v>0</v>
      </c>
      <c r="P14" s="39">
        <v>0</v>
      </c>
      <c r="Q14" s="22"/>
    </row>
    <row r="15" spans="2:17" x14ac:dyDescent="0.15">
      <c r="B15" s="26">
        <f t="shared" si="1"/>
        <v>13</v>
      </c>
      <c r="C15" s="82" t="s">
        <v>364</v>
      </c>
      <c r="D15" s="39">
        <f t="shared" si="2"/>
        <v>0</v>
      </c>
      <c r="E15" s="39">
        <v>0</v>
      </c>
      <c r="F15" s="39">
        <v>0</v>
      </c>
      <c r="G15" s="39">
        <v>0</v>
      </c>
      <c r="H15" s="39">
        <v>0</v>
      </c>
      <c r="I15" s="39">
        <v>0</v>
      </c>
      <c r="J15" s="39">
        <v>0</v>
      </c>
      <c r="K15" s="39">
        <v>0</v>
      </c>
      <c r="L15" s="39">
        <v>0</v>
      </c>
      <c r="M15" s="39">
        <v>0</v>
      </c>
      <c r="N15" s="39">
        <v>0</v>
      </c>
      <c r="O15" s="39">
        <v>0</v>
      </c>
      <c r="P15" s="39">
        <v>0</v>
      </c>
      <c r="Q15" s="22"/>
    </row>
    <row r="16" spans="2:17" x14ac:dyDescent="0.15">
      <c r="B16" s="26">
        <f t="shared" si="1"/>
        <v>14</v>
      </c>
      <c r="C16" s="82" t="s">
        <v>36</v>
      </c>
      <c r="D16" s="39">
        <f t="shared" si="2"/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  <c r="L16" s="39">
        <v>0</v>
      </c>
      <c r="M16" s="39">
        <v>0</v>
      </c>
      <c r="N16" s="39">
        <v>0</v>
      </c>
      <c r="O16" s="39">
        <v>0</v>
      </c>
      <c r="P16" s="39">
        <v>0</v>
      </c>
      <c r="Q16" s="22"/>
    </row>
    <row r="17" spans="2:17" x14ac:dyDescent="0.15">
      <c r="B17" s="26">
        <f t="shared" si="1"/>
        <v>15</v>
      </c>
      <c r="C17" s="82" t="s">
        <v>277</v>
      </c>
      <c r="D17" s="39">
        <f t="shared" si="2"/>
        <v>0</v>
      </c>
      <c r="E17" s="39">
        <v>0</v>
      </c>
      <c r="F17" s="39">
        <v>0</v>
      </c>
      <c r="G17" s="39">
        <v>0</v>
      </c>
      <c r="H17" s="39">
        <v>0</v>
      </c>
      <c r="I17" s="39">
        <v>0</v>
      </c>
      <c r="J17" s="39">
        <v>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22"/>
    </row>
    <row r="18" spans="2:17" x14ac:dyDescent="0.15">
      <c r="B18" s="26">
        <f t="shared" si="1"/>
        <v>16</v>
      </c>
      <c r="C18" s="82" t="s">
        <v>23</v>
      </c>
      <c r="D18" s="39">
        <f t="shared" si="2"/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  <c r="L18" s="39">
        <v>0</v>
      </c>
      <c r="M18" s="39">
        <v>0</v>
      </c>
      <c r="N18" s="39">
        <v>0</v>
      </c>
      <c r="O18" s="39">
        <v>0</v>
      </c>
      <c r="P18" s="39">
        <v>0</v>
      </c>
      <c r="Q18" s="22"/>
    </row>
    <row r="19" spans="2:17" x14ac:dyDescent="0.15">
      <c r="B19" s="26">
        <f t="shared" si="1"/>
        <v>17</v>
      </c>
      <c r="C19" s="82" t="s">
        <v>57</v>
      </c>
      <c r="D19" s="39">
        <f t="shared" si="2"/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  <c r="L19" s="39">
        <v>0</v>
      </c>
      <c r="M19" s="39">
        <v>0</v>
      </c>
      <c r="N19" s="39">
        <v>0</v>
      </c>
      <c r="O19" s="39">
        <v>0</v>
      </c>
      <c r="P19" s="39">
        <v>0</v>
      </c>
      <c r="Q19" s="22"/>
    </row>
    <row r="20" spans="2:17" x14ac:dyDescent="0.15">
      <c r="B20" s="26">
        <f t="shared" si="1"/>
        <v>18</v>
      </c>
      <c r="C20" s="82" t="s">
        <v>181</v>
      </c>
      <c r="D20" s="39">
        <f t="shared" si="2"/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22"/>
    </row>
    <row r="21" spans="2:17" x14ac:dyDescent="0.15">
      <c r="B21" s="26">
        <f t="shared" si="1"/>
        <v>19</v>
      </c>
      <c r="C21" s="82" t="s">
        <v>78</v>
      </c>
      <c r="D21" s="39">
        <f t="shared" si="2"/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22"/>
    </row>
    <row r="22" spans="2:17" x14ac:dyDescent="0.15">
      <c r="B22" s="26">
        <f t="shared" si="1"/>
        <v>20</v>
      </c>
      <c r="C22" s="82" t="s">
        <v>313</v>
      </c>
      <c r="D22" s="39">
        <f t="shared" si="2"/>
        <v>0</v>
      </c>
      <c r="E22" s="39">
        <v>0</v>
      </c>
      <c r="F22" s="39">
        <v>0</v>
      </c>
      <c r="G22" s="39">
        <v>0</v>
      </c>
      <c r="H22" s="39">
        <v>0</v>
      </c>
      <c r="I22" s="39">
        <v>0</v>
      </c>
      <c r="J22" s="39">
        <v>0</v>
      </c>
      <c r="K22" s="39">
        <v>0</v>
      </c>
      <c r="L22" s="39">
        <v>0</v>
      </c>
      <c r="M22" s="39">
        <v>0</v>
      </c>
      <c r="N22" s="39">
        <v>0</v>
      </c>
      <c r="O22" s="39">
        <v>0</v>
      </c>
      <c r="P22" s="39">
        <v>0</v>
      </c>
      <c r="Q22" s="22"/>
    </row>
    <row r="23" spans="2:17" x14ac:dyDescent="0.15">
      <c r="B23" s="26">
        <f t="shared" si="1"/>
        <v>21</v>
      </c>
      <c r="C23" s="78" t="s">
        <v>457</v>
      </c>
      <c r="D23" s="39">
        <f t="shared" si="2"/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22"/>
    </row>
    <row r="24" spans="2:17" x14ac:dyDescent="0.15">
      <c r="B24" s="26">
        <f t="shared" si="1"/>
        <v>22</v>
      </c>
      <c r="C24" s="78" t="s">
        <v>27</v>
      </c>
      <c r="D24" s="39">
        <f t="shared" si="2"/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22"/>
    </row>
    <row r="25" spans="2:17" x14ac:dyDescent="0.15">
      <c r="B25" s="26">
        <f t="shared" si="1"/>
        <v>23</v>
      </c>
      <c r="C25" s="22" t="s">
        <v>316</v>
      </c>
      <c r="D25" s="39">
        <f t="shared" si="2"/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  <c r="L25" s="39">
        <v>0</v>
      </c>
      <c r="M25" s="39">
        <v>0</v>
      </c>
      <c r="N25" s="39">
        <v>0</v>
      </c>
      <c r="O25" s="39">
        <v>0</v>
      </c>
      <c r="P25" s="39">
        <v>0</v>
      </c>
      <c r="Q25" s="22"/>
    </row>
    <row r="26" spans="2:17" x14ac:dyDescent="0.15">
      <c r="B26" s="26">
        <f t="shared" si="1"/>
        <v>24</v>
      </c>
      <c r="C26" s="78" t="s">
        <v>193</v>
      </c>
      <c r="D26" s="39">
        <f t="shared" si="2"/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22"/>
    </row>
    <row r="27" spans="2:17" x14ac:dyDescent="0.15">
      <c r="B27" s="26">
        <f t="shared" si="1"/>
        <v>25</v>
      </c>
      <c r="C27" s="78" t="s">
        <v>45</v>
      </c>
      <c r="D27" s="39">
        <f t="shared" si="2"/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22"/>
    </row>
    <row r="28" spans="2:17" x14ac:dyDescent="0.15">
      <c r="B28" s="26">
        <f t="shared" si="1"/>
        <v>26</v>
      </c>
      <c r="C28" s="22" t="s">
        <v>305</v>
      </c>
      <c r="D28" s="39">
        <f t="shared" si="2"/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22"/>
    </row>
    <row r="29" spans="2:17" x14ac:dyDescent="0.15">
      <c r="B29" s="26">
        <f t="shared" si="1"/>
        <v>27</v>
      </c>
      <c r="C29" s="78" t="s">
        <v>30</v>
      </c>
      <c r="D29" s="39">
        <f t="shared" si="2"/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22"/>
    </row>
    <row r="30" spans="2:17" x14ac:dyDescent="0.15">
      <c r="B30" s="26">
        <f t="shared" si="1"/>
        <v>28</v>
      </c>
      <c r="C30" s="78" t="s">
        <v>192</v>
      </c>
      <c r="D30" s="39">
        <f t="shared" si="2"/>
        <v>0</v>
      </c>
      <c r="E30" s="39">
        <v>0</v>
      </c>
      <c r="F30" s="39">
        <v>0</v>
      </c>
      <c r="G30" s="39">
        <v>0</v>
      </c>
      <c r="H30" s="39">
        <v>0</v>
      </c>
      <c r="I30" s="39">
        <v>0</v>
      </c>
      <c r="J30" s="39">
        <v>0</v>
      </c>
      <c r="K30" s="39">
        <v>0</v>
      </c>
      <c r="L30" s="39">
        <v>0</v>
      </c>
      <c r="M30" s="39">
        <v>0</v>
      </c>
      <c r="N30" s="39">
        <v>0</v>
      </c>
      <c r="O30" s="39">
        <v>0</v>
      </c>
      <c r="P30" s="39">
        <v>0</v>
      </c>
      <c r="Q30" s="22"/>
    </row>
    <row r="31" spans="2:17" x14ac:dyDescent="0.15">
      <c r="B31" s="26">
        <f t="shared" si="1"/>
        <v>29</v>
      </c>
      <c r="C31" s="78" t="s">
        <v>24</v>
      </c>
      <c r="D31" s="39">
        <f t="shared" si="2"/>
        <v>0</v>
      </c>
      <c r="E31" s="39">
        <v>0</v>
      </c>
      <c r="F31" s="39">
        <v>0</v>
      </c>
      <c r="G31" s="39">
        <v>0</v>
      </c>
      <c r="H31" s="39">
        <v>0</v>
      </c>
      <c r="I31" s="39">
        <v>0</v>
      </c>
      <c r="J31" s="39">
        <v>0</v>
      </c>
      <c r="K31" s="39">
        <v>0</v>
      </c>
      <c r="L31" s="39">
        <v>0</v>
      </c>
      <c r="M31" s="39">
        <v>0</v>
      </c>
      <c r="N31" s="39">
        <v>0</v>
      </c>
      <c r="O31" s="39">
        <v>0</v>
      </c>
      <c r="P31" s="39">
        <v>0</v>
      </c>
      <c r="Q31" s="22"/>
    </row>
    <row r="32" spans="2:17" x14ac:dyDescent="0.15">
      <c r="B32" s="26">
        <f t="shared" si="1"/>
        <v>30</v>
      </c>
      <c r="C32" s="22" t="s">
        <v>322</v>
      </c>
      <c r="D32" s="39">
        <f t="shared" si="2"/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22"/>
    </row>
    <row r="33" spans="2:17" x14ac:dyDescent="0.15">
      <c r="B33" s="26">
        <f t="shared" si="1"/>
        <v>31</v>
      </c>
      <c r="C33" s="22" t="s">
        <v>328</v>
      </c>
      <c r="D33" s="39">
        <f t="shared" si="2"/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  <c r="L33" s="39">
        <v>0</v>
      </c>
      <c r="M33" s="39">
        <v>0</v>
      </c>
      <c r="N33" s="39">
        <v>0</v>
      </c>
      <c r="O33" s="39">
        <v>0</v>
      </c>
      <c r="P33" s="39">
        <v>0</v>
      </c>
      <c r="Q33" s="22"/>
    </row>
    <row r="34" spans="2:17" x14ac:dyDescent="0.15">
      <c r="B34" s="26">
        <f t="shared" si="1"/>
        <v>32</v>
      </c>
      <c r="C34" s="78" t="s">
        <v>26</v>
      </c>
      <c r="D34" s="39">
        <f t="shared" si="2"/>
        <v>0</v>
      </c>
      <c r="E34" s="39">
        <v>0</v>
      </c>
      <c r="F34" s="39">
        <v>0</v>
      </c>
      <c r="G34" s="39">
        <v>0</v>
      </c>
      <c r="H34" s="39">
        <v>0</v>
      </c>
      <c r="I34" s="39">
        <v>0</v>
      </c>
      <c r="J34" s="39">
        <v>0</v>
      </c>
      <c r="K34" s="39">
        <v>0</v>
      </c>
      <c r="L34" s="39">
        <v>0</v>
      </c>
      <c r="M34" s="39">
        <v>0</v>
      </c>
      <c r="N34" s="39">
        <v>0</v>
      </c>
      <c r="O34" s="39">
        <v>0</v>
      </c>
      <c r="P34" s="39">
        <v>0</v>
      </c>
      <c r="Q34" s="22"/>
    </row>
    <row r="35" spans="2:17" x14ac:dyDescent="0.15">
      <c r="B35" s="26">
        <f t="shared" ref="B35:B66" si="3">ROW()-2</f>
        <v>33</v>
      </c>
      <c r="C35" s="22" t="s">
        <v>271</v>
      </c>
      <c r="D35" s="39">
        <f t="shared" ref="D35:D66" si="4">SUM(E35:P35)</f>
        <v>0</v>
      </c>
      <c r="E35" s="39">
        <v>0</v>
      </c>
      <c r="F35" s="39">
        <v>0</v>
      </c>
      <c r="G35" s="39">
        <v>0</v>
      </c>
      <c r="H35" s="39">
        <v>0</v>
      </c>
      <c r="I35" s="39">
        <v>0</v>
      </c>
      <c r="J35" s="39">
        <v>0</v>
      </c>
      <c r="K35" s="39">
        <v>0</v>
      </c>
      <c r="L35" s="39">
        <v>0</v>
      </c>
      <c r="M35" s="39">
        <v>0</v>
      </c>
      <c r="N35" s="39">
        <v>0</v>
      </c>
      <c r="O35" s="39">
        <v>0</v>
      </c>
      <c r="P35" s="39">
        <v>0</v>
      </c>
      <c r="Q35" s="22"/>
    </row>
    <row r="36" spans="2:17" x14ac:dyDescent="0.15">
      <c r="B36" s="26">
        <f t="shared" si="3"/>
        <v>34</v>
      </c>
      <c r="C36" s="78" t="s">
        <v>96</v>
      </c>
      <c r="D36" s="39">
        <f t="shared" si="4"/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  <c r="L36" s="39">
        <v>0</v>
      </c>
      <c r="M36" s="39">
        <v>0</v>
      </c>
      <c r="N36" s="39">
        <v>0</v>
      </c>
      <c r="O36" s="39">
        <v>0</v>
      </c>
      <c r="P36" s="39">
        <v>0</v>
      </c>
      <c r="Q36" s="22"/>
    </row>
    <row r="37" spans="2:17" x14ac:dyDescent="0.15">
      <c r="B37" s="26">
        <f t="shared" si="3"/>
        <v>35</v>
      </c>
      <c r="C37" s="22" t="s">
        <v>324</v>
      </c>
      <c r="D37" s="39">
        <f t="shared" si="4"/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  <c r="L37" s="39">
        <v>0</v>
      </c>
      <c r="M37" s="39">
        <v>0</v>
      </c>
      <c r="N37" s="39">
        <v>0</v>
      </c>
      <c r="O37" s="39">
        <v>0</v>
      </c>
      <c r="P37" s="39">
        <v>0</v>
      </c>
      <c r="Q37" s="22"/>
    </row>
    <row r="38" spans="2:17" x14ac:dyDescent="0.15">
      <c r="B38" s="26">
        <f t="shared" si="3"/>
        <v>36</v>
      </c>
      <c r="C38" s="22" t="s">
        <v>293</v>
      </c>
      <c r="D38" s="39">
        <f t="shared" si="4"/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  <c r="L38" s="39">
        <v>0</v>
      </c>
      <c r="M38" s="39">
        <v>0</v>
      </c>
      <c r="N38" s="39">
        <v>0</v>
      </c>
      <c r="O38" s="39">
        <v>0</v>
      </c>
      <c r="P38" s="39">
        <v>0</v>
      </c>
      <c r="Q38" s="22"/>
    </row>
    <row r="39" spans="2:17" x14ac:dyDescent="0.15">
      <c r="B39" s="26">
        <f t="shared" si="3"/>
        <v>37</v>
      </c>
      <c r="C39" s="78" t="s">
        <v>251</v>
      </c>
      <c r="D39" s="39">
        <f t="shared" si="4"/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  <c r="L39" s="39">
        <v>0</v>
      </c>
      <c r="M39" s="39">
        <v>0</v>
      </c>
      <c r="N39" s="39">
        <v>0</v>
      </c>
      <c r="O39" s="39">
        <v>0</v>
      </c>
      <c r="P39" s="39">
        <v>0</v>
      </c>
      <c r="Q39" s="22"/>
    </row>
    <row r="40" spans="2:17" x14ac:dyDescent="0.15">
      <c r="B40" s="26">
        <f t="shared" si="3"/>
        <v>38</v>
      </c>
      <c r="C40" s="22" t="s">
        <v>336</v>
      </c>
      <c r="D40" s="39">
        <f t="shared" si="4"/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  <c r="L40" s="39">
        <v>0</v>
      </c>
      <c r="M40" s="39">
        <v>0</v>
      </c>
      <c r="N40" s="39">
        <v>0</v>
      </c>
      <c r="O40" s="39">
        <v>0</v>
      </c>
      <c r="P40" s="39">
        <v>0</v>
      </c>
      <c r="Q40" s="22"/>
    </row>
    <row r="41" spans="2:17" x14ac:dyDescent="0.15">
      <c r="B41" s="26">
        <f t="shared" si="3"/>
        <v>39</v>
      </c>
      <c r="C41" s="22" t="s">
        <v>312</v>
      </c>
      <c r="D41" s="39">
        <f t="shared" si="4"/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  <c r="L41" s="39">
        <v>0</v>
      </c>
      <c r="M41" s="39">
        <v>0</v>
      </c>
      <c r="N41" s="39">
        <v>0</v>
      </c>
      <c r="O41" s="39">
        <v>0</v>
      </c>
      <c r="P41" s="39">
        <v>0</v>
      </c>
      <c r="Q41" s="22"/>
    </row>
    <row r="42" spans="2:17" x14ac:dyDescent="0.15">
      <c r="B42" s="26">
        <f t="shared" si="3"/>
        <v>40</v>
      </c>
      <c r="C42" s="22" t="s">
        <v>183</v>
      </c>
      <c r="D42" s="39">
        <f t="shared" si="4"/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  <c r="L42" s="39">
        <v>0</v>
      </c>
      <c r="M42" s="39">
        <v>0</v>
      </c>
      <c r="N42" s="39">
        <v>0</v>
      </c>
      <c r="O42" s="39">
        <v>0</v>
      </c>
      <c r="P42" s="39">
        <v>0</v>
      </c>
      <c r="Q42" s="22"/>
    </row>
    <row r="43" spans="2:17" x14ac:dyDescent="0.15">
      <c r="B43" s="26">
        <f t="shared" si="3"/>
        <v>41</v>
      </c>
      <c r="C43" s="22" t="s">
        <v>81</v>
      </c>
      <c r="D43" s="39">
        <f t="shared" si="4"/>
        <v>0</v>
      </c>
      <c r="E43" s="39">
        <v>0</v>
      </c>
      <c r="F43" s="39">
        <v>0</v>
      </c>
      <c r="G43" s="39">
        <v>0</v>
      </c>
      <c r="H43" s="39">
        <v>0</v>
      </c>
      <c r="I43" s="39">
        <v>0</v>
      </c>
      <c r="J43" s="39">
        <v>0</v>
      </c>
      <c r="K43" s="39">
        <v>0</v>
      </c>
      <c r="L43" s="39">
        <v>0</v>
      </c>
      <c r="M43" s="39">
        <v>0</v>
      </c>
      <c r="N43" s="39">
        <v>0</v>
      </c>
      <c r="O43" s="39">
        <v>0</v>
      </c>
      <c r="P43" s="39">
        <v>0</v>
      </c>
      <c r="Q43" s="22"/>
    </row>
    <row r="44" spans="2:17" x14ac:dyDescent="0.15">
      <c r="B44" s="26">
        <f t="shared" si="3"/>
        <v>42</v>
      </c>
      <c r="C44" s="22" t="s">
        <v>58</v>
      </c>
      <c r="D44" s="39">
        <f t="shared" si="4"/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22"/>
    </row>
    <row r="45" spans="2:17" x14ac:dyDescent="0.15">
      <c r="B45" s="26">
        <f t="shared" si="3"/>
        <v>43</v>
      </c>
      <c r="C45" s="22" t="s">
        <v>315</v>
      </c>
      <c r="D45" s="39">
        <f t="shared" si="4"/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0</v>
      </c>
      <c r="Q45" s="22"/>
    </row>
    <row r="46" spans="2:17" x14ac:dyDescent="0.15">
      <c r="B46" s="26">
        <f t="shared" si="3"/>
        <v>44</v>
      </c>
      <c r="C46" s="22" t="s">
        <v>301</v>
      </c>
      <c r="D46" s="39">
        <f t="shared" si="4"/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0</v>
      </c>
      <c r="P46" s="39">
        <v>0</v>
      </c>
      <c r="Q46" s="22"/>
    </row>
    <row r="47" spans="2:17" x14ac:dyDescent="0.15">
      <c r="B47" s="26">
        <f t="shared" si="3"/>
        <v>45</v>
      </c>
      <c r="C47" s="22" t="s">
        <v>281</v>
      </c>
      <c r="D47" s="39">
        <f t="shared" si="4"/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0</v>
      </c>
      <c r="O47" s="39">
        <v>0</v>
      </c>
      <c r="P47" s="39">
        <v>0</v>
      </c>
      <c r="Q47" s="22"/>
    </row>
    <row r="48" spans="2:17" x14ac:dyDescent="0.15">
      <c r="B48" s="26">
        <f t="shared" si="3"/>
        <v>46</v>
      </c>
      <c r="C48" s="22" t="s">
        <v>44</v>
      </c>
      <c r="D48" s="39">
        <f t="shared" si="4"/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  <c r="L48" s="39">
        <v>0</v>
      </c>
      <c r="M48" s="39">
        <v>0</v>
      </c>
      <c r="N48" s="39">
        <v>0</v>
      </c>
      <c r="O48" s="39">
        <v>0</v>
      </c>
      <c r="P48" s="39">
        <v>0</v>
      </c>
      <c r="Q48" s="22"/>
    </row>
    <row r="49" spans="2:17" x14ac:dyDescent="0.15">
      <c r="B49" s="26">
        <f t="shared" si="3"/>
        <v>47</v>
      </c>
      <c r="C49" s="22" t="s">
        <v>222</v>
      </c>
      <c r="D49" s="39">
        <f t="shared" si="4"/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  <c r="L49" s="39">
        <v>0</v>
      </c>
      <c r="M49" s="39">
        <v>0</v>
      </c>
      <c r="N49" s="39">
        <v>0</v>
      </c>
      <c r="O49" s="39">
        <v>0</v>
      </c>
      <c r="P49" s="39">
        <v>0</v>
      </c>
      <c r="Q49" s="22"/>
    </row>
    <row r="50" spans="2:17" x14ac:dyDescent="0.15">
      <c r="B50" s="26">
        <f t="shared" si="3"/>
        <v>48</v>
      </c>
      <c r="C50" s="22" t="s">
        <v>379</v>
      </c>
      <c r="D50" s="39">
        <f t="shared" si="4"/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  <c r="L50" s="39">
        <v>0</v>
      </c>
      <c r="M50" s="39">
        <v>0</v>
      </c>
      <c r="N50" s="39">
        <v>0</v>
      </c>
      <c r="O50" s="39">
        <v>0</v>
      </c>
      <c r="P50" s="39">
        <v>0</v>
      </c>
      <c r="Q50" s="22"/>
    </row>
    <row r="51" spans="2:17" x14ac:dyDescent="0.15">
      <c r="B51" s="26">
        <f t="shared" si="3"/>
        <v>49</v>
      </c>
      <c r="C51" s="22" t="s">
        <v>302</v>
      </c>
      <c r="D51" s="39">
        <f t="shared" si="4"/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  <c r="L51" s="39">
        <v>0</v>
      </c>
      <c r="M51" s="39">
        <v>0</v>
      </c>
      <c r="N51" s="39">
        <v>0</v>
      </c>
      <c r="O51" s="39">
        <v>0</v>
      </c>
      <c r="P51" s="39">
        <v>0</v>
      </c>
      <c r="Q51" s="22"/>
    </row>
    <row r="52" spans="2:17" x14ac:dyDescent="0.15">
      <c r="B52" s="26">
        <f t="shared" si="3"/>
        <v>50</v>
      </c>
      <c r="C52" s="22" t="s">
        <v>272</v>
      </c>
      <c r="D52" s="39">
        <f t="shared" si="4"/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0</v>
      </c>
      <c r="Q52" s="22"/>
    </row>
    <row r="53" spans="2:17" x14ac:dyDescent="0.15">
      <c r="B53" s="26">
        <f t="shared" si="3"/>
        <v>51</v>
      </c>
      <c r="C53" s="22" t="s">
        <v>80</v>
      </c>
      <c r="D53" s="39">
        <f t="shared" si="4"/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  <c r="L53" s="39">
        <v>0</v>
      </c>
      <c r="M53" s="39">
        <v>0</v>
      </c>
      <c r="N53" s="39">
        <v>0</v>
      </c>
      <c r="O53" s="39">
        <v>0</v>
      </c>
      <c r="P53" s="39">
        <v>0</v>
      </c>
      <c r="Q53" s="22"/>
    </row>
    <row r="54" spans="2:17" x14ac:dyDescent="0.15">
      <c r="B54" s="26">
        <f t="shared" si="3"/>
        <v>52</v>
      </c>
      <c r="C54" s="22" t="s">
        <v>248</v>
      </c>
      <c r="D54" s="39">
        <f t="shared" si="4"/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  <c r="L54" s="39">
        <v>0</v>
      </c>
      <c r="M54" s="39">
        <v>0</v>
      </c>
      <c r="N54" s="39">
        <v>0</v>
      </c>
      <c r="O54" s="39">
        <v>0</v>
      </c>
      <c r="P54" s="39">
        <v>0</v>
      </c>
      <c r="Q54" s="22"/>
    </row>
    <row r="55" spans="2:17" x14ac:dyDescent="0.15">
      <c r="B55" s="26">
        <f t="shared" si="3"/>
        <v>53</v>
      </c>
      <c r="C55" s="22" t="s">
        <v>334</v>
      </c>
      <c r="D55" s="39">
        <f t="shared" si="4"/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>
        <v>0</v>
      </c>
      <c r="O55" s="39">
        <v>0</v>
      </c>
      <c r="P55" s="39">
        <v>0</v>
      </c>
      <c r="Q55" s="22"/>
    </row>
    <row r="56" spans="2:17" x14ac:dyDescent="0.15">
      <c r="B56" s="26">
        <f t="shared" si="3"/>
        <v>54</v>
      </c>
      <c r="C56" s="22" t="s">
        <v>35</v>
      </c>
      <c r="D56" s="39">
        <f t="shared" si="4"/>
        <v>0</v>
      </c>
      <c r="E56" s="39">
        <v>0</v>
      </c>
      <c r="F56" s="39">
        <v>0</v>
      </c>
      <c r="G56" s="39">
        <v>0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>
        <v>0</v>
      </c>
      <c r="O56" s="39">
        <v>0</v>
      </c>
      <c r="P56" s="39">
        <v>0</v>
      </c>
      <c r="Q56" s="22"/>
    </row>
    <row r="57" spans="2:17" x14ac:dyDescent="0.15">
      <c r="B57" s="26">
        <f t="shared" si="3"/>
        <v>55</v>
      </c>
      <c r="C57" s="22" t="s">
        <v>83</v>
      </c>
      <c r="D57" s="39">
        <f t="shared" si="4"/>
        <v>0</v>
      </c>
      <c r="E57" s="39">
        <v>0</v>
      </c>
      <c r="F57" s="39">
        <v>0</v>
      </c>
      <c r="G57" s="39">
        <v>0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22"/>
    </row>
    <row r="58" spans="2:17" x14ac:dyDescent="0.15">
      <c r="B58" s="26">
        <f t="shared" si="3"/>
        <v>56</v>
      </c>
      <c r="C58" s="22" t="s">
        <v>286</v>
      </c>
      <c r="D58" s="39">
        <f t="shared" si="4"/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>
        <v>0</v>
      </c>
      <c r="O58" s="39">
        <v>0</v>
      </c>
      <c r="P58" s="39">
        <v>0</v>
      </c>
      <c r="Q58" s="22"/>
    </row>
    <row r="59" spans="2:17" x14ac:dyDescent="0.15">
      <c r="B59" s="26">
        <f t="shared" si="3"/>
        <v>57</v>
      </c>
      <c r="C59" s="22" t="s">
        <v>354</v>
      </c>
      <c r="D59" s="39">
        <f t="shared" si="4"/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22"/>
    </row>
    <row r="60" spans="2:17" x14ac:dyDescent="0.15">
      <c r="B60" s="26">
        <f t="shared" si="3"/>
        <v>58</v>
      </c>
      <c r="C60" s="22" t="s">
        <v>37</v>
      </c>
      <c r="D60" s="39">
        <f t="shared" si="4"/>
        <v>0</v>
      </c>
      <c r="E60" s="39">
        <v>0</v>
      </c>
      <c r="F60" s="39">
        <v>0</v>
      </c>
      <c r="G60" s="39">
        <v>0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>
        <v>0</v>
      </c>
      <c r="O60" s="39">
        <v>0</v>
      </c>
      <c r="P60" s="39">
        <v>0</v>
      </c>
      <c r="Q60" s="22"/>
    </row>
    <row r="61" spans="2:17" x14ac:dyDescent="0.15">
      <c r="B61" s="26">
        <f t="shared" si="3"/>
        <v>59</v>
      </c>
      <c r="C61" s="22" t="s">
        <v>307</v>
      </c>
      <c r="D61" s="39">
        <f t="shared" si="4"/>
        <v>0</v>
      </c>
      <c r="E61" s="39">
        <v>0</v>
      </c>
      <c r="F61" s="39">
        <v>0</v>
      </c>
      <c r="G61" s="39">
        <v>0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>
        <v>0</v>
      </c>
      <c r="O61" s="39">
        <v>0</v>
      </c>
      <c r="P61" s="39">
        <v>0</v>
      </c>
      <c r="Q61" s="22"/>
    </row>
    <row r="62" spans="2:17" x14ac:dyDescent="0.15">
      <c r="B62" s="26">
        <f t="shared" si="3"/>
        <v>60</v>
      </c>
      <c r="C62" s="22" t="s">
        <v>356</v>
      </c>
      <c r="D62" s="39">
        <f t="shared" si="4"/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>
        <v>0</v>
      </c>
      <c r="O62" s="39">
        <v>0</v>
      </c>
      <c r="P62" s="39">
        <v>0</v>
      </c>
      <c r="Q62" s="22"/>
    </row>
    <row r="63" spans="2:17" x14ac:dyDescent="0.15">
      <c r="B63" s="26">
        <f t="shared" si="3"/>
        <v>61</v>
      </c>
      <c r="C63" s="22" t="s">
        <v>311</v>
      </c>
      <c r="D63" s="39">
        <f t="shared" si="4"/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  <c r="L63" s="39">
        <v>0</v>
      </c>
      <c r="M63" s="39">
        <v>0</v>
      </c>
      <c r="N63" s="39">
        <v>0</v>
      </c>
      <c r="O63" s="39">
        <v>0</v>
      </c>
      <c r="P63" s="39">
        <v>0</v>
      </c>
      <c r="Q63" s="22"/>
    </row>
    <row r="64" spans="2:17" x14ac:dyDescent="0.15">
      <c r="B64" s="26">
        <f t="shared" si="3"/>
        <v>62</v>
      </c>
      <c r="C64" s="22" t="s">
        <v>327</v>
      </c>
      <c r="D64" s="39">
        <f t="shared" si="4"/>
        <v>0</v>
      </c>
      <c r="E64" s="39">
        <v>0</v>
      </c>
      <c r="F64" s="39">
        <v>0</v>
      </c>
      <c r="G64" s="39">
        <v>0</v>
      </c>
      <c r="H64" s="39">
        <v>0</v>
      </c>
      <c r="I64" s="39">
        <v>0</v>
      </c>
      <c r="J64" s="39">
        <v>0</v>
      </c>
      <c r="K64" s="39">
        <v>0</v>
      </c>
      <c r="L64" s="39">
        <v>0</v>
      </c>
      <c r="M64" s="39">
        <v>0</v>
      </c>
      <c r="N64" s="39">
        <v>0</v>
      </c>
      <c r="O64" s="39">
        <v>0</v>
      </c>
      <c r="P64" s="39">
        <v>0</v>
      </c>
      <c r="Q64" s="22"/>
    </row>
    <row r="65" spans="2:17" x14ac:dyDescent="0.15">
      <c r="B65" s="26">
        <f t="shared" si="3"/>
        <v>63</v>
      </c>
      <c r="C65" s="22" t="s">
        <v>376</v>
      </c>
      <c r="D65" s="39">
        <f t="shared" si="4"/>
        <v>0</v>
      </c>
      <c r="E65" s="39">
        <v>0</v>
      </c>
      <c r="F65" s="39">
        <v>0</v>
      </c>
      <c r="G65" s="39">
        <v>0</v>
      </c>
      <c r="H65" s="39">
        <v>0</v>
      </c>
      <c r="I65" s="39">
        <v>0</v>
      </c>
      <c r="J65" s="39">
        <v>0</v>
      </c>
      <c r="K65" s="39">
        <v>0</v>
      </c>
      <c r="L65" s="39">
        <v>0</v>
      </c>
      <c r="M65" s="39">
        <v>0</v>
      </c>
      <c r="N65" s="39">
        <v>0</v>
      </c>
      <c r="O65" s="39">
        <v>0</v>
      </c>
      <c r="P65" s="39">
        <v>0</v>
      </c>
      <c r="Q65" s="22"/>
    </row>
    <row r="66" spans="2:17" x14ac:dyDescent="0.15">
      <c r="B66" s="26">
        <f t="shared" si="3"/>
        <v>64</v>
      </c>
      <c r="C66" s="22" t="s">
        <v>304</v>
      </c>
      <c r="D66" s="39">
        <f t="shared" si="4"/>
        <v>0</v>
      </c>
      <c r="E66" s="39">
        <v>0</v>
      </c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>
        <v>0</v>
      </c>
      <c r="O66" s="39">
        <v>0</v>
      </c>
      <c r="P66" s="39">
        <v>0</v>
      </c>
      <c r="Q66" s="22"/>
    </row>
    <row r="67" spans="2:17" x14ac:dyDescent="0.15">
      <c r="B67" s="26">
        <f t="shared" ref="B67:B98" si="5">ROW()-2</f>
        <v>65</v>
      </c>
      <c r="C67" s="22" t="s">
        <v>318</v>
      </c>
      <c r="D67" s="39">
        <f t="shared" ref="D67:D98" si="6">SUM(E67:P67)</f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  <c r="L67" s="39">
        <v>0</v>
      </c>
      <c r="M67" s="39">
        <v>0</v>
      </c>
      <c r="N67" s="39">
        <v>0</v>
      </c>
      <c r="O67" s="39">
        <v>0</v>
      </c>
      <c r="P67" s="39">
        <v>0</v>
      </c>
      <c r="Q67" s="22"/>
    </row>
    <row r="68" spans="2:17" x14ac:dyDescent="0.15">
      <c r="B68" s="26">
        <f t="shared" si="5"/>
        <v>66</v>
      </c>
      <c r="C68" s="22" t="s">
        <v>295</v>
      </c>
      <c r="D68" s="39">
        <f t="shared" si="6"/>
        <v>0</v>
      </c>
      <c r="E68" s="39">
        <v>0</v>
      </c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>
        <v>0</v>
      </c>
      <c r="O68" s="39">
        <v>0</v>
      </c>
      <c r="P68" s="39">
        <v>0</v>
      </c>
      <c r="Q68" s="22"/>
    </row>
    <row r="69" spans="2:17" x14ac:dyDescent="0.15">
      <c r="B69" s="26">
        <f t="shared" si="5"/>
        <v>67</v>
      </c>
      <c r="C69" s="22" t="s">
        <v>360</v>
      </c>
      <c r="D69" s="39">
        <f t="shared" si="6"/>
        <v>0</v>
      </c>
      <c r="E69" s="39">
        <v>0</v>
      </c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  <c r="L69" s="39">
        <v>0</v>
      </c>
      <c r="M69" s="39">
        <v>0</v>
      </c>
      <c r="N69" s="39">
        <v>0</v>
      </c>
      <c r="O69" s="39">
        <v>0</v>
      </c>
      <c r="P69" s="39">
        <v>0</v>
      </c>
      <c r="Q69" s="22"/>
    </row>
    <row r="70" spans="2:17" x14ac:dyDescent="0.15">
      <c r="B70" s="26">
        <f t="shared" si="5"/>
        <v>68</v>
      </c>
      <c r="C70" s="58" t="s">
        <v>422</v>
      </c>
      <c r="D70" s="39">
        <f t="shared" si="6"/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  <c r="L70" s="39">
        <v>0</v>
      </c>
      <c r="M70" s="39">
        <v>0</v>
      </c>
      <c r="N70" s="39">
        <v>0</v>
      </c>
      <c r="O70" s="39">
        <v>0</v>
      </c>
      <c r="P70" s="39">
        <v>0</v>
      </c>
      <c r="Q70" s="22"/>
    </row>
    <row r="71" spans="2:17" x14ac:dyDescent="0.15">
      <c r="B71" s="26">
        <f t="shared" si="5"/>
        <v>69</v>
      </c>
      <c r="C71" s="22" t="s">
        <v>29</v>
      </c>
      <c r="D71" s="39">
        <f t="shared" si="6"/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  <c r="L71" s="39">
        <v>0</v>
      </c>
      <c r="M71" s="39">
        <v>0</v>
      </c>
      <c r="N71" s="39">
        <v>0</v>
      </c>
      <c r="O71" s="39">
        <v>0</v>
      </c>
      <c r="P71" s="39">
        <v>0</v>
      </c>
      <c r="Q71" s="22"/>
    </row>
    <row r="72" spans="2:17" x14ac:dyDescent="0.15">
      <c r="B72" s="26">
        <f t="shared" si="5"/>
        <v>70</v>
      </c>
      <c r="C72" s="22" t="s">
        <v>333</v>
      </c>
      <c r="D72" s="39">
        <f t="shared" si="6"/>
        <v>0</v>
      </c>
      <c r="E72" s="39">
        <v>0</v>
      </c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>
        <v>0</v>
      </c>
      <c r="O72" s="39">
        <v>0</v>
      </c>
      <c r="P72" s="39">
        <v>0</v>
      </c>
      <c r="Q72" s="22"/>
    </row>
    <row r="73" spans="2:17" x14ac:dyDescent="0.15">
      <c r="B73" s="26">
        <f t="shared" si="5"/>
        <v>71</v>
      </c>
      <c r="C73" s="22" t="s">
        <v>309</v>
      </c>
      <c r="D73" s="39">
        <f t="shared" si="6"/>
        <v>0</v>
      </c>
      <c r="E73" s="39">
        <v>0</v>
      </c>
      <c r="F73" s="39">
        <v>0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  <c r="L73" s="39">
        <v>0</v>
      </c>
      <c r="M73" s="39">
        <v>0</v>
      </c>
      <c r="N73" s="39">
        <v>0</v>
      </c>
      <c r="O73" s="39">
        <v>0</v>
      </c>
      <c r="P73" s="39">
        <v>0</v>
      </c>
      <c r="Q73" s="22"/>
    </row>
    <row r="74" spans="2:17" x14ac:dyDescent="0.15">
      <c r="B74" s="26">
        <f t="shared" si="5"/>
        <v>72</v>
      </c>
      <c r="C74" s="22" t="s">
        <v>363</v>
      </c>
      <c r="D74" s="39">
        <f t="shared" si="6"/>
        <v>0</v>
      </c>
      <c r="E74" s="39">
        <v>0</v>
      </c>
      <c r="F74" s="39">
        <v>0</v>
      </c>
      <c r="G74" s="39">
        <v>0</v>
      </c>
      <c r="H74" s="39">
        <v>0</v>
      </c>
      <c r="I74" s="39">
        <v>0</v>
      </c>
      <c r="J74" s="39">
        <v>0</v>
      </c>
      <c r="K74" s="39">
        <v>0</v>
      </c>
      <c r="L74" s="39">
        <v>0</v>
      </c>
      <c r="M74" s="39">
        <v>0</v>
      </c>
      <c r="N74" s="39">
        <v>0</v>
      </c>
      <c r="O74" s="39">
        <v>0</v>
      </c>
      <c r="P74" s="39">
        <v>0</v>
      </c>
      <c r="Q74" s="22"/>
    </row>
    <row r="75" spans="2:17" x14ac:dyDescent="0.15">
      <c r="B75" s="26">
        <f t="shared" si="5"/>
        <v>73</v>
      </c>
      <c r="C75" s="22" t="s">
        <v>298</v>
      </c>
      <c r="D75" s="39">
        <f t="shared" si="6"/>
        <v>0</v>
      </c>
      <c r="E75" s="39">
        <v>0</v>
      </c>
      <c r="F75" s="39">
        <v>0</v>
      </c>
      <c r="G75" s="39">
        <v>0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22"/>
    </row>
    <row r="76" spans="2:17" x14ac:dyDescent="0.15">
      <c r="B76" s="26">
        <f t="shared" si="5"/>
        <v>74</v>
      </c>
      <c r="C76" s="22" t="s">
        <v>358</v>
      </c>
      <c r="D76" s="39">
        <f t="shared" si="6"/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22"/>
    </row>
    <row r="77" spans="2:17" x14ac:dyDescent="0.15">
      <c r="B77" s="26">
        <f t="shared" si="5"/>
        <v>75</v>
      </c>
      <c r="C77" s="22" t="s">
        <v>339</v>
      </c>
      <c r="D77" s="39">
        <f t="shared" si="6"/>
        <v>0</v>
      </c>
      <c r="E77" s="39">
        <v>0</v>
      </c>
      <c r="F77" s="39">
        <v>0</v>
      </c>
      <c r="G77" s="39">
        <v>0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>
        <v>0</v>
      </c>
      <c r="O77" s="39">
        <v>0</v>
      </c>
      <c r="P77" s="39">
        <v>0</v>
      </c>
      <c r="Q77" s="22"/>
    </row>
    <row r="78" spans="2:17" x14ac:dyDescent="0.15">
      <c r="B78" s="26">
        <f t="shared" si="5"/>
        <v>76</v>
      </c>
      <c r="C78" s="22" t="s">
        <v>252</v>
      </c>
      <c r="D78" s="39">
        <f t="shared" si="6"/>
        <v>0</v>
      </c>
      <c r="E78" s="39">
        <v>0</v>
      </c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  <c r="L78" s="39">
        <v>0</v>
      </c>
      <c r="M78" s="39">
        <v>0</v>
      </c>
      <c r="N78" s="39">
        <v>0</v>
      </c>
      <c r="O78" s="39">
        <v>0</v>
      </c>
      <c r="P78" s="39">
        <v>0</v>
      </c>
      <c r="Q78" s="22"/>
    </row>
    <row r="79" spans="2:17" x14ac:dyDescent="0.15">
      <c r="B79" s="26">
        <f t="shared" si="5"/>
        <v>77</v>
      </c>
      <c r="C79" s="22" t="s">
        <v>366</v>
      </c>
      <c r="D79" s="39">
        <f t="shared" si="6"/>
        <v>0</v>
      </c>
      <c r="E79" s="39">
        <v>0</v>
      </c>
      <c r="F79" s="39">
        <v>0</v>
      </c>
      <c r="G79" s="39">
        <v>0</v>
      </c>
      <c r="H79" s="39">
        <v>0</v>
      </c>
      <c r="I79" s="39">
        <v>0</v>
      </c>
      <c r="J79" s="39">
        <v>0</v>
      </c>
      <c r="K79" s="39">
        <v>0</v>
      </c>
      <c r="L79" s="39">
        <v>0</v>
      </c>
      <c r="M79" s="39">
        <v>0</v>
      </c>
      <c r="N79" s="39">
        <v>0</v>
      </c>
      <c r="O79" s="39">
        <v>0</v>
      </c>
      <c r="P79" s="39">
        <v>0</v>
      </c>
      <c r="Q79" s="22"/>
    </row>
    <row r="80" spans="2:17" x14ac:dyDescent="0.15">
      <c r="B80" s="26">
        <f t="shared" si="5"/>
        <v>78</v>
      </c>
      <c r="C80" s="22" t="s">
        <v>380</v>
      </c>
      <c r="D80" s="39">
        <f t="shared" si="6"/>
        <v>0</v>
      </c>
      <c r="E80" s="39">
        <v>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22"/>
    </row>
    <row r="81" spans="2:17" x14ac:dyDescent="0.15">
      <c r="B81" s="26">
        <f t="shared" si="5"/>
        <v>79</v>
      </c>
      <c r="C81" s="22" t="s">
        <v>16</v>
      </c>
      <c r="D81" s="39">
        <f t="shared" si="6"/>
        <v>0</v>
      </c>
      <c r="E81" s="39">
        <v>0</v>
      </c>
      <c r="F81" s="39">
        <v>0</v>
      </c>
      <c r="G81" s="39">
        <v>0</v>
      </c>
      <c r="H81" s="39">
        <v>0</v>
      </c>
      <c r="I81" s="39">
        <v>0</v>
      </c>
      <c r="J81" s="39">
        <v>0</v>
      </c>
      <c r="K81" s="39">
        <v>0</v>
      </c>
      <c r="L81" s="39">
        <v>0</v>
      </c>
      <c r="M81" s="39">
        <v>0</v>
      </c>
      <c r="N81" s="39">
        <v>0</v>
      </c>
      <c r="O81" s="39">
        <v>0</v>
      </c>
      <c r="P81" s="39">
        <v>0</v>
      </c>
      <c r="Q81" s="22"/>
    </row>
    <row r="82" spans="2:17" x14ac:dyDescent="0.15">
      <c r="B82" s="26">
        <f t="shared" si="5"/>
        <v>80</v>
      </c>
      <c r="C82" s="22" t="s">
        <v>92</v>
      </c>
      <c r="D82" s="39">
        <f t="shared" si="6"/>
        <v>0</v>
      </c>
      <c r="E82" s="39">
        <v>0</v>
      </c>
      <c r="F82" s="39">
        <v>0</v>
      </c>
      <c r="G82" s="39">
        <v>0</v>
      </c>
      <c r="H82" s="39">
        <v>0</v>
      </c>
      <c r="I82" s="39">
        <v>0</v>
      </c>
      <c r="J82" s="39">
        <v>0</v>
      </c>
      <c r="K82" s="39">
        <v>0</v>
      </c>
      <c r="L82" s="39">
        <v>0</v>
      </c>
      <c r="M82" s="39">
        <v>0</v>
      </c>
      <c r="N82" s="39">
        <v>0</v>
      </c>
      <c r="O82" s="39">
        <v>0</v>
      </c>
      <c r="P82" s="39">
        <v>0</v>
      </c>
      <c r="Q82" s="22"/>
    </row>
    <row r="83" spans="2:17" x14ac:dyDescent="0.15">
      <c r="B83" s="26">
        <f t="shared" si="5"/>
        <v>81</v>
      </c>
      <c r="C83" s="22" t="s">
        <v>18</v>
      </c>
      <c r="D83" s="39">
        <f t="shared" si="6"/>
        <v>0</v>
      </c>
      <c r="E83" s="39">
        <v>0</v>
      </c>
      <c r="F83" s="39">
        <v>0</v>
      </c>
      <c r="G83" s="39">
        <v>0</v>
      </c>
      <c r="H83" s="39">
        <v>0</v>
      </c>
      <c r="I83" s="39">
        <v>0</v>
      </c>
      <c r="J83" s="39">
        <v>0</v>
      </c>
      <c r="K83" s="39">
        <v>0</v>
      </c>
      <c r="L83" s="39">
        <v>0</v>
      </c>
      <c r="M83" s="39">
        <v>0</v>
      </c>
      <c r="N83" s="39">
        <v>0</v>
      </c>
      <c r="O83" s="39">
        <v>0</v>
      </c>
      <c r="P83" s="39">
        <v>0</v>
      </c>
      <c r="Q83" s="22"/>
    </row>
    <row r="84" spans="2:17" x14ac:dyDescent="0.15">
      <c r="B84" s="26">
        <f t="shared" si="5"/>
        <v>82</v>
      </c>
      <c r="C84" s="22" t="s">
        <v>201</v>
      </c>
      <c r="D84" s="39">
        <f t="shared" si="6"/>
        <v>0</v>
      </c>
      <c r="E84" s="39">
        <v>0</v>
      </c>
      <c r="F84" s="39">
        <v>0</v>
      </c>
      <c r="G84" s="39">
        <v>0</v>
      </c>
      <c r="H84" s="39">
        <v>0</v>
      </c>
      <c r="I84" s="39">
        <v>0</v>
      </c>
      <c r="J84" s="39">
        <v>0</v>
      </c>
      <c r="K84" s="39">
        <v>0</v>
      </c>
      <c r="L84" s="39">
        <v>0</v>
      </c>
      <c r="M84" s="39">
        <v>0</v>
      </c>
      <c r="N84" s="39">
        <v>0</v>
      </c>
      <c r="O84" s="39">
        <v>0</v>
      </c>
      <c r="P84" s="39">
        <v>0</v>
      </c>
      <c r="Q84" s="22"/>
    </row>
    <row r="85" spans="2:17" x14ac:dyDescent="0.15">
      <c r="B85" s="26">
        <f t="shared" si="5"/>
        <v>83</v>
      </c>
      <c r="C85" s="22" t="s">
        <v>73</v>
      </c>
      <c r="D85" s="39">
        <f t="shared" si="6"/>
        <v>0</v>
      </c>
      <c r="E85" s="39">
        <v>0</v>
      </c>
      <c r="F85" s="39">
        <v>0</v>
      </c>
      <c r="G85" s="39">
        <v>0</v>
      </c>
      <c r="H85" s="39">
        <v>0</v>
      </c>
      <c r="I85" s="39">
        <v>0</v>
      </c>
      <c r="J85" s="39">
        <v>0</v>
      </c>
      <c r="K85" s="39">
        <v>0</v>
      </c>
      <c r="L85" s="39">
        <v>0</v>
      </c>
      <c r="M85" s="39">
        <v>0</v>
      </c>
      <c r="N85" s="39">
        <v>0</v>
      </c>
      <c r="O85" s="39">
        <v>0</v>
      </c>
      <c r="P85" s="39">
        <v>0</v>
      </c>
      <c r="Q85" s="22"/>
    </row>
    <row r="86" spans="2:17" x14ac:dyDescent="0.15">
      <c r="B86" s="26">
        <f t="shared" si="5"/>
        <v>84</v>
      </c>
      <c r="C86" s="22" t="s">
        <v>64</v>
      </c>
      <c r="D86" s="39">
        <f t="shared" si="6"/>
        <v>0</v>
      </c>
      <c r="E86" s="39">
        <v>0</v>
      </c>
      <c r="F86" s="39">
        <v>0</v>
      </c>
      <c r="G86" s="39">
        <v>0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22"/>
    </row>
    <row r="87" spans="2:17" x14ac:dyDescent="0.15">
      <c r="B87" s="26">
        <f t="shared" si="5"/>
        <v>85</v>
      </c>
      <c r="C87" s="22" t="s">
        <v>180</v>
      </c>
      <c r="D87" s="39">
        <f t="shared" si="6"/>
        <v>0</v>
      </c>
      <c r="E87" s="39">
        <v>0</v>
      </c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22"/>
    </row>
    <row r="88" spans="2:17" x14ac:dyDescent="0.15">
      <c r="B88" s="26">
        <f t="shared" si="5"/>
        <v>86</v>
      </c>
      <c r="C88" s="22" t="s">
        <v>65</v>
      </c>
      <c r="D88" s="39">
        <f t="shared" si="6"/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22"/>
    </row>
    <row r="89" spans="2:17" x14ac:dyDescent="0.15">
      <c r="B89" s="26">
        <f t="shared" si="5"/>
        <v>87</v>
      </c>
      <c r="C89" s="22" t="s">
        <v>76</v>
      </c>
      <c r="D89" s="39">
        <f t="shared" si="6"/>
        <v>0</v>
      </c>
      <c r="E89" s="39">
        <v>0</v>
      </c>
      <c r="F89" s="39">
        <v>0</v>
      </c>
      <c r="G89" s="39">
        <v>0</v>
      </c>
      <c r="H89" s="39">
        <v>0</v>
      </c>
      <c r="I89" s="39">
        <v>0</v>
      </c>
      <c r="J89" s="39">
        <v>0</v>
      </c>
      <c r="K89" s="39">
        <v>0</v>
      </c>
      <c r="L89" s="39">
        <v>0</v>
      </c>
      <c r="M89" s="39">
        <v>0</v>
      </c>
      <c r="N89" s="39">
        <v>0</v>
      </c>
      <c r="O89" s="39">
        <v>0</v>
      </c>
      <c r="P89" s="39">
        <v>0</v>
      </c>
      <c r="Q89" s="22"/>
    </row>
    <row r="90" spans="2:17" x14ac:dyDescent="0.15">
      <c r="B90" s="26">
        <f t="shared" si="5"/>
        <v>88</v>
      </c>
      <c r="C90" s="22" t="s">
        <v>86</v>
      </c>
      <c r="D90" s="39">
        <f t="shared" si="6"/>
        <v>0</v>
      </c>
      <c r="E90" s="39">
        <v>0</v>
      </c>
      <c r="F90" s="39">
        <v>0</v>
      </c>
      <c r="G90" s="39">
        <v>0</v>
      </c>
      <c r="H90" s="39">
        <v>0</v>
      </c>
      <c r="I90" s="39">
        <v>0</v>
      </c>
      <c r="J90" s="39">
        <v>0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22"/>
    </row>
    <row r="91" spans="2:17" x14ac:dyDescent="0.15">
      <c r="B91" s="26">
        <f t="shared" si="5"/>
        <v>89</v>
      </c>
      <c r="C91" s="22" t="s">
        <v>94</v>
      </c>
      <c r="D91" s="39">
        <f t="shared" si="6"/>
        <v>0</v>
      </c>
      <c r="E91" s="39">
        <v>0</v>
      </c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22"/>
    </row>
    <row r="92" spans="2:17" x14ac:dyDescent="0.15">
      <c r="B92" s="26">
        <f t="shared" si="5"/>
        <v>90</v>
      </c>
      <c r="C92" s="22" t="s">
        <v>69</v>
      </c>
      <c r="D92" s="39">
        <f t="shared" si="6"/>
        <v>0</v>
      </c>
      <c r="E92" s="39">
        <v>0</v>
      </c>
      <c r="F92" s="39">
        <v>0</v>
      </c>
      <c r="G92" s="39">
        <v>0</v>
      </c>
      <c r="H92" s="39">
        <v>0</v>
      </c>
      <c r="I92" s="39">
        <v>0</v>
      </c>
      <c r="J92" s="39">
        <v>0</v>
      </c>
      <c r="K92" s="39">
        <v>0</v>
      </c>
      <c r="L92" s="39">
        <v>0</v>
      </c>
      <c r="M92" s="39">
        <v>0</v>
      </c>
      <c r="N92" s="39">
        <v>0</v>
      </c>
      <c r="O92" s="39">
        <v>0</v>
      </c>
      <c r="P92" s="39">
        <v>0</v>
      </c>
      <c r="Q92" s="22"/>
    </row>
    <row r="93" spans="2:17" x14ac:dyDescent="0.15">
      <c r="B93" s="26">
        <f t="shared" si="5"/>
        <v>91</v>
      </c>
      <c r="C93" s="22" t="s">
        <v>84</v>
      </c>
      <c r="D93" s="39">
        <f t="shared" si="6"/>
        <v>0</v>
      </c>
      <c r="E93" s="39">
        <v>0</v>
      </c>
      <c r="F93" s="39">
        <v>0</v>
      </c>
      <c r="G93" s="39">
        <v>0</v>
      </c>
      <c r="H93" s="39">
        <v>0</v>
      </c>
      <c r="I93" s="39">
        <v>0</v>
      </c>
      <c r="J93" s="39">
        <v>0</v>
      </c>
      <c r="K93" s="39">
        <v>0</v>
      </c>
      <c r="L93" s="39">
        <v>0</v>
      </c>
      <c r="M93" s="39">
        <v>0</v>
      </c>
      <c r="N93" s="39">
        <v>0</v>
      </c>
      <c r="O93" s="39">
        <v>0</v>
      </c>
      <c r="P93" s="39">
        <v>0</v>
      </c>
      <c r="Q93" s="22"/>
    </row>
    <row r="94" spans="2:17" x14ac:dyDescent="0.15">
      <c r="B94" s="26">
        <f t="shared" si="5"/>
        <v>92</v>
      </c>
      <c r="C94" s="22" t="s">
        <v>77</v>
      </c>
      <c r="D94" s="39">
        <f t="shared" si="6"/>
        <v>0</v>
      </c>
      <c r="E94" s="39">
        <v>0</v>
      </c>
      <c r="F94" s="39">
        <v>0</v>
      </c>
      <c r="G94" s="39">
        <v>0</v>
      </c>
      <c r="H94" s="39">
        <v>0</v>
      </c>
      <c r="I94" s="39">
        <v>0</v>
      </c>
      <c r="J94" s="39">
        <v>0</v>
      </c>
      <c r="K94" s="39">
        <v>0</v>
      </c>
      <c r="L94" s="39">
        <v>0</v>
      </c>
      <c r="M94" s="39">
        <v>0</v>
      </c>
      <c r="N94" s="39">
        <v>0</v>
      </c>
      <c r="O94" s="39">
        <v>0</v>
      </c>
      <c r="P94" s="39">
        <v>0</v>
      </c>
      <c r="Q94" s="22"/>
    </row>
    <row r="95" spans="2:17" x14ac:dyDescent="0.15">
      <c r="B95" s="26">
        <f t="shared" si="5"/>
        <v>93</v>
      </c>
      <c r="C95" s="22" t="s">
        <v>93</v>
      </c>
      <c r="D95" s="39">
        <f t="shared" si="6"/>
        <v>0</v>
      </c>
      <c r="E95" s="39">
        <v>0</v>
      </c>
      <c r="F95" s="39">
        <v>0</v>
      </c>
      <c r="G95" s="39">
        <v>0</v>
      </c>
      <c r="H95" s="39">
        <v>0</v>
      </c>
      <c r="I95" s="39">
        <v>0</v>
      </c>
      <c r="J95" s="39">
        <v>0</v>
      </c>
      <c r="K95" s="39">
        <v>0</v>
      </c>
      <c r="L95" s="39">
        <v>0</v>
      </c>
      <c r="M95" s="39">
        <v>0</v>
      </c>
      <c r="N95" s="39">
        <v>0</v>
      </c>
      <c r="O95" s="39">
        <v>0</v>
      </c>
      <c r="P95" s="39">
        <v>0</v>
      </c>
      <c r="Q95" s="22"/>
    </row>
    <row r="96" spans="2:17" x14ac:dyDescent="0.15">
      <c r="B96" s="26">
        <f t="shared" si="5"/>
        <v>94</v>
      </c>
      <c r="C96" s="22" t="s">
        <v>175</v>
      </c>
      <c r="D96" s="39">
        <f t="shared" si="6"/>
        <v>0</v>
      </c>
      <c r="E96" s="39">
        <v>0</v>
      </c>
      <c r="F96" s="39">
        <v>0</v>
      </c>
      <c r="G96" s="39">
        <v>0</v>
      </c>
      <c r="H96" s="39">
        <v>0</v>
      </c>
      <c r="I96" s="39">
        <v>0</v>
      </c>
      <c r="J96" s="39">
        <v>0</v>
      </c>
      <c r="K96" s="39">
        <v>0</v>
      </c>
      <c r="L96" s="39">
        <v>0</v>
      </c>
      <c r="M96" s="39">
        <v>0</v>
      </c>
      <c r="N96" s="39">
        <v>0</v>
      </c>
      <c r="O96" s="39">
        <v>0</v>
      </c>
      <c r="P96" s="39">
        <v>0</v>
      </c>
      <c r="Q96" s="22"/>
    </row>
    <row r="97" spans="2:17" x14ac:dyDescent="0.15">
      <c r="B97" s="26">
        <f t="shared" si="5"/>
        <v>95</v>
      </c>
      <c r="C97" s="22" t="s">
        <v>72</v>
      </c>
      <c r="D97" s="39">
        <f t="shared" si="6"/>
        <v>0</v>
      </c>
      <c r="E97" s="39">
        <v>0</v>
      </c>
      <c r="F97" s="39">
        <v>0</v>
      </c>
      <c r="G97" s="39">
        <v>0</v>
      </c>
      <c r="H97" s="39">
        <v>0</v>
      </c>
      <c r="I97" s="39">
        <v>0</v>
      </c>
      <c r="J97" s="39">
        <v>0</v>
      </c>
      <c r="K97" s="39">
        <v>0</v>
      </c>
      <c r="L97" s="39">
        <v>0</v>
      </c>
      <c r="M97" s="39">
        <v>0</v>
      </c>
      <c r="N97" s="39">
        <v>0</v>
      </c>
      <c r="O97" s="39">
        <v>0</v>
      </c>
      <c r="P97" s="39">
        <v>0</v>
      </c>
      <c r="Q97" s="22"/>
    </row>
    <row r="98" spans="2:17" x14ac:dyDescent="0.15">
      <c r="B98" s="26">
        <f t="shared" si="5"/>
        <v>96</v>
      </c>
      <c r="C98" s="22" t="s">
        <v>95</v>
      </c>
      <c r="D98" s="39">
        <f t="shared" si="6"/>
        <v>0</v>
      </c>
      <c r="E98" s="39">
        <v>0</v>
      </c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0</v>
      </c>
      <c r="P98" s="39">
        <v>0</v>
      </c>
      <c r="Q98" s="22"/>
    </row>
    <row r="99" spans="2:17" x14ac:dyDescent="0.15">
      <c r="B99" s="26">
        <f t="shared" ref="B99:B135" si="7">ROW()-2</f>
        <v>97</v>
      </c>
      <c r="C99" s="22" t="s">
        <v>61</v>
      </c>
      <c r="D99" s="39">
        <f t="shared" ref="D99:D133" si="8">SUM(E99:P99)</f>
        <v>0</v>
      </c>
      <c r="E99" s="39">
        <v>0</v>
      </c>
      <c r="F99" s="39">
        <v>0</v>
      </c>
      <c r="G99" s="39">
        <v>0</v>
      </c>
      <c r="H99" s="39">
        <v>0</v>
      </c>
      <c r="I99" s="39">
        <v>0</v>
      </c>
      <c r="J99" s="39">
        <v>0</v>
      </c>
      <c r="K99" s="39">
        <v>0</v>
      </c>
      <c r="L99" s="39">
        <v>0</v>
      </c>
      <c r="M99" s="39">
        <v>0</v>
      </c>
      <c r="N99" s="39">
        <v>0</v>
      </c>
      <c r="O99" s="39">
        <v>0</v>
      </c>
      <c r="P99" s="39">
        <v>0</v>
      </c>
      <c r="Q99" s="22"/>
    </row>
    <row r="100" spans="2:17" x14ac:dyDescent="0.15">
      <c r="B100" s="26">
        <f t="shared" si="7"/>
        <v>98</v>
      </c>
      <c r="C100" s="22" t="s">
        <v>79</v>
      </c>
      <c r="D100" s="39">
        <f t="shared" si="8"/>
        <v>0</v>
      </c>
      <c r="E100" s="39">
        <v>0</v>
      </c>
      <c r="F100" s="39">
        <v>0</v>
      </c>
      <c r="G100" s="39">
        <v>0</v>
      </c>
      <c r="H100" s="39">
        <v>0</v>
      </c>
      <c r="I100" s="39">
        <v>0</v>
      </c>
      <c r="J100" s="39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22"/>
    </row>
    <row r="101" spans="2:17" x14ac:dyDescent="0.15">
      <c r="B101" s="26">
        <f t="shared" si="7"/>
        <v>99</v>
      </c>
      <c r="C101" s="22" t="s">
        <v>60</v>
      </c>
      <c r="D101" s="39">
        <f t="shared" si="8"/>
        <v>0</v>
      </c>
      <c r="E101" s="39">
        <v>0</v>
      </c>
      <c r="F101" s="39">
        <v>0</v>
      </c>
      <c r="G101" s="39">
        <v>0</v>
      </c>
      <c r="H101" s="39">
        <v>0</v>
      </c>
      <c r="I101" s="39">
        <v>0</v>
      </c>
      <c r="J101" s="39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22"/>
    </row>
    <row r="102" spans="2:17" x14ac:dyDescent="0.15">
      <c r="B102" s="26">
        <f t="shared" si="7"/>
        <v>100</v>
      </c>
      <c r="C102" s="22" t="s">
        <v>67</v>
      </c>
      <c r="D102" s="39">
        <f t="shared" si="8"/>
        <v>0</v>
      </c>
      <c r="E102" s="39">
        <v>0</v>
      </c>
      <c r="F102" s="39">
        <v>0</v>
      </c>
      <c r="G102" s="39">
        <v>0</v>
      </c>
      <c r="H102" s="39">
        <v>0</v>
      </c>
      <c r="I102" s="39">
        <v>0</v>
      </c>
      <c r="J102" s="39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22"/>
    </row>
    <row r="103" spans="2:17" x14ac:dyDescent="0.15">
      <c r="B103" s="26">
        <f t="shared" si="7"/>
        <v>101</v>
      </c>
      <c r="C103" s="22" t="s">
        <v>88</v>
      </c>
      <c r="D103" s="39">
        <f t="shared" si="8"/>
        <v>0</v>
      </c>
      <c r="E103" s="39">
        <v>0</v>
      </c>
      <c r="F103" s="39">
        <v>0</v>
      </c>
      <c r="G103" s="39">
        <v>0</v>
      </c>
      <c r="H103" s="39">
        <v>0</v>
      </c>
      <c r="I103" s="39">
        <v>0</v>
      </c>
      <c r="J103" s="39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22"/>
    </row>
    <row r="104" spans="2:17" x14ac:dyDescent="0.15">
      <c r="B104" s="26">
        <f t="shared" si="7"/>
        <v>102</v>
      </c>
      <c r="C104" s="22" t="s">
        <v>75</v>
      </c>
      <c r="D104" s="39">
        <f t="shared" si="8"/>
        <v>0</v>
      </c>
      <c r="E104" s="39">
        <v>0</v>
      </c>
      <c r="F104" s="39">
        <v>0</v>
      </c>
      <c r="G104" s="39">
        <v>0</v>
      </c>
      <c r="H104" s="39">
        <v>0</v>
      </c>
      <c r="I104" s="39">
        <v>0</v>
      </c>
      <c r="J104" s="39">
        <v>0</v>
      </c>
      <c r="K104" s="39">
        <v>0</v>
      </c>
      <c r="L104" s="39">
        <v>0</v>
      </c>
      <c r="M104" s="39">
        <v>0</v>
      </c>
      <c r="N104" s="39">
        <v>0</v>
      </c>
      <c r="O104" s="39">
        <v>0</v>
      </c>
      <c r="P104" s="39">
        <v>0</v>
      </c>
      <c r="Q104" s="22"/>
    </row>
    <row r="105" spans="2:17" x14ac:dyDescent="0.15">
      <c r="B105" s="26">
        <f t="shared" si="7"/>
        <v>103</v>
      </c>
      <c r="C105" s="22" t="s">
        <v>62</v>
      </c>
      <c r="D105" s="39">
        <f t="shared" si="8"/>
        <v>0</v>
      </c>
      <c r="E105" s="39">
        <v>0</v>
      </c>
      <c r="F105" s="39">
        <v>0</v>
      </c>
      <c r="G105" s="39">
        <v>0</v>
      </c>
      <c r="H105" s="39">
        <v>0</v>
      </c>
      <c r="I105" s="39">
        <v>0</v>
      </c>
      <c r="J105" s="39">
        <v>0</v>
      </c>
      <c r="K105" s="39">
        <v>0</v>
      </c>
      <c r="L105" s="39">
        <v>0</v>
      </c>
      <c r="M105" s="39">
        <v>0</v>
      </c>
      <c r="N105" s="39">
        <v>0</v>
      </c>
      <c r="O105" s="39">
        <v>0</v>
      </c>
      <c r="P105" s="39">
        <v>0</v>
      </c>
      <c r="Q105" s="22"/>
    </row>
    <row r="106" spans="2:17" x14ac:dyDescent="0.15">
      <c r="B106" s="26">
        <f t="shared" si="7"/>
        <v>104</v>
      </c>
      <c r="C106" s="22" t="s">
        <v>82</v>
      </c>
      <c r="D106" s="39">
        <f t="shared" si="8"/>
        <v>0</v>
      </c>
      <c r="E106" s="39">
        <v>0</v>
      </c>
      <c r="F106" s="39">
        <v>0</v>
      </c>
      <c r="G106" s="39">
        <v>0</v>
      </c>
      <c r="H106" s="39">
        <v>0</v>
      </c>
      <c r="I106" s="39">
        <v>0</v>
      </c>
      <c r="J106" s="39">
        <v>0</v>
      </c>
      <c r="K106" s="39">
        <v>0</v>
      </c>
      <c r="L106" s="39">
        <v>0</v>
      </c>
      <c r="M106" s="39">
        <v>0</v>
      </c>
      <c r="N106" s="39">
        <v>0</v>
      </c>
      <c r="O106" s="39">
        <v>0</v>
      </c>
      <c r="P106" s="39">
        <v>0</v>
      </c>
      <c r="Q106" s="22"/>
    </row>
    <row r="107" spans="2:17" x14ac:dyDescent="0.15">
      <c r="B107" s="26">
        <f t="shared" si="7"/>
        <v>105</v>
      </c>
      <c r="C107" s="22" t="s">
        <v>74</v>
      </c>
      <c r="D107" s="39">
        <f t="shared" si="8"/>
        <v>0</v>
      </c>
      <c r="E107" s="39">
        <v>0</v>
      </c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0</v>
      </c>
      <c r="P107" s="39">
        <v>0</v>
      </c>
      <c r="Q107" s="22"/>
    </row>
    <row r="108" spans="2:17" x14ac:dyDescent="0.15">
      <c r="B108" s="26">
        <f t="shared" si="7"/>
        <v>106</v>
      </c>
      <c r="C108" s="22" t="s">
        <v>21</v>
      </c>
      <c r="D108" s="39">
        <f t="shared" si="8"/>
        <v>0</v>
      </c>
      <c r="E108" s="39">
        <v>0</v>
      </c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0</v>
      </c>
      <c r="P108" s="39">
        <v>0</v>
      </c>
      <c r="Q108" s="22"/>
    </row>
    <row r="109" spans="2:17" x14ac:dyDescent="0.15">
      <c r="B109" s="26">
        <f t="shared" si="7"/>
        <v>107</v>
      </c>
      <c r="C109" s="22" t="s">
        <v>59</v>
      </c>
      <c r="D109" s="39">
        <f t="shared" si="8"/>
        <v>0</v>
      </c>
      <c r="E109" s="39">
        <v>0</v>
      </c>
      <c r="F109" s="39">
        <v>0</v>
      </c>
      <c r="G109" s="39">
        <v>0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>
        <v>0</v>
      </c>
      <c r="O109" s="39">
        <v>0</v>
      </c>
      <c r="P109" s="39">
        <v>0</v>
      </c>
      <c r="Q109" s="22"/>
    </row>
    <row r="110" spans="2:17" x14ac:dyDescent="0.15">
      <c r="B110" s="26">
        <f t="shared" si="7"/>
        <v>108</v>
      </c>
      <c r="C110" s="22" t="s">
        <v>28</v>
      </c>
      <c r="D110" s="39">
        <f t="shared" si="8"/>
        <v>0</v>
      </c>
      <c r="E110" s="39">
        <v>0</v>
      </c>
      <c r="F110" s="39">
        <v>0</v>
      </c>
      <c r="G110" s="39">
        <v>0</v>
      </c>
      <c r="H110" s="39">
        <v>0</v>
      </c>
      <c r="I110" s="39">
        <v>0</v>
      </c>
      <c r="J110" s="39">
        <v>0</v>
      </c>
      <c r="K110" s="39">
        <v>0</v>
      </c>
      <c r="L110" s="39">
        <v>0</v>
      </c>
      <c r="M110" s="39">
        <v>0</v>
      </c>
      <c r="N110" s="39">
        <v>0</v>
      </c>
      <c r="O110" s="39">
        <v>0</v>
      </c>
      <c r="P110" s="39">
        <v>0</v>
      </c>
      <c r="Q110" s="22"/>
    </row>
    <row r="111" spans="2:17" x14ac:dyDescent="0.15">
      <c r="B111" s="26">
        <f t="shared" si="7"/>
        <v>109</v>
      </c>
      <c r="C111" s="22" t="s">
        <v>199</v>
      </c>
      <c r="D111" s="39">
        <f t="shared" si="8"/>
        <v>0</v>
      </c>
      <c r="E111" s="39">
        <v>0</v>
      </c>
      <c r="F111" s="39">
        <v>0</v>
      </c>
      <c r="G111" s="39">
        <v>0</v>
      </c>
      <c r="H111" s="39">
        <v>0</v>
      </c>
      <c r="I111" s="39">
        <v>0</v>
      </c>
      <c r="J111" s="39">
        <v>0</v>
      </c>
      <c r="K111" s="39">
        <v>0</v>
      </c>
      <c r="L111" s="39">
        <v>0</v>
      </c>
      <c r="M111" s="39">
        <v>0</v>
      </c>
      <c r="N111" s="39">
        <v>0</v>
      </c>
      <c r="O111" s="39">
        <v>0</v>
      </c>
      <c r="P111" s="39">
        <v>0</v>
      </c>
      <c r="Q111" s="22"/>
    </row>
    <row r="112" spans="2:17" x14ac:dyDescent="0.15">
      <c r="B112" s="26">
        <f t="shared" si="7"/>
        <v>110</v>
      </c>
      <c r="C112" s="22" t="s">
        <v>46</v>
      </c>
      <c r="D112" s="39">
        <f t="shared" si="8"/>
        <v>0</v>
      </c>
      <c r="E112" s="39">
        <v>0</v>
      </c>
      <c r="F112" s="39">
        <v>0</v>
      </c>
      <c r="G112" s="39">
        <v>0</v>
      </c>
      <c r="H112" s="39">
        <v>0</v>
      </c>
      <c r="I112" s="39">
        <v>0</v>
      </c>
      <c r="J112" s="39">
        <v>0</v>
      </c>
      <c r="K112" s="39">
        <v>0</v>
      </c>
      <c r="L112" s="39">
        <v>0</v>
      </c>
      <c r="M112" s="39">
        <v>0</v>
      </c>
      <c r="N112" s="39">
        <v>0</v>
      </c>
      <c r="O112" s="39">
        <v>0</v>
      </c>
      <c r="P112" s="39">
        <v>0</v>
      </c>
      <c r="Q112" s="22"/>
    </row>
    <row r="113" spans="2:17" x14ac:dyDescent="0.15">
      <c r="B113" s="26">
        <f t="shared" si="7"/>
        <v>111</v>
      </c>
      <c r="C113" s="22" t="s">
        <v>47</v>
      </c>
      <c r="D113" s="39">
        <f t="shared" si="8"/>
        <v>0</v>
      </c>
      <c r="E113" s="39">
        <v>0</v>
      </c>
      <c r="F113" s="39">
        <v>0</v>
      </c>
      <c r="G113" s="39">
        <v>0</v>
      </c>
      <c r="H113" s="39">
        <v>0</v>
      </c>
      <c r="I113" s="39">
        <v>0</v>
      </c>
      <c r="J113" s="39">
        <v>0</v>
      </c>
      <c r="K113" s="39">
        <v>0</v>
      </c>
      <c r="L113" s="39">
        <v>0</v>
      </c>
      <c r="M113" s="39">
        <v>0</v>
      </c>
      <c r="N113" s="39">
        <v>0</v>
      </c>
      <c r="O113" s="39">
        <v>0</v>
      </c>
      <c r="P113" s="39">
        <v>0</v>
      </c>
      <c r="Q113" s="22"/>
    </row>
    <row r="114" spans="2:17" x14ac:dyDescent="0.15">
      <c r="B114" s="26">
        <f t="shared" si="7"/>
        <v>112</v>
      </c>
      <c r="C114" s="22" t="s">
        <v>48</v>
      </c>
      <c r="D114" s="39">
        <f t="shared" si="8"/>
        <v>0</v>
      </c>
      <c r="E114" s="39">
        <v>0</v>
      </c>
      <c r="F114" s="39">
        <v>0</v>
      </c>
      <c r="G114" s="39">
        <v>0</v>
      </c>
      <c r="H114" s="39">
        <v>0</v>
      </c>
      <c r="I114" s="39">
        <v>0</v>
      </c>
      <c r="J114" s="39">
        <v>0</v>
      </c>
      <c r="K114" s="39">
        <v>0</v>
      </c>
      <c r="L114" s="39">
        <v>0</v>
      </c>
      <c r="M114" s="39">
        <v>0</v>
      </c>
      <c r="N114" s="39">
        <v>0</v>
      </c>
      <c r="O114" s="39">
        <v>0</v>
      </c>
      <c r="P114" s="39">
        <v>0</v>
      </c>
      <c r="Q114" s="22"/>
    </row>
    <row r="115" spans="2:17" x14ac:dyDescent="0.15">
      <c r="B115" s="26">
        <f t="shared" si="7"/>
        <v>113</v>
      </c>
      <c r="C115" s="22" t="s">
        <v>50</v>
      </c>
      <c r="D115" s="39">
        <f t="shared" si="8"/>
        <v>0</v>
      </c>
      <c r="E115" s="39">
        <v>0</v>
      </c>
      <c r="F115" s="39">
        <v>0</v>
      </c>
      <c r="G115" s="39">
        <v>0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>
        <v>0</v>
      </c>
      <c r="O115" s="39">
        <v>0</v>
      </c>
      <c r="P115" s="39">
        <v>0</v>
      </c>
      <c r="Q115" s="22"/>
    </row>
    <row r="116" spans="2:17" x14ac:dyDescent="0.15">
      <c r="B116" s="26">
        <f t="shared" si="7"/>
        <v>114</v>
      </c>
      <c r="C116" s="22" t="s">
        <v>51</v>
      </c>
      <c r="D116" s="39">
        <f t="shared" si="8"/>
        <v>0</v>
      </c>
      <c r="E116" s="39">
        <v>0</v>
      </c>
      <c r="F116" s="39">
        <v>0</v>
      </c>
      <c r="G116" s="39">
        <v>0</v>
      </c>
      <c r="H116" s="39">
        <v>0</v>
      </c>
      <c r="I116" s="39">
        <v>0</v>
      </c>
      <c r="J116" s="39">
        <v>0</v>
      </c>
      <c r="K116" s="39">
        <v>0</v>
      </c>
      <c r="L116" s="39">
        <v>0</v>
      </c>
      <c r="M116" s="39">
        <v>0</v>
      </c>
      <c r="N116" s="39">
        <v>0</v>
      </c>
      <c r="O116" s="39">
        <v>0</v>
      </c>
      <c r="P116" s="39">
        <v>0</v>
      </c>
      <c r="Q116" s="22"/>
    </row>
    <row r="117" spans="2:17" x14ac:dyDescent="0.15">
      <c r="B117" s="26">
        <f t="shared" si="7"/>
        <v>115</v>
      </c>
      <c r="C117" s="22" t="s">
        <v>53</v>
      </c>
      <c r="D117" s="39">
        <f t="shared" si="8"/>
        <v>0</v>
      </c>
      <c r="E117" s="39">
        <v>0</v>
      </c>
      <c r="F117" s="39">
        <v>0</v>
      </c>
      <c r="G117" s="39">
        <v>0</v>
      </c>
      <c r="H117" s="39">
        <v>0</v>
      </c>
      <c r="I117" s="39">
        <v>0</v>
      </c>
      <c r="J117" s="39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22"/>
    </row>
    <row r="118" spans="2:17" x14ac:dyDescent="0.15">
      <c r="B118" s="26">
        <f t="shared" si="7"/>
        <v>116</v>
      </c>
      <c r="C118" s="22" t="s">
        <v>55</v>
      </c>
      <c r="D118" s="39">
        <f t="shared" si="8"/>
        <v>0</v>
      </c>
      <c r="E118" s="39">
        <v>0</v>
      </c>
      <c r="F118" s="39">
        <v>0</v>
      </c>
      <c r="G118" s="39">
        <v>0</v>
      </c>
      <c r="H118" s="39">
        <v>0</v>
      </c>
      <c r="I118" s="39">
        <v>0</v>
      </c>
      <c r="J118" s="39">
        <v>0</v>
      </c>
      <c r="K118" s="39">
        <v>0</v>
      </c>
      <c r="L118" s="39">
        <v>0</v>
      </c>
      <c r="M118" s="39">
        <v>0</v>
      </c>
      <c r="N118" s="39">
        <v>0</v>
      </c>
      <c r="O118" s="39">
        <v>0</v>
      </c>
      <c r="P118" s="39">
        <v>0</v>
      </c>
      <c r="Q118" s="22"/>
    </row>
    <row r="119" spans="2:17" x14ac:dyDescent="0.15">
      <c r="B119" s="26">
        <f t="shared" si="7"/>
        <v>117</v>
      </c>
      <c r="C119" s="22" t="s">
        <v>56</v>
      </c>
      <c r="D119" s="39">
        <f t="shared" si="8"/>
        <v>0</v>
      </c>
      <c r="E119" s="39">
        <v>0</v>
      </c>
      <c r="F119" s="39">
        <v>0</v>
      </c>
      <c r="G119" s="39">
        <v>0</v>
      </c>
      <c r="H119" s="39">
        <v>0</v>
      </c>
      <c r="I119" s="39">
        <v>0</v>
      </c>
      <c r="J119" s="39">
        <v>0</v>
      </c>
      <c r="K119" s="39">
        <v>0</v>
      </c>
      <c r="L119" s="39">
        <v>0</v>
      </c>
      <c r="M119" s="39">
        <v>0</v>
      </c>
      <c r="N119" s="39">
        <v>0</v>
      </c>
      <c r="O119" s="39">
        <v>0</v>
      </c>
      <c r="P119" s="39">
        <v>0</v>
      </c>
      <c r="Q119" s="22"/>
    </row>
    <row r="120" spans="2:17" x14ac:dyDescent="0.15">
      <c r="B120" s="26">
        <f t="shared" si="7"/>
        <v>118</v>
      </c>
      <c r="C120" s="22" t="s">
        <v>63</v>
      </c>
      <c r="D120" s="39">
        <f t="shared" si="8"/>
        <v>0</v>
      </c>
      <c r="E120" s="39">
        <v>0</v>
      </c>
      <c r="F120" s="39">
        <v>0</v>
      </c>
      <c r="G120" s="39">
        <v>0</v>
      </c>
      <c r="H120" s="39">
        <v>0</v>
      </c>
      <c r="I120" s="39">
        <v>0</v>
      </c>
      <c r="J120" s="39">
        <v>0</v>
      </c>
      <c r="K120" s="39">
        <v>0</v>
      </c>
      <c r="L120" s="39">
        <v>0</v>
      </c>
      <c r="M120" s="39">
        <v>0</v>
      </c>
      <c r="N120" s="39">
        <v>0</v>
      </c>
      <c r="O120" s="39">
        <v>0</v>
      </c>
      <c r="P120" s="39">
        <v>0</v>
      </c>
      <c r="Q120" s="22"/>
    </row>
    <row r="121" spans="2:17" x14ac:dyDescent="0.15">
      <c r="B121" s="26">
        <f t="shared" si="7"/>
        <v>119</v>
      </c>
      <c r="C121" s="22" t="s">
        <v>66</v>
      </c>
      <c r="D121" s="39">
        <f t="shared" si="8"/>
        <v>0</v>
      </c>
      <c r="E121" s="39">
        <v>0</v>
      </c>
      <c r="F121" s="39">
        <v>0</v>
      </c>
      <c r="G121" s="39">
        <v>0</v>
      </c>
      <c r="H121" s="39">
        <v>0</v>
      </c>
      <c r="I121" s="39">
        <v>0</v>
      </c>
      <c r="J121" s="39">
        <v>0</v>
      </c>
      <c r="K121" s="39">
        <v>0</v>
      </c>
      <c r="L121" s="39">
        <v>0</v>
      </c>
      <c r="M121" s="39">
        <v>0</v>
      </c>
      <c r="N121" s="39">
        <v>0</v>
      </c>
      <c r="O121" s="39">
        <v>0</v>
      </c>
      <c r="P121" s="39">
        <v>0</v>
      </c>
      <c r="Q121" s="22"/>
    </row>
    <row r="122" spans="2:17" x14ac:dyDescent="0.15">
      <c r="B122" s="26">
        <f t="shared" si="7"/>
        <v>120</v>
      </c>
      <c r="C122" s="22" t="s">
        <v>70</v>
      </c>
      <c r="D122" s="39">
        <f t="shared" si="8"/>
        <v>0</v>
      </c>
      <c r="E122" s="39">
        <v>0</v>
      </c>
      <c r="F122" s="39">
        <v>0</v>
      </c>
      <c r="G122" s="39">
        <v>0</v>
      </c>
      <c r="H122" s="39">
        <v>0</v>
      </c>
      <c r="I122" s="39">
        <v>0</v>
      </c>
      <c r="J122" s="39">
        <v>0</v>
      </c>
      <c r="K122" s="39">
        <v>0</v>
      </c>
      <c r="L122" s="39">
        <v>0</v>
      </c>
      <c r="M122" s="39">
        <v>0</v>
      </c>
      <c r="N122" s="39">
        <v>0</v>
      </c>
      <c r="O122" s="39">
        <v>0</v>
      </c>
      <c r="P122" s="39">
        <v>0</v>
      </c>
      <c r="Q122" s="22"/>
    </row>
    <row r="123" spans="2:17" x14ac:dyDescent="0.15">
      <c r="B123" s="26">
        <f t="shared" si="7"/>
        <v>121</v>
      </c>
      <c r="C123" s="22" t="s">
        <v>71</v>
      </c>
      <c r="D123" s="39">
        <f t="shared" si="8"/>
        <v>0</v>
      </c>
      <c r="E123" s="39">
        <v>0</v>
      </c>
      <c r="F123" s="39">
        <v>0</v>
      </c>
      <c r="G123" s="39">
        <v>0</v>
      </c>
      <c r="H123" s="39">
        <v>0</v>
      </c>
      <c r="I123" s="39">
        <v>0</v>
      </c>
      <c r="J123" s="39">
        <v>0</v>
      </c>
      <c r="K123" s="39">
        <v>0</v>
      </c>
      <c r="L123" s="39">
        <v>0</v>
      </c>
      <c r="M123" s="39">
        <v>0</v>
      </c>
      <c r="N123" s="39">
        <v>0</v>
      </c>
      <c r="O123" s="39">
        <v>0</v>
      </c>
      <c r="P123" s="39">
        <v>0</v>
      </c>
      <c r="Q123" s="22"/>
    </row>
    <row r="124" spans="2:17" x14ac:dyDescent="0.15">
      <c r="B124" s="26">
        <f t="shared" si="7"/>
        <v>122</v>
      </c>
      <c r="C124" s="22" t="s">
        <v>85</v>
      </c>
      <c r="D124" s="39">
        <f t="shared" si="8"/>
        <v>0</v>
      </c>
      <c r="E124" s="39">
        <v>0</v>
      </c>
      <c r="F124" s="39">
        <v>0</v>
      </c>
      <c r="G124" s="39">
        <v>0</v>
      </c>
      <c r="H124" s="39">
        <v>0</v>
      </c>
      <c r="I124" s="39">
        <v>0</v>
      </c>
      <c r="J124" s="39">
        <v>0</v>
      </c>
      <c r="K124" s="39">
        <v>0</v>
      </c>
      <c r="L124" s="39">
        <v>0</v>
      </c>
      <c r="M124" s="39">
        <v>0</v>
      </c>
      <c r="N124" s="39">
        <v>0</v>
      </c>
      <c r="O124" s="39">
        <v>0</v>
      </c>
      <c r="P124" s="39">
        <v>0</v>
      </c>
      <c r="Q124" s="22"/>
    </row>
    <row r="125" spans="2:17" x14ac:dyDescent="0.15">
      <c r="B125" s="26">
        <f t="shared" si="7"/>
        <v>123</v>
      </c>
      <c r="C125" s="22" t="s">
        <v>87</v>
      </c>
      <c r="D125" s="39">
        <f t="shared" si="8"/>
        <v>0</v>
      </c>
      <c r="E125" s="39">
        <v>0</v>
      </c>
      <c r="F125" s="39">
        <v>0</v>
      </c>
      <c r="G125" s="39">
        <v>0</v>
      </c>
      <c r="H125" s="39">
        <v>0</v>
      </c>
      <c r="I125" s="39">
        <v>0</v>
      </c>
      <c r="J125" s="39">
        <v>0</v>
      </c>
      <c r="K125" s="39">
        <v>0</v>
      </c>
      <c r="L125" s="39">
        <v>0</v>
      </c>
      <c r="M125" s="39">
        <v>0</v>
      </c>
      <c r="N125" s="39">
        <v>0</v>
      </c>
      <c r="O125" s="39">
        <v>0</v>
      </c>
      <c r="P125" s="39">
        <v>0</v>
      </c>
      <c r="Q125" s="22"/>
    </row>
    <row r="126" spans="2:17" x14ac:dyDescent="0.15">
      <c r="B126" s="26">
        <f t="shared" si="7"/>
        <v>124</v>
      </c>
      <c r="C126" s="22" t="s">
        <v>89</v>
      </c>
      <c r="D126" s="39">
        <f t="shared" si="8"/>
        <v>0</v>
      </c>
      <c r="E126" s="39">
        <v>0</v>
      </c>
      <c r="F126" s="39">
        <v>0</v>
      </c>
      <c r="G126" s="39">
        <v>0</v>
      </c>
      <c r="H126" s="39">
        <v>0</v>
      </c>
      <c r="I126" s="39">
        <v>0</v>
      </c>
      <c r="J126" s="39">
        <v>0</v>
      </c>
      <c r="K126" s="39">
        <v>0</v>
      </c>
      <c r="L126" s="39">
        <v>0</v>
      </c>
      <c r="M126" s="39">
        <v>0</v>
      </c>
      <c r="N126" s="39">
        <v>0</v>
      </c>
      <c r="O126" s="39">
        <v>0</v>
      </c>
      <c r="P126" s="39">
        <v>0</v>
      </c>
      <c r="Q126" s="22"/>
    </row>
    <row r="127" spans="2:17" x14ac:dyDescent="0.15">
      <c r="B127" s="26">
        <f t="shared" si="7"/>
        <v>125</v>
      </c>
      <c r="C127" s="22" t="s">
        <v>90</v>
      </c>
      <c r="D127" s="39">
        <f t="shared" si="8"/>
        <v>0</v>
      </c>
      <c r="E127" s="39">
        <v>0</v>
      </c>
      <c r="F127" s="39">
        <v>0</v>
      </c>
      <c r="G127" s="39">
        <v>0</v>
      </c>
      <c r="H127" s="39">
        <v>0</v>
      </c>
      <c r="I127" s="39">
        <v>0</v>
      </c>
      <c r="J127" s="39">
        <v>0</v>
      </c>
      <c r="K127" s="39">
        <v>0</v>
      </c>
      <c r="L127" s="39">
        <v>0</v>
      </c>
      <c r="M127" s="39">
        <v>0</v>
      </c>
      <c r="N127" s="39">
        <v>0</v>
      </c>
      <c r="O127" s="39">
        <v>0</v>
      </c>
      <c r="P127" s="39">
        <v>0</v>
      </c>
      <c r="Q127" s="22"/>
    </row>
    <row r="128" spans="2:17" x14ac:dyDescent="0.15">
      <c r="B128" s="26">
        <f t="shared" si="7"/>
        <v>126</v>
      </c>
      <c r="C128" s="22" t="s">
        <v>91</v>
      </c>
      <c r="D128" s="39">
        <f t="shared" si="8"/>
        <v>0</v>
      </c>
      <c r="E128" s="39">
        <v>0</v>
      </c>
      <c r="F128" s="39">
        <v>0</v>
      </c>
      <c r="G128" s="39">
        <v>0</v>
      </c>
      <c r="H128" s="39">
        <v>0</v>
      </c>
      <c r="I128" s="39">
        <v>0</v>
      </c>
      <c r="J128" s="39">
        <v>0</v>
      </c>
      <c r="K128" s="39">
        <v>0</v>
      </c>
      <c r="L128" s="39">
        <v>0</v>
      </c>
      <c r="M128" s="39">
        <v>0</v>
      </c>
      <c r="N128" s="39">
        <v>0</v>
      </c>
      <c r="O128" s="39">
        <v>0</v>
      </c>
      <c r="P128" s="39">
        <v>0</v>
      </c>
      <c r="Q128" s="22"/>
    </row>
    <row r="129" spans="2:17" x14ac:dyDescent="0.15">
      <c r="B129" s="26">
        <f t="shared" si="7"/>
        <v>127</v>
      </c>
      <c r="C129" s="22" t="s">
        <v>303</v>
      </c>
      <c r="D129" s="39">
        <f t="shared" si="8"/>
        <v>0</v>
      </c>
      <c r="E129" s="39">
        <v>0</v>
      </c>
      <c r="F129" s="39">
        <v>0</v>
      </c>
      <c r="G129" s="39">
        <v>0</v>
      </c>
      <c r="H129" s="39">
        <v>0</v>
      </c>
      <c r="I129" s="39">
        <v>0</v>
      </c>
      <c r="J129" s="39">
        <v>0</v>
      </c>
      <c r="K129" s="39">
        <v>0</v>
      </c>
      <c r="L129" s="39">
        <v>0</v>
      </c>
      <c r="M129" s="39">
        <v>0</v>
      </c>
      <c r="N129" s="39">
        <v>0</v>
      </c>
      <c r="O129" s="39">
        <v>0</v>
      </c>
      <c r="P129" s="39">
        <v>0</v>
      </c>
      <c r="Q129" s="22"/>
    </row>
    <row r="130" spans="2:17" x14ac:dyDescent="0.15">
      <c r="B130" s="26">
        <f t="shared" si="7"/>
        <v>128</v>
      </c>
      <c r="C130" s="22" t="s">
        <v>353</v>
      </c>
      <c r="D130" s="39">
        <f t="shared" si="8"/>
        <v>0</v>
      </c>
      <c r="E130" s="39">
        <v>0</v>
      </c>
      <c r="F130" s="39">
        <v>0</v>
      </c>
      <c r="G130" s="39">
        <v>0</v>
      </c>
      <c r="H130" s="39">
        <v>0</v>
      </c>
      <c r="I130" s="39">
        <v>0</v>
      </c>
      <c r="J130" s="39">
        <v>0</v>
      </c>
      <c r="K130" s="39">
        <v>0</v>
      </c>
      <c r="L130" s="39">
        <v>0</v>
      </c>
      <c r="M130" s="39">
        <v>0</v>
      </c>
      <c r="N130" s="39">
        <v>0</v>
      </c>
      <c r="O130" s="39">
        <v>0</v>
      </c>
      <c r="P130" s="39">
        <v>0</v>
      </c>
      <c r="Q130" s="22"/>
    </row>
    <row r="131" spans="2:17" x14ac:dyDescent="0.15">
      <c r="B131" s="26">
        <f t="shared" si="7"/>
        <v>129</v>
      </c>
      <c r="C131" s="22" t="s">
        <v>424</v>
      </c>
      <c r="D131" s="39">
        <f t="shared" si="8"/>
        <v>0</v>
      </c>
      <c r="E131" s="39">
        <v>0</v>
      </c>
      <c r="F131" s="39">
        <v>0</v>
      </c>
      <c r="G131" s="39">
        <v>0</v>
      </c>
      <c r="H131" s="39">
        <v>0</v>
      </c>
      <c r="I131" s="39">
        <v>0</v>
      </c>
      <c r="J131" s="39">
        <v>0</v>
      </c>
      <c r="K131" s="39">
        <v>0</v>
      </c>
      <c r="L131" s="39">
        <v>0</v>
      </c>
      <c r="M131" s="39">
        <v>0</v>
      </c>
      <c r="N131" s="39">
        <v>0</v>
      </c>
      <c r="O131" s="39">
        <v>0</v>
      </c>
      <c r="P131" s="39">
        <v>0</v>
      </c>
      <c r="Q131" s="22"/>
    </row>
    <row r="132" spans="2:17" x14ac:dyDescent="0.15">
      <c r="B132" s="26">
        <f t="shared" si="7"/>
        <v>130</v>
      </c>
      <c r="C132" s="22" t="s">
        <v>428</v>
      </c>
      <c r="D132" s="39">
        <f t="shared" si="8"/>
        <v>0</v>
      </c>
      <c r="E132" s="39">
        <v>0</v>
      </c>
      <c r="F132" s="39">
        <v>0</v>
      </c>
      <c r="G132" s="39">
        <v>0</v>
      </c>
      <c r="H132" s="39">
        <v>0</v>
      </c>
      <c r="I132" s="39">
        <v>0</v>
      </c>
      <c r="J132" s="39">
        <v>0</v>
      </c>
      <c r="K132" s="39">
        <v>0</v>
      </c>
      <c r="L132" s="39">
        <v>0</v>
      </c>
      <c r="M132" s="39">
        <v>0</v>
      </c>
      <c r="N132" s="39">
        <v>0</v>
      </c>
      <c r="O132" s="39">
        <v>0</v>
      </c>
      <c r="P132" s="39">
        <v>0</v>
      </c>
      <c r="Q132" s="22"/>
    </row>
    <row r="133" spans="2:17" x14ac:dyDescent="0.15">
      <c r="B133" s="26">
        <f t="shared" si="7"/>
        <v>131</v>
      </c>
      <c r="C133" s="22" t="s">
        <v>444</v>
      </c>
      <c r="D133" s="39">
        <f t="shared" si="8"/>
        <v>0</v>
      </c>
      <c r="E133" s="39">
        <v>0</v>
      </c>
      <c r="F133" s="39">
        <v>0</v>
      </c>
      <c r="G133" s="39">
        <v>0</v>
      </c>
      <c r="H133" s="39">
        <v>0</v>
      </c>
      <c r="I133" s="39">
        <v>0</v>
      </c>
      <c r="J133" s="39">
        <v>0</v>
      </c>
      <c r="K133" s="39">
        <v>0</v>
      </c>
      <c r="L133" s="39">
        <v>0</v>
      </c>
      <c r="M133" s="39">
        <v>0</v>
      </c>
      <c r="N133" s="39">
        <v>0</v>
      </c>
      <c r="O133" s="39">
        <v>0</v>
      </c>
      <c r="P133" s="39">
        <v>0</v>
      </c>
      <c r="Q133" s="22"/>
    </row>
    <row r="134" spans="2:17" x14ac:dyDescent="0.15">
      <c r="B134" s="26">
        <f t="shared" si="7"/>
        <v>132</v>
      </c>
      <c r="C134" s="22" t="s">
        <v>452</v>
      </c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22"/>
    </row>
    <row r="135" spans="2:17" x14ac:dyDescent="0.15">
      <c r="B135" s="26">
        <f t="shared" si="7"/>
        <v>133</v>
      </c>
      <c r="C135" s="22" t="s">
        <v>458</v>
      </c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22"/>
    </row>
    <row r="136" spans="2:17" x14ac:dyDescent="0.15">
      <c r="B136" s="26"/>
      <c r="C136" s="22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22"/>
    </row>
  </sheetData>
  <sortState xmlns:xlrd2="http://schemas.microsoft.com/office/spreadsheetml/2017/richdata2" ref="B3:Q200">
    <sortCondition descending="1" ref="D2"/>
  </sortState>
  <phoneticPr fontId="6"/>
  <printOptions horizontalCentered="1"/>
  <pageMargins left="0.31496062992125984" right="0.31496062992125984" top="0.55118110236220474" bottom="0.55118110236220474" header="0.31496062992125984" footer="0.31496062992125984"/>
  <pageSetup paperSize="8" scale="90" orientation="landscape" r:id="rId1"/>
  <headerFooter>
    <oddHeader>&amp;C&amp;A&amp;R社外密</oddHeader>
    <oddFooter>&amp;C&amp;F　&amp;A&amp;R&amp;P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取引先データ読み取り">
                <anchor moveWithCells="1" sizeWithCells="1">
                  <from>
                    <xdr:col>2</xdr:col>
                    <xdr:colOff>66675</xdr:colOff>
                    <xdr:row>0</xdr:row>
                    <xdr:rowOff>85725</xdr:rowOff>
                  </from>
                  <to>
                    <xdr:col>2</xdr:col>
                    <xdr:colOff>1066800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取引先データクリア">
                <anchor moveWithCells="1" sizeWithCells="1">
                  <from>
                    <xdr:col>2</xdr:col>
                    <xdr:colOff>1133475</xdr:colOff>
                    <xdr:row>0</xdr:row>
                    <xdr:rowOff>85725</xdr:rowOff>
                  </from>
                  <to>
                    <xdr:col>2</xdr:col>
                    <xdr:colOff>2143125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ataSort">
                <anchor moveWithCells="1" sizeWithCells="1">
                  <from>
                    <xdr:col>2</xdr:col>
                    <xdr:colOff>2200275</xdr:colOff>
                    <xdr:row>0</xdr:row>
                    <xdr:rowOff>85725</xdr:rowOff>
                  </from>
                  <to>
                    <xdr:col>2</xdr:col>
                    <xdr:colOff>3209925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BDCE8-EC6C-4CA6-9507-5F403DE83FA8}">
  <sheetPr codeName="Sheet3"/>
  <dimension ref="B1:R219"/>
  <sheetViews>
    <sheetView showGridLines="0" zoomScaleNormal="100" workbookViewId="0">
      <pane xSplit="5" ySplit="2" topLeftCell="I3" activePane="bottomRight" state="frozen"/>
      <selection pane="topRight" activeCell="F1" sqref="F1"/>
      <selection pane="bottomLeft" activeCell="A3" sqref="A3"/>
      <selection pane="bottomRight" activeCell="J37" sqref="J37"/>
    </sheetView>
  </sheetViews>
  <sheetFormatPr defaultRowHeight="13.5" x14ac:dyDescent="0.15"/>
  <cols>
    <col min="1" max="1" width="2.625" customWidth="1"/>
    <col min="2" max="2" width="4.5" bestFit="1" customWidth="1"/>
    <col min="3" max="3" width="20.5" customWidth="1"/>
    <col min="4" max="4" width="20.25" style="27" customWidth="1"/>
    <col min="5" max="5" width="12.625" style="27" bestFit="1" customWidth="1"/>
    <col min="6" max="17" width="11.5" style="27" bestFit="1" customWidth="1"/>
    <col min="18" max="18" width="32.625" customWidth="1"/>
    <col min="19" max="19" width="2.875" customWidth="1"/>
  </cols>
  <sheetData>
    <row r="1" spans="2:18" ht="35.25" customHeight="1" x14ac:dyDescent="0.15">
      <c r="E1" s="24">
        <f>SUM(F1:Q1)</f>
        <v>0</v>
      </c>
      <c r="F1" s="24">
        <f t="shared" ref="F1:Q1" si="0">SUM(F3:F199)</f>
        <v>0</v>
      </c>
      <c r="G1" s="24">
        <f t="shared" si="0"/>
        <v>0</v>
      </c>
      <c r="H1" s="24">
        <f t="shared" si="0"/>
        <v>0</v>
      </c>
      <c r="I1" s="24">
        <f t="shared" si="0"/>
        <v>0</v>
      </c>
      <c r="J1" s="24">
        <f t="shared" si="0"/>
        <v>0</v>
      </c>
      <c r="K1" s="24">
        <f t="shared" si="0"/>
        <v>0</v>
      </c>
      <c r="L1" s="24">
        <f t="shared" si="0"/>
        <v>0</v>
      </c>
      <c r="M1" s="24">
        <f t="shared" si="0"/>
        <v>0</v>
      </c>
      <c r="N1" s="24">
        <f t="shared" si="0"/>
        <v>0</v>
      </c>
      <c r="O1" s="24">
        <f t="shared" si="0"/>
        <v>0</v>
      </c>
      <c r="P1" s="24">
        <f t="shared" si="0"/>
        <v>0</v>
      </c>
      <c r="Q1" s="24">
        <f t="shared" si="0"/>
        <v>0</v>
      </c>
    </row>
    <row r="2" spans="2:18" ht="26.25" customHeight="1" x14ac:dyDescent="0.15">
      <c r="B2" s="25" t="s">
        <v>39</v>
      </c>
      <c r="C2" s="23" t="s">
        <v>43</v>
      </c>
      <c r="D2" s="25" t="s">
        <v>202</v>
      </c>
      <c r="E2" s="25" t="s">
        <v>198</v>
      </c>
      <c r="F2" s="34">
        <v>202007</v>
      </c>
      <c r="G2" s="34">
        <v>202008</v>
      </c>
      <c r="H2" s="34">
        <v>202009</v>
      </c>
      <c r="I2" s="34">
        <v>202010</v>
      </c>
      <c r="J2" s="34">
        <v>202011</v>
      </c>
      <c r="K2" s="34">
        <v>202012</v>
      </c>
      <c r="L2" s="34">
        <v>202101</v>
      </c>
      <c r="M2" s="34">
        <v>202102</v>
      </c>
      <c r="N2" s="34">
        <v>202103</v>
      </c>
      <c r="O2" s="34">
        <v>202104</v>
      </c>
      <c r="P2" s="34">
        <v>202105</v>
      </c>
      <c r="Q2" s="34">
        <v>202106</v>
      </c>
      <c r="R2" s="23" t="s">
        <v>40</v>
      </c>
    </row>
    <row r="3" spans="2:18" x14ac:dyDescent="0.15">
      <c r="B3" s="26">
        <f t="shared" ref="B3:B34" si="1">ROW()-2</f>
        <v>1</v>
      </c>
      <c r="C3" s="22" t="s">
        <v>100</v>
      </c>
      <c r="D3" s="26" t="s">
        <v>176</v>
      </c>
      <c r="E3" s="38">
        <f t="shared" ref="E3:E34" si="2">SUM(F3:Q3)</f>
        <v>0</v>
      </c>
      <c r="F3" s="38">
        <v>0</v>
      </c>
      <c r="G3" s="38">
        <v>0</v>
      </c>
      <c r="H3" s="38">
        <v>0</v>
      </c>
      <c r="I3" s="38">
        <v>0</v>
      </c>
      <c r="J3" s="38">
        <v>0</v>
      </c>
      <c r="K3" s="38">
        <v>0</v>
      </c>
      <c r="L3" s="38">
        <v>0</v>
      </c>
      <c r="M3" s="38">
        <v>0</v>
      </c>
      <c r="N3" s="38">
        <v>0</v>
      </c>
      <c r="O3" s="38">
        <v>0</v>
      </c>
      <c r="P3" s="38">
        <v>0</v>
      </c>
      <c r="Q3" s="38">
        <v>0</v>
      </c>
      <c r="R3" s="22"/>
    </row>
    <row r="4" spans="2:18" x14ac:dyDescent="0.15">
      <c r="B4" s="26">
        <f t="shared" si="1"/>
        <v>2</v>
      </c>
      <c r="C4" s="22" t="s">
        <v>98</v>
      </c>
      <c r="D4" s="26" t="s">
        <v>176</v>
      </c>
      <c r="E4" s="38">
        <f t="shared" si="2"/>
        <v>0</v>
      </c>
      <c r="F4" s="38">
        <v>0</v>
      </c>
      <c r="G4" s="38">
        <v>0</v>
      </c>
      <c r="H4" s="38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  <c r="R4" s="22"/>
    </row>
    <row r="5" spans="2:18" x14ac:dyDescent="0.15">
      <c r="B5" s="26">
        <f t="shared" si="1"/>
        <v>3</v>
      </c>
      <c r="C5" s="22" t="s">
        <v>103</v>
      </c>
      <c r="D5" s="26" t="s">
        <v>176</v>
      </c>
      <c r="E5" s="38">
        <f t="shared" si="2"/>
        <v>0</v>
      </c>
      <c r="F5" s="38">
        <v>0</v>
      </c>
      <c r="G5" s="38">
        <v>0</v>
      </c>
      <c r="H5" s="38">
        <v>0</v>
      </c>
      <c r="I5" s="38">
        <v>0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22"/>
    </row>
    <row r="6" spans="2:18" x14ac:dyDescent="0.15">
      <c r="B6" s="26">
        <f t="shared" si="1"/>
        <v>4</v>
      </c>
      <c r="C6" s="22" t="s">
        <v>131</v>
      </c>
      <c r="D6" s="26" t="s">
        <v>176</v>
      </c>
      <c r="E6" s="38">
        <f t="shared" si="2"/>
        <v>0</v>
      </c>
      <c r="F6" s="38">
        <v>0</v>
      </c>
      <c r="G6" s="38">
        <v>0</v>
      </c>
      <c r="H6" s="38">
        <v>0</v>
      </c>
      <c r="I6" s="38">
        <v>0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22"/>
    </row>
    <row r="7" spans="2:18" x14ac:dyDescent="0.15">
      <c r="B7" s="26">
        <f t="shared" si="1"/>
        <v>5</v>
      </c>
      <c r="C7" s="22" t="s">
        <v>102</v>
      </c>
      <c r="D7" s="26" t="s">
        <v>176</v>
      </c>
      <c r="E7" s="38">
        <f t="shared" si="2"/>
        <v>0</v>
      </c>
      <c r="F7" s="38">
        <v>0</v>
      </c>
      <c r="G7" s="38">
        <v>0</v>
      </c>
      <c r="H7" s="38">
        <v>0</v>
      </c>
      <c r="I7" s="38">
        <v>0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22"/>
    </row>
    <row r="8" spans="2:18" x14ac:dyDescent="0.15">
      <c r="B8" s="26">
        <f t="shared" si="1"/>
        <v>6</v>
      </c>
      <c r="C8" s="22" t="s">
        <v>111</v>
      </c>
      <c r="D8" s="26" t="s">
        <v>176</v>
      </c>
      <c r="E8" s="38">
        <f t="shared" si="2"/>
        <v>0</v>
      </c>
      <c r="F8" s="38">
        <v>0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22"/>
    </row>
    <row r="9" spans="2:18" x14ac:dyDescent="0.15">
      <c r="B9" s="26">
        <f t="shared" si="1"/>
        <v>7</v>
      </c>
      <c r="C9" s="22" t="s">
        <v>188</v>
      </c>
      <c r="D9" s="26" t="s">
        <v>176</v>
      </c>
      <c r="E9" s="38">
        <f t="shared" si="2"/>
        <v>0</v>
      </c>
      <c r="F9" s="38">
        <v>0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22"/>
    </row>
    <row r="10" spans="2:18" x14ac:dyDescent="0.15">
      <c r="B10" s="26">
        <f t="shared" si="1"/>
        <v>8</v>
      </c>
      <c r="C10" s="22" t="s">
        <v>99</v>
      </c>
      <c r="D10" s="26" t="s">
        <v>176</v>
      </c>
      <c r="E10" s="38">
        <f t="shared" si="2"/>
        <v>0</v>
      </c>
      <c r="F10" s="38">
        <v>0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22"/>
    </row>
    <row r="11" spans="2:18" x14ac:dyDescent="0.15">
      <c r="B11" s="26">
        <f t="shared" si="1"/>
        <v>9</v>
      </c>
      <c r="C11" s="22" t="s">
        <v>113</v>
      </c>
      <c r="D11" s="26" t="s">
        <v>176</v>
      </c>
      <c r="E11" s="38">
        <f t="shared" si="2"/>
        <v>0</v>
      </c>
      <c r="F11" s="38">
        <v>0</v>
      </c>
      <c r="G11" s="38">
        <v>0</v>
      </c>
      <c r="H11" s="38">
        <v>0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22"/>
    </row>
    <row r="12" spans="2:18" x14ac:dyDescent="0.15">
      <c r="B12" s="26">
        <f t="shared" si="1"/>
        <v>10</v>
      </c>
      <c r="C12" s="22" t="s">
        <v>130</v>
      </c>
      <c r="D12" s="26" t="s">
        <v>176</v>
      </c>
      <c r="E12" s="38">
        <f t="shared" si="2"/>
        <v>0</v>
      </c>
      <c r="F12" s="38">
        <v>0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22"/>
    </row>
    <row r="13" spans="2:18" x14ac:dyDescent="0.15">
      <c r="B13" s="26">
        <f t="shared" si="1"/>
        <v>11</v>
      </c>
      <c r="C13" s="22" t="s">
        <v>128</v>
      </c>
      <c r="D13" s="26" t="s">
        <v>176</v>
      </c>
      <c r="E13" s="38">
        <f t="shared" si="2"/>
        <v>0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22"/>
    </row>
    <row r="14" spans="2:18" x14ac:dyDescent="0.15">
      <c r="B14" s="26">
        <f t="shared" si="1"/>
        <v>12</v>
      </c>
      <c r="C14" s="22" t="s">
        <v>132</v>
      </c>
      <c r="D14" s="26" t="s">
        <v>176</v>
      </c>
      <c r="E14" s="38">
        <f t="shared" si="2"/>
        <v>0</v>
      </c>
      <c r="F14" s="38">
        <v>0</v>
      </c>
      <c r="G14" s="38">
        <v>0</v>
      </c>
      <c r="H14" s="38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22"/>
    </row>
    <row r="15" spans="2:18" x14ac:dyDescent="0.15">
      <c r="B15" s="26">
        <f t="shared" si="1"/>
        <v>13</v>
      </c>
      <c r="C15" s="22" t="s">
        <v>158</v>
      </c>
      <c r="D15" s="26" t="s">
        <v>205</v>
      </c>
      <c r="E15" s="38">
        <f t="shared" si="2"/>
        <v>0</v>
      </c>
      <c r="F15" s="38">
        <v>0</v>
      </c>
      <c r="G15" s="38">
        <v>0</v>
      </c>
      <c r="H15" s="38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22"/>
    </row>
    <row r="16" spans="2:18" x14ac:dyDescent="0.15">
      <c r="B16" s="26">
        <f t="shared" si="1"/>
        <v>14</v>
      </c>
      <c r="C16" s="22" t="s">
        <v>112</v>
      </c>
      <c r="D16" s="26" t="s">
        <v>176</v>
      </c>
      <c r="E16" s="38">
        <f t="shared" si="2"/>
        <v>0</v>
      </c>
      <c r="F16" s="38">
        <v>0</v>
      </c>
      <c r="G16" s="38">
        <v>0</v>
      </c>
      <c r="H16" s="38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22"/>
    </row>
    <row r="17" spans="2:18" x14ac:dyDescent="0.15">
      <c r="B17" s="26">
        <f t="shared" si="1"/>
        <v>15</v>
      </c>
      <c r="C17" s="22" t="s">
        <v>104</v>
      </c>
      <c r="D17" s="26" t="s">
        <v>176</v>
      </c>
      <c r="E17" s="38">
        <f t="shared" si="2"/>
        <v>0</v>
      </c>
      <c r="F17" s="38">
        <v>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22"/>
    </row>
    <row r="18" spans="2:18" x14ac:dyDescent="0.15">
      <c r="B18" s="26">
        <f t="shared" si="1"/>
        <v>16</v>
      </c>
      <c r="C18" s="22" t="s">
        <v>255</v>
      </c>
      <c r="D18" s="26" t="s">
        <v>178</v>
      </c>
      <c r="E18" s="38">
        <f t="shared" si="2"/>
        <v>0</v>
      </c>
      <c r="F18" s="38">
        <v>0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22"/>
    </row>
    <row r="19" spans="2:18" x14ac:dyDescent="0.15">
      <c r="B19" s="26">
        <f t="shared" si="1"/>
        <v>17</v>
      </c>
      <c r="C19" s="22" t="s">
        <v>157</v>
      </c>
      <c r="D19" s="26" t="s">
        <v>205</v>
      </c>
      <c r="E19" s="38">
        <f t="shared" si="2"/>
        <v>0</v>
      </c>
      <c r="F19" s="38">
        <v>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22"/>
    </row>
    <row r="20" spans="2:18" x14ac:dyDescent="0.15">
      <c r="B20" s="26">
        <f t="shared" si="1"/>
        <v>18</v>
      </c>
      <c r="C20" s="22" t="s">
        <v>33</v>
      </c>
      <c r="D20" s="26" t="s">
        <v>176</v>
      </c>
      <c r="E20" s="38">
        <f t="shared" si="2"/>
        <v>0</v>
      </c>
      <c r="F20" s="38">
        <v>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22"/>
    </row>
    <row r="21" spans="2:18" x14ac:dyDescent="0.15">
      <c r="B21" s="26">
        <f t="shared" si="1"/>
        <v>19</v>
      </c>
      <c r="C21" s="22" t="s">
        <v>108</v>
      </c>
      <c r="D21" s="26" t="s">
        <v>176</v>
      </c>
      <c r="E21" s="38">
        <f t="shared" si="2"/>
        <v>0</v>
      </c>
      <c r="F21" s="38">
        <v>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22"/>
    </row>
    <row r="22" spans="2:18" x14ac:dyDescent="0.15">
      <c r="B22" s="26">
        <f t="shared" si="1"/>
        <v>20</v>
      </c>
      <c r="C22" s="22" t="s">
        <v>114</v>
      </c>
      <c r="D22" s="26" t="s">
        <v>176</v>
      </c>
      <c r="E22" s="38">
        <f t="shared" si="2"/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22"/>
    </row>
    <row r="23" spans="2:18" x14ac:dyDescent="0.15">
      <c r="B23" s="26">
        <f t="shared" si="1"/>
        <v>21</v>
      </c>
      <c r="C23" s="22" t="s">
        <v>32</v>
      </c>
      <c r="D23" s="26" t="s">
        <v>178</v>
      </c>
      <c r="E23" s="38">
        <f t="shared" si="2"/>
        <v>0</v>
      </c>
      <c r="F23" s="38">
        <v>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22"/>
    </row>
    <row r="24" spans="2:18" x14ac:dyDescent="0.15">
      <c r="B24" s="26">
        <f t="shared" si="1"/>
        <v>22</v>
      </c>
      <c r="C24" s="22" t="s">
        <v>288</v>
      </c>
      <c r="D24" s="26" t="s">
        <v>178</v>
      </c>
      <c r="E24" s="38">
        <f t="shared" si="2"/>
        <v>0</v>
      </c>
      <c r="F24" s="38">
        <v>0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22"/>
    </row>
    <row r="25" spans="2:18" x14ac:dyDescent="0.15">
      <c r="B25" s="26">
        <f t="shared" si="1"/>
        <v>23</v>
      </c>
      <c r="C25" s="22" t="s">
        <v>123</v>
      </c>
      <c r="D25" s="26" t="s">
        <v>176</v>
      </c>
      <c r="E25" s="38">
        <f t="shared" si="2"/>
        <v>0</v>
      </c>
      <c r="F25" s="38">
        <v>0</v>
      </c>
      <c r="G25" s="38">
        <v>0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22"/>
    </row>
    <row r="26" spans="2:18" x14ac:dyDescent="0.15">
      <c r="B26" s="26">
        <f t="shared" si="1"/>
        <v>24</v>
      </c>
      <c r="C26" s="22" t="s">
        <v>119</v>
      </c>
      <c r="D26" s="26" t="s">
        <v>176</v>
      </c>
      <c r="E26" s="38">
        <f t="shared" si="2"/>
        <v>0</v>
      </c>
      <c r="F26" s="38">
        <v>0</v>
      </c>
      <c r="G26" s="38">
        <v>0</v>
      </c>
      <c r="H26" s="38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22"/>
    </row>
    <row r="27" spans="2:18" x14ac:dyDescent="0.15">
      <c r="B27" s="26">
        <f t="shared" si="1"/>
        <v>25</v>
      </c>
      <c r="C27" s="22" t="s">
        <v>240</v>
      </c>
      <c r="D27" s="26" t="s">
        <v>176</v>
      </c>
      <c r="E27" s="38">
        <f t="shared" si="2"/>
        <v>0</v>
      </c>
      <c r="F27" s="38">
        <v>0</v>
      </c>
      <c r="G27" s="38">
        <v>0</v>
      </c>
      <c r="H27" s="38">
        <v>0</v>
      </c>
      <c r="I27" s="38">
        <v>0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22"/>
    </row>
    <row r="28" spans="2:18" x14ac:dyDescent="0.15">
      <c r="B28" s="26">
        <f t="shared" si="1"/>
        <v>26</v>
      </c>
      <c r="C28" s="22" t="s">
        <v>148</v>
      </c>
      <c r="D28" s="26" t="s">
        <v>176</v>
      </c>
      <c r="E28" s="38">
        <f t="shared" si="2"/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22"/>
    </row>
    <row r="29" spans="2:18" x14ac:dyDescent="0.15">
      <c r="B29" s="26">
        <f t="shared" si="1"/>
        <v>27</v>
      </c>
      <c r="C29" s="22" t="s">
        <v>278</v>
      </c>
      <c r="D29" s="26" t="s">
        <v>177</v>
      </c>
      <c r="E29" s="38">
        <f t="shared" si="2"/>
        <v>0</v>
      </c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22"/>
    </row>
    <row r="30" spans="2:18" x14ac:dyDescent="0.15">
      <c r="B30" s="26">
        <f t="shared" si="1"/>
        <v>28</v>
      </c>
      <c r="C30" s="22" t="s">
        <v>115</v>
      </c>
      <c r="D30" s="26" t="s">
        <v>176</v>
      </c>
      <c r="E30" s="38">
        <f t="shared" si="2"/>
        <v>0</v>
      </c>
      <c r="F30" s="38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22"/>
    </row>
    <row r="31" spans="2:18" x14ac:dyDescent="0.15">
      <c r="B31" s="26">
        <f t="shared" si="1"/>
        <v>29</v>
      </c>
      <c r="C31" s="22" t="s">
        <v>250</v>
      </c>
      <c r="D31" s="26" t="s">
        <v>176</v>
      </c>
      <c r="E31" s="38">
        <f t="shared" si="2"/>
        <v>0</v>
      </c>
      <c r="F31" s="38">
        <v>0</v>
      </c>
      <c r="G31" s="38">
        <v>0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22"/>
    </row>
    <row r="32" spans="2:18" x14ac:dyDescent="0.15">
      <c r="B32" s="26">
        <f t="shared" si="1"/>
        <v>30</v>
      </c>
      <c r="C32" s="22" t="s">
        <v>291</v>
      </c>
      <c r="D32" s="26" t="s">
        <v>178</v>
      </c>
      <c r="E32" s="38">
        <f t="shared" si="2"/>
        <v>0</v>
      </c>
      <c r="F32" s="38">
        <v>0</v>
      </c>
      <c r="G32" s="38">
        <v>0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22"/>
    </row>
    <row r="33" spans="2:18" x14ac:dyDescent="0.15">
      <c r="B33" s="26">
        <f t="shared" si="1"/>
        <v>31</v>
      </c>
      <c r="C33" s="22" t="s">
        <v>241</v>
      </c>
      <c r="D33" s="26" t="s">
        <v>176</v>
      </c>
      <c r="E33" s="38">
        <f t="shared" si="2"/>
        <v>0</v>
      </c>
      <c r="F33" s="38">
        <v>0</v>
      </c>
      <c r="G33" s="38">
        <v>0</v>
      </c>
      <c r="H33" s="38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22"/>
    </row>
    <row r="34" spans="2:18" x14ac:dyDescent="0.15">
      <c r="B34" s="26">
        <f t="shared" si="1"/>
        <v>32</v>
      </c>
      <c r="C34" s="22" t="s">
        <v>124</v>
      </c>
      <c r="D34" s="26" t="s">
        <v>176</v>
      </c>
      <c r="E34" s="38">
        <f t="shared" si="2"/>
        <v>0</v>
      </c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22"/>
    </row>
    <row r="35" spans="2:18" x14ac:dyDescent="0.15">
      <c r="B35" s="26">
        <f t="shared" ref="B35:B66" si="3">ROW()-2</f>
        <v>33</v>
      </c>
      <c r="C35" s="22" t="s">
        <v>292</v>
      </c>
      <c r="D35" s="26" t="s">
        <v>178</v>
      </c>
      <c r="E35" s="38">
        <f t="shared" ref="E35:E66" si="4">SUM(F35:Q35)</f>
        <v>0</v>
      </c>
      <c r="F35" s="38">
        <v>0</v>
      </c>
      <c r="G35" s="38">
        <v>0</v>
      </c>
      <c r="H35" s="38">
        <v>0</v>
      </c>
      <c r="I35" s="38">
        <v>0</v>
      </c>
      <c r="J35" s="38">
        <v>0</v>
      </c>
      <c r="K35" s="38">
        <v>0</v>
      </c>
      <c r="L35" s="38">
        <v>0</v>
      </c>
      <c r="M35" s="38">
        <v>0</v>
      </c>
      <c r="N35" s="38">
        <v>0</v>
      </c>
      <c r="O35" s="38">
        <v>0</v>
      </c>
      <c r="P35" s="38">
        <v>0</v>
      </c>
      <c r="Q35" s="38">
        <v>0</v>
      </c>
      <c r="R35" s="22"/>
    </row>
    <row r="36" spans="2:18" x14ac:dyDescent="0.15">
      <c r="B36" s="26">
        <f t="shared" si="3"/>
        <v>34</v>
      </c>
      <c r="C36" s="22" t="s">
        <v>284</v>
      </c>
      <c r="D36" s="26" t="s">
        <v>178</v>
      </c>
      <c r="E36" s="38">
        <f t="shared" si="4"/>
        <v>0</v>
      </c>
      <c r="F36" s="38">
        <v>0</v>
      </c>
      <c r="G36" s="38">
        <v>0</v>
      </c>
      <c r="H36" s="38">
        <v>0</v>
      </c>
      <c r="I36" s="38">
        <v>0</v>
      </c>
      <c r="J36" s="38">
        <v>0</v>
      </c>
      <c r="K36" s="38">
        <v>0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22"/>
    </row>
    <row r="37" spans="2:18" x14ac:dyDescent="0.15">
      <c r="B37" s="26">
        <f t="shared" si="3"/>
        <v>35</v>
      </c>
      <c r="C37" s="22" t="s">
        <v>270</v>
      </c>
      <c r="D37" s="26" t="s">
        <v>176</v>
      </c>
      <c r="E37" s="38">
        <f t="shared" si="4"/>
        <v>0</v>
      </c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v>0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22"/>
    </row>
    <row r="38" spans="2:18" x14ac:dyDescent="0.15">
      <c r="B38" s="26">
        <f t="shared" si="3"/>
        <v>36</v>
      </c>
      <c r="C38" s="22" t="s">
        <v>207</v>
      </c>
      <c r="D38" s="26" t="s">
        <v>177</v>
      </c>
      <c r="E38" s="38">
        <f t="shared" si="4"/>
        <v>0</v>
      </c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22"/>
    </row>
    <row r="39" spans="2:18" x14ac:dyDescent="0.15">
      <c r="B39" s="26">
        <f t="shared" si="3"/>
        <v>37</v>
      </c>
      <c r="C39" s="22" t="s">
        <v>126</v>
      </c>
      <c r="D39" s="26" t="s">
        <v>176</v>
      </c>
      <c r="E39" s="38">
        <f t="shared" si="4"/>
        <v>0</v>
      </c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v>0</v>
      </c>
      <c r="L39" s="38">
        <v>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22"/>
    </row>
    <row r="40" spans="2:18" x14ac:dyDescent="0.15">
      <c r="B40" s="26">
        <f t="shared" si="3"/>
        <v>38</v>
      </c>
      <c r="C40" s="22" t="s">
        <v>289</v>
      </c>
      <c r="D40" s="26" t="s">
        <v>178</v>
      </c>
      <c r="E40" s="38">
        <f t="shared" si="4"/>
        <v>0</v>
      </c>
      <c r="F40" s="38">
        <v>0</v>
      </c>
      <c r="G40" s="38">
        <v>0</v>
      </c>
      <c r="H40" s="38">
        <v>0</v>
      </c>
      <c r="I40" s="38">
        <v>0</v>
      </c>
      <c r="J40" s="38">
        <v>0</v>
      </c>
      <c r="K40" s="38">
        <v>0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22"/>
    </row>
    <row r="41" spans="2:18" x14ac:dyDescent="0.15">
      <c r="B41" s="26">
        <f t="shared" si="3"/>
        <v>39</v>
      </c>
      <c r="C41" s="22" t="s">
        <v>138</v>
      </c>
      <c r="D41" s="26" t="s">
        <v>176</v>
      </c>
      <c r="E41" s="38">
        <f t="shared" si="4"/>
        <v>0</v>
      </c>
      <c r="F41" s="38">
        <v>0</v>
      </c>
      <c r="G41" s="38">
        <v>0</v>
      </c>
      <c r="H41" s="38">
        <v>0</v>
      </c>
      <c r="I41" s="38">
        <v>0</v>
      </c>
      <c r="J41" s="38">
        <v>0</v>
      </c>
      <c r="K41" s="38">
        <v>0</v>
      </c>
      <c r="L41" s="38">
        <v>0</v>
      </c>
      <c r="M41" s="38">
        <v>0</v>
      </c>
      <c r="N41" s="38">
        <v>0</v>
      </c>
      <c r="O41" s="38">
        <v>0</v>
      </c>
      <c r="P41" s="38">
        <v>0</v>
      </c>
      <c r="Q41" s="38">
        <v>0</v>
      </c>
      <c r="R41" s="22"/>
    </row>
    <row r="42" spans="2:18" x14ac:dyDescent="0.15">
      <c r="B42" s="26">
        <f t="shared" si="3"/>
        <v>40</v>
      </c>
      <c r="C42" s="22" t="s">
        <v>144</v>
      </c>
      <c r="D42" s="26" t="s">
        <v>176</v>
      </c>
      <c r="E42" s="38">
        <f t="shared" si="4"/>
        <v>0</v>
      </c>
      <c r="F42" s="38">
        <v>0</v>
      </c>
      <c r="G42" s="38">
        <v>0</v>
      </c>
      <c r="H42" s="38">
        <v>0</v>
      </c>
      <c r="I42" s="38">
        <v>0</v>
      </c>
      <c r="J42" s="38">
        <v>0</v>
      </c>
      <c r="K42" s="38">
        <v>0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22"/>
    </row>
    <row r="43" spans="2:18" x14ac:dyDescent="0.15">
      <c r="B43" s="26">
        <f t="shared" si="3"/>
        <v>41</v>
      </c>
      <c r="C43" s="22" t="s">
        <v>106</v>
      </c>
      <c r="D43" s="26" t="s">
        <v>176</v>
      </c>
      <c r="E43" s="38">
        <f t="shared" si="4"/>
        <v>0</v>
      </c>
      <c r="F43" s="38">
        <v>0</v>
      </c>
      <c r="G43" s="38">
        <v>0</v>
      </c>
      <c r="H43" s="38">
        <v>0</v>
      </c>
      <c r="I43" s="38">
        <v>0</v>
      </c>
      <c r="J43" s="38">
        <v>0</v>
      </c>
      <c r="K43" s="38">
        <v>0</v>
      </c>
      <c r="L43" s="38">
        <v>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22"/>
    </row>
    <row r="44" spans="2:18" x14ac:dyDescent="0.15">
      <c r="B44" s="26">
        <f t="shared" si="3"/>
        <v>42</v>
      </c>
      <c r="C44" s="22" t="s">
        <v>110</v>
      </c>
      <c r="D44" s="26" t="s">
        <v>176</v>
      </c>
      <c r="E44" s="38">
        <f t="shared" si="4"/>
        <v>0</v>
      </c>
      <c r="F44" s="38">
        <v>0</v>
      </c>
      <c r="G44" s="38">
        <v>0</v>
      </c>
      <c r="H44" s="38">
        <v>0</v>
      </c>
      <c r="I44" s="38">
        <v>0</v>
      </c>
      <c r="J44" s="38">
        <v>0</v>
      </c>
      <c r="K44" s="38">
        <v>0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22"/>
    </row>
    <row r="45" spans="2:18" x14ac:dyDescent="0.15">
      <c r="B45" s="26">
        <f t="shared" si="3"/>
        <v>43</v>
      </c>
      <c r="C45" s="22" t="s">
        <v>31</v>
      </c>
      <c r="D45" s="26" t="s">
        <v>178</v>
      </c>
      <c r="E45" s="38">
        <f t="shared" si="4"/>
        <v>0</v>
      </c>
      <c r="F45" s="38">
        <v>0</v>
      </c>
      <c r="G45" s="38">
        <v>0</v>
      </c>
      <c r="H45" s="38">
        <v>0</v>
      </c>
      <c r="I45" s="38">
        <v>0</v>
      </c>
      <c r="J45" s="38">
        <v>0</v>
      </c>
      <c r="K45" s="38">
        <v>0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22"/>
    </row>
    <row r="46" spans="2:18" x14ac:dyDescent="0.15">
      <c r="B46" s="26">
        <f t="shared" si="3"/>
        <v>44</v>
      </c>
      <c r="C46" s="22" t="s">
        <v>125</v>
      </c>
      <c r="D46" s="26" t="s">
        <v>176</v>
      </c>
      <c r="E46" s="38">
        <f t="shared" si="4"/>
        <v>0</v>
      </c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22"/>
    </row>
    <row r="47" spans="2:18" x14ac:dyDescent="0.15">
      <c r="B47" s="26">
        <f t="shared" si="3"/>
        <v>45</v>
      </c>
      <c r="C47" s="22" t="s">
        <v>330</v>
      </c>
      <c r="D47" s="26" t="s">
        <v>178</v>
      </c>
      <c r="E47" s="38">
        <f t="shared" si="4"/>
        <v>0</v>
      </c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22"/>
    </row>
    <row r="48" spans="2:18" x14ac:dyDescent="0.15">
      <c r="B48" s="26">
        <f t="shared" si="3"/>
        <v>46</v>
      </c>
      <c r="C48" s="22" t="s">
        <v>275</v>
      </c>
      <c r="D48" s="26" t="s">
        <v>178</v>
      </c>
      <c r="E48" s="38">
        <f t="shared" si="4"/>
        <v>0</v>
      </c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0</v>
      </c>
      <c r="N48" s="38">
        <v>0</v>
      </c>
      <c r="O48" s="38">
        <v>0</v>
      </c>
      <c r="P48" s="38">
        <v>0</v>
      </c>
      <c r="Q48" s="38">
        <v>0</v>
      </c>
      <c r="R48" s="22"/>
    </row>
    <row r="49" spans="2:18" x14ac:dyDescent="0.15">
      <c r="B49" s="26">
        <f t="shared" si="3"/>
        <v>47</v>
      </c>
      <c r="C49" s="22" t="s">
        <v>300</v>
      </c>
      <c r="D49" s="26" t="s">
        <v>178</v>
      </c>
      <c r="E49" s="38">
        <f t="shared" si="4"/>
        <v>0</v>
      </c>
      <c r="F49" s="38">
        <v>0</v>
      </c>
      <c r="G49" s="38">
        <v>0</v>
      </c>
      <c r="H49" s="38">
        <v>0</v>
      </c>
      <c r="I49" s="38">
        <v>0</v>
      </c>
      <c r="J49" s="38">
        <v>0</v>
      </c>
      <c r="K49" s="38">
        <v>0</v>
      </c>
      <c r="L49" s="38">
        <v>0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22"/>
    </row>
    <row r="50" spans="2:18" x14ac:dyDescent="0.15">
      <c r="B50" s="26">
        <f t="shared" si="3"/>
        <v>48</v>
      </c>
      <c r="C50" s="22" t="s">
        <v>297</v>
      </c>
      <c r="D50" s="26" t="s">
        <v>178</v>
      </c>
      <c r="E50" s="38">
        <f t="shared" si="4"/>
        <v>0</v>
      </c>
      <c r="F50" s="38">
        <v>0</v>
      </c>
      <c r="G50" s="38">
        <v>0</v>
      </c>
      <c r="H50" s="38">
        <v>0</v>
      </c>
      <c r="I50" s="38">
        <v>0</v>
      </c>
      <c r="J50" s="38">
        <v>0</v>
      </c>
      <c r="K50" s="38">
        <v>0</v>
      </c>
      <c r="L50" s="38">
        <v>0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22"/>
    </row>
    <row r="51" spans="2:18" x14ac:dyDescent="0.15">
      <c r="B51" s="26">
        <f t="shared" si="3"/>
        <v>49</v>
      </c>
      <c r="C51" s="22" t="s">
        <v>105</v>
      </c>
      <c r="D51" s="26" t="s">
        <v>176</v>
      </c>
      <c r="E51" s="38">
        <f t="shared" si="4"/>
        <v>0</v>
      </c>
      <c r="F51" s="38">
        <v>0</v>
      </c>
      <c r="G51" s="38">
        <v>0</v>
      </c>
      <c r="H51" s="38">
        <v>0</v>
      </c>
      <c r="I51" s="38">
        <v>0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22"/>
    </row>
    <row r="52" spans="2:18" x14ac:dyDescent="0.15">
      <c r="B52" s="26">
        <f t="shared" si="3"/>
        <v>50</v>
      </c>
      <c r="C52" s="22" t="s">
        <v>139</v>
      </c>
      <c r="D52" s="26" t="s">
        <v>176</v>
      </c>
      <c r="E52" s="38">
        <f t="shared" si="4"/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22"/>
    </row>
    <row r="53" spans="2:18" x14ac:dyDescent="0.15">
      <c r="B53" s="26">
        <f t="shared" si="3"/>
        <v>51</v>
      </c>
      <c r="C53" s="22" t="s">
        <v>299</v>
      </c>
      <c r="D53" s="26" t="s">
        <v>178</v>
      </c>
      <c r="E53" s="38">
        <f t="shared" si="4"/>
        <v>0</v>
      </c>
      <c r="F53" s="38">
        <v>0</v>
      </c>
      <c r="G53" s="38">
        <v>0</v>
      </c>
      <c r="H53" s="38">
        <v>0</v>
      </c>
      <c r="I53" s="38">
        <v>0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22"/>
    </row>
    <row r="54" spans="2:18" x14ac:dyDescent="0.15">
      <c r="B54" s="26">
        <f t="shared" si="3"/>
        <v>52</v>
      </c>
      <c r="C54" s="22" t="s">
        <v>134</v>
      </c>
      <c r="D54" s="26" t="s">
        <v>176</v>
      </c>
      <c r="E54" s="38">
        <f t="shared" si="4"/>
        <v>0</v>
      </c>
      <c r="F54" s="38">
        <v>0</v>
      </c>
      <c r="G54" s="38">
        <v>0</v>
      </c>
      <c r="H54" s="38">
        <v>0</v>
      </c>
      <c r="I54" s="38">
        <v>0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22"/>
    </row>
    <row r="55" spans="2:18" x14ac:dyDescent="0.15">
      <c r="B55" s="26">
        <f t="shared" si="3"/>
        <v>53</v>
      </c>
      <c r="C55" s="22" t="s">
        <v>117</v>
      </c>
      <c r="D55" s="26" t="s">
        <v>176</v>
      </c>
      <c r="E55" s="38">
        <f t="shared" si="4"/>
        <v>0</v>
      </c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22"/>
    </row>
    <row r="56" spans="2:18" x14ac:dyDescent="0.15">
      <c r="B56" s="26">
        <f t="shared" si="3"/>
        <v>54</v>
      </c>
      <c r="C56" s="22" t="s">
        <v>154</v>
      </c>
      <c r="D56" s="26" t="s">
        <v>204</v>
      </c>
      <c r="E56" s="38">
        <f t="shared" si="4"/>
        <v>0</v>
      </c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22"/>
    </row>
    <row r="57" spans="2:18" x14ac:dyDescent="0.15">
      <c r="B57" s="26">
        <f t="shared" si="3"/>
        <v>55</v>
      </c>
      <c r="C57" s="22" t="s">
        <v>249</v>
      </c>
      <c r="D57" s="26" t="s">
        <v>176</v>
      </c>
      <c r="E57" s="38">
        <f t="shared" si="4"/>
        <v>0</v>
      </c>
      <c r="F57" s="38">
        <v>0</v>
      </c>
      <c r="G57" s="38">
        <v>0</v>
      </c>
      <c r="H57" s="38">
        <v>0</v>
      </c>
      <c r="I57" s="38">
        <v>0</v>
      </c>
      <c r="J57" s="38">
        <v>0</v>
      </c>
      <c r="K57" s="38">
        <v>0</v>
      </c>
      <c r="L57" s="38">
        <v>0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22"/>
    </row>
    <row r="58" spans="2:18" x14ac:dyDescent="0.15">
      <c r="B58" s="26">
        <f t="shared" si="3"/>
        <v>56</v>
      </c>
      <c r="C58" s="22" t="s">
        <v>329</v>
      </c>
      <c r="D58" s="26" t="s">
        <v>178</v>
      </c>
      <c r="E58" s="38">
        <f t="shared" si="4"/>
        <v>0</v>
      </c>
      <c r="F58" s="38">
        <v>0</v>
      </c>
      <c r="G58" s="38">
        <v>0</v>
      </c>
      <c r="H58" s="38">
        <v>0</v>
      </c>
      <c r="I58" s="38">
        <v>0</v>
      </c>
      <c r="J58" s="38">
        <v>0</v>
      </c>
      <c r="K58" s="38">
        <v>0</v>
      </c>
      <c r="L58" s="38">
        <v>0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22"/>
    </row>
    <row r="59" spans="2:18" x14ac:dyDescent="0.15">
      <c r="B59" s="26">
        <f t="shared" si="3"/>
        <v>57</v>
      </c>
      <c r="C59" s="22" t="s">
        <v>101</v>
      </c>
      <c r="D59" s="26" t="s">
        <v>176</v>
      </c>
      <c r="E59" s="38">
        <f t="shared" si="4"/>
        <v>0</v>
      </c>
      <c r="F59" s="38">
        <v>0</v>
      </c>
      <c r="G59" s="38">
        <v>0</v>
      </c>
      <c r="H59" s="38">
        <v>0</v>
      </c>
      <c r="I59" s="38">
        <v>0</v>
      </c>
      <c r="J59" s="38">
        <v>0</v>
      </c>
      <c r="K59" s="38">
        <v>0</v>
      </c>
      <c r="L59" s="38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22"/>
    </row>
    <row r="60" spans="2:18" x14ac:dyDescent="0.15">
      <c r="B60" s="26">
        <f t="shared" si="3"/>
        <v>58</v>
      </c>
      <c r="C60" s="22" t="s">
        <v>427</v>
      </c>
      <c r="D60" s="26" t="s">
        <v>176</v>
      </c>
      <c r="E60" s="38">
        <f t="shared" si="4"/>
        <v>0</v>
      </c>
      <c r="F60" s="38">
        <v>0</v>
      </c>
      <c r="G60" s="38">
        <v>0</v>
      </c>
      <c r="H60" s="38">
        <v>0</v>
      </c>
      <c r="I60" s="38">
        <v>0</v>
      </c>
      <c r="J60" s="38">
        <v>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22"/>
    </row>
    <row r="61" spans="2:18" x14ac:dyDescent="0.15">
      <c r="B61" s="26">
        <f t="shared" si="3"/>
        <v>59</v>
      </c>
      <c r="C61" s="22" t="s">
        <v>279</v>
      </c>
      <c r="D61" s="26" t="s">
        <v>178</v>
      </c>
      <c r="E61" s="38">
        <f t="shared" si="4"/>
        <v>0</v>
      </c>
      <c r="F61" s="38">
        <v>0</v>
      </c>
      <c r="G61" s="38">
        <v>0</v>
      </c>
      <c r="H61" s="38">
        <v>0</v>
      </c>
      <c r="I61" s="38">
        <v>0</v>
      </c>
      <c r="J61" s="38">
        <v>0</v>
      </c>
      <c r="K61" s="38">
        <v>0</v>
      </c>
      <c r="L61" s="38">
        <v>0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22"/>
    </row>
    <row r="62" spans="2:18" x14ac:dyDescent="0.15">
      <c r="B62" s="26">
        <f t="shared" si="3"/>
        <v>60</v>
      </c>
      <c r="C62" s="22" t="s">
        <v>290</v>
      </c>
      <c r="D62" s="26" t="s">
        <v>178</v>
      </c>
      <c r="E62" s="38">
        <f t="shared" si="4"/>
        <v>0</v>
      </c>
      <c r="F62" s="38">
        <v>0</v>
      </c>
      <c r="G62" s="38">
        <v>0</v>
      </c>
      <c r="H62" s="38">
        <v>0</v>
      </c>
      <c r="I62" s="38">
        <v>0</v>
      </c>
      <c r="J62" s="38">
        <v>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22"/>
    </row>
    <row r="63" spans="2:18" x14ac:dyDescent="0.15">
      <c r="B63" s="26">
        <f t="shared" si="3"/>
        <v>61</v>
      </c>
      <c r="C63" s="22" t="s">
        <v>283</v>
      </c>
      <c r="D63" s="26" t="s">
        <v>176</v>
      </c>
      <c r="E63" s="38">
        <f t="shared" si="4"/>
        <v>0</v>
      </c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22"/>
    </row>
    <row r="64" spans="2:18" x14ac:dyDescent="0.15">
      <c r="B64" s="26">
        <f t="shared" si="3"/>
        <v>62</v>
      </c>
      <c r="C64" s="22" t="s">
        <v>109</v>
      </c>
      <c r="D64" s="26" t="s">
        <v>176</v>
      </c>
      <c r="E64" s="38">
        <f t="shared" si="4"/>
        <v>0</v>
      </c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22"/>
    </row>
    <row r="65" spans="2:18" x14ac:dyDescent="0.15">
      <c r="B65" s="26">
        <f t="shared" si="3"/>
        <v>63</v>
      </c>
      <c r="C65" s="22" t="s">
        <v>135</v>
      </c>
      <c r="D65" s="26" t="s">
        <v>176</v>
      </c>
      <c r="E65" s="38">
        <f t="shared" si="4"/>
        <v>0</v>
      </c>
      <c r="F65" s="38">
        <v>0</v>
      </c>
      <c r="G65" s="38">
        <v>0</v>
      </c>
      <c r="H65" s="38">
        <v>0</v>
      </c>
      <c r="I65" s="38">
        <v>0</v>
      </c>
      <c r="J65" s="38">
        <v>0</v>
      </c>
      <c r="K65" s="38">
        <v>0</v>
      </c>
      <c r="L65" s="38">
        <v>0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22"/>
    </row>
    <row r="66" spans="2:18" x14ac:dyDescent="0.15">
      <c r="B66" s="26">
        <f t="shared" si="3"/>
        <v>64</v>
      </c>
      <c r="C66" s="22" t="s">
        <v>191</v>
      </c>
      <c r="D66" s="26" t="s">
        <v>178</v>
      </c>
      <c r="E66" s="38">
        <f t="shared" si="4"/>
        <v>0</v>
      </c>
      <c r="F66" s="38">
        <v>0</v>
      </c>
      <c r="G66" s="38">
        <v>0</v>
      </c>
      <c r="H66" s="38">
        <v>0</v>
      </c>
      <c r="I66" s="38">
        <v>0</v>
      </c>
      <c r="J66" s="38">
        <v>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22"/>
    </row>
    <row r="67" spans="2:18" ht="16.5" x14ac:dyDescent="0.15">
      <c r="B67" s="26">
        <f t="shared" ref="B67:B98" si="5">ROW()-2</f>
        <v>65</v>
      </c>
      <c r="C67" s="33" t="s">
        <v>185</v>
      </c>
      <c r="D67" s="26" t="s">
        <v>176</v>
      </c>
      <c r="E67" s="38">
        <f t="shared" ref="E67:E98" si="6">SUM(F67:Q67)</f>
        <v>0</v>
      </c>
      <c r="F67" s="38">
        <v>0</v>
      </c>
      <c r="G67" s="38">
        <v>0</v>
      </c>
      <c r="H67" s="38">
        <v>0</v>
      </c>
      <c r="I67" s="38">
        <v>0</v>
      </c>
      <c r="J67" s="38">
        <v>0</v>
      </c>
      <c r="K67" s="38">
        <v>0</v>
      </c>
      <c r="L67" s="38">
        <v>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22"/>
    </row>
    <row r="68" spans="2:18" x14ac:dyDescent="0.15">
      <c r="B68" s="26">
        <f t="shared" si="5"/>
        <v>66</v>
      </c>
      <c r="C68" s="22" t="s">
        <v>314</v>
      </c>
      <c r="D68" s="26" t="s">
        <v>178</v>
      </c>
      <c r="E68" s="38">
        <f t="shared" si="6"/>
        <v>0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22"/>
    </row>
    <row r="69" spans="2:18" x14ac:dyDescent="0.15">
      <c r="B69" s="26">
        <f t="shared" si="5"/>
        <v>67</v>
      </c>
      <c r="C69" s="22" t="s">
        <v>25</v>
      </c>
      <c r="D69" s="26" t="s">
        <v>176</v>
      </c>
      <c r="E69" s="38">
        <f t="shared" si="6"/>
        <v>0</v>
      </c>
      <c r="F69" s="38">
        <v>0</v>
      </c>
      <c r="G69" s="38">
        <v>0</v>
      </c>
      <c r="H69" s="38">
        <v>0</v>
      </c>
      <c r="I69" s="38">
        <v>0</v>
      </c>
      <c r="J69" s="38">
        <v>0</v>
      </c>
      <c r="K69" s="38">
        <v>0</v>
      </c>
      <c r="L69" s="38">
        <v>0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22"/>
    </row>
    <row r="70" spans="2:18" x14ac:dyDescent="0.15">
      <c r="B70" s="26">
        <f t="shared" si="5"/>
        <v>68</v>
      </c>
      <c r="C70" s="22" t="s">
        <v>349</v>
      </c>
      <c r="D70" s="26" t="s">
        <v>178</v>
      </c>
      <c r="E70" s="38">
        <f t="shared" si="6"/>
        <v>0</v>
      </c>
      <c r="F70" s="38">
        <v>0</v>
      </c>
      <c r="G70" s="38">
        <v>0</v>
      </c>
      <c r="H70" s="38">
        <v>0</v>
      </c>
      <c r="I70" s="38">
        <v>0</v>
      </c>
      <c r="J70" s="38">
        <v>0</v>
      </c>
      <c r="K70" s="38">
        <v>0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22"/>
    </row>
    <row r="71" spans="2:18" x14ac:dyDescent="0.15">
      <c r="B71" s="26">
        <f t="shared" si="5"/>
        <v>69</v>
      </c>
      <c r="C71" s="22" t="s">
        <v>200</v>
      </c>
      <c r="D71" s="26" t="s">
        <v>204</v>
      </c>
      <c r="E71" s="38">
        <f t="shared" si="6"/>
        <v>0</v>
      </c>
      <c r="F71" s="38">
        <v>0</v>
      </c>
      <c r="G71" s="38">
        <v>0</v>
      </c>
      <c r="H71" s="38">
        <v>0</v>
      </c>
      <c r="I71" s="38">
        <v>0</v>
      </c>
      <c r="J71" s="38">
        <v>0</v>
      </c>
      <c r="K71" s="38">
        <v>0</v>
      </c>
      <c r="L71" s="38">
        <v>0</v>
      </c>
      <c r="M71" s="38">
        <v>0</v>
      </c>
      <c r="N71" s="38">
        <v>0</v>
      </c>
      <c r="O71" s="38">
        <v>0</v>
      </c>
      <c r="P71" s="38">
        <v>0</v>
      </c>
      <c r="Q71" s="38">
        <v>0</v>
      </c>
      <c r="R71" s="22"/>
    </row>
    <row r="72" spans="2:18" x14ac:dyDescent="0.15">
      <c r="B72" s="26">
        <f t="shared" si="5"/>
        <v>70</v>
      </c>
      <c r="C72" s="22" t="s">
        <v>260</v>
      </c>
      <c r="D72" s="26" t="s">
        <v>176</v>
      </c>
      <c r="E72" s="38">
        <f t="shared" si="6"/>
        <v>0</v>
      </c>
      <c r="F72" s="38">
        <v>0</v>
      </c>
      <c r="G72" s="38">
        <v>0</v>
      </c>
      <c r="H72" s="38">
        <v>0</v>
      </c>
      <c r="I72" s="38">
        <v>0</v>
      </c>
      <c r="J72" s="38">
        <v>0</v>
      </c>
      <c r="K72" s="38">
        <v>0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22"/>
    </row>
    <row r="73" spans="2:18" x14ac:dyDescent="0.15">
      <c r="B73" s="26">
        <f t="shared" si="5"/>
        <v>71</v>
      </c>
      <c r="C73" s="22" t="s">
        <v>323</v>
      </c>
      <c r="D73" s="26" t="s">
        <v>178</v>
      </c>
      <c r="E73" s="38">
        <f t="shared" si="6"/>
        <v>0</v>
      </c>
      <c r="F73" s="38">
        <v>0</v>
      </c>
      <c r="G73" s="38">
        <v>0</v>
      </c>
      <c r="H73" s="38">
        <v>0</v>
      </c>
      <c r="I73" s="38">
        <v>0</v>
      </c>
      <c r="J73" s="38">
        <v>0</v>
      </c>
      <c r="K73" s="38">
        <v>0</v>
      </c>
      <c r="L73" s="38">
        <v>0</v>
      </c>
      <c r="M73" s="38">
        <v>0</v>
      </c>
      <c r="N73" s="38">
        <v>0</v>
      </c>
      <c r="O73" s="38">
        <v>0</v>
      </c>
      <c r="P73" s="38">
        <v>0</v>
      </c>
      <c r="Q73" s="38">
        <v>0</v>
      </c>
      <c r="R73" s="22"/>
    </row>
    <row r="74" spans="2:18" x14ac:dyDescent="0.15">
      <c r="B74" s="26">
        <f t="shared" si="5"/>
        <v>72</v>
      </c>
      <c r="C74" s="22" t="s">
        <v>143</v>
      </c>
      <c r="D74" s="26" t="s">
        <v>176</v>
      </c>
      <c r="E74" s="38">
        <f t="shared" si="6"/>
        <v>0</v>
      </c>
      <c r="F74" s="38">
        <v>0</v>
      </c>
      <c r="G74" s="38">
        <v>0</v>
      </c>
      <c r="H74" s="38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v>0</v>
      </c>
      <c r="O74" s="38">
        <v>0</v>
      </c>
      <c r="P74" s="38">
        <v>0</v>
      </c>
      <c r="Q74" s="38">
        <v>0</v>
      </c>
      <c r="R74" s="22"/>
    </row>
    <row r="75" spans="2:18" x14ac:dyDescent="0.15">
      <c r="B75" s="26">
        <f t="shared" si="5"/>
        <v>73</v>
      </c>
      <c r="C75" s="22" t="s">
        <v>257</v>
      </c>
      <c r="D75" s="26" t="s">
        <v>176</v>
      </c>
      <c r="E75" s="38">
        <f t="shared" si="6"/>
        <v>0</v>
      </c>
      <c r="F75" s="38">
        <v>0</v>
      </c>
      <c r="G75" s="38">
        <v>0</v>
      </c>
      <c r="H75" s="38">
        <v>0</v>
      </c>
      <c r="I75" s="38">
        <v>0</v>
      </c>
      <c r="J75" s="38">
        <v>0</v>
      </c>
      <c r="K75" s="38">
        <v>0</v>
      </c>
      <c r="L75" s="38">
        <v>0</v>
      </c>
      <c r="M75" s="38">
        <v>0</v>
      </c>
      <c r="N75" s="38">
        <v>0</v>
      </c>
      <c r="O75" s="38">
        <v>0</v>
      </c>
      <c r="P75" s="38">
        <v>0</v>
      </c>
      <c r="Q75" s="38">
        <v>0</v>
      </c>
      <c r="R75" s="22"/>
    </row>
    <row r="76" spans="2:18" x14ac:dyDescent="0.15">
      <c r="B76" s="26">
        <f t="shared" si="5"/>
        <v>74</v>
      </c>
      <c r="C76" s="22" t="s">
        <v>355</v>
      </c>
      <c r="D76" s="26" t="s">
        <v>178</v>
      </c>
      <c r="E76" s="38">
        <f t="shared" si="6"/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22"/>
    </row>
    <row r="77" spans="2:18" x14ac:dyDescent="0.15">
      <c r="B77" s="26">
        <f t="shared" si="5"/>
        <v>75</v>
      </c>
      <c r="C77" s="22" t="s">
        <v>343</v>
      </c>
      <c r="D77" s="26" t="s">
        <v>178</v>
      </c>
      <c r="E77" s="38">
        <f t="shared" si="6"/>
        <v>0</v>
      </c>
      <c r="F77" s="38">
        <v>0</v>
      </c>
      <c r="G77" s="38">
        <v>0</v>
      </c>
      <c r="H77" s="38">
        <v>0</v>
      </c>
      <c r="I77" s="38">
        <v>0</v>
      </c>
      <c r="J77" s="38">
        <v>0</v>
      </c>
      <c r="K77" s="38">
        <v>0</v>
      </c>
      <c r="L77" s="38">
        <v>0</v>
      </c>
      <c r="M77" s="38">
        <v>0</v>
      </c>
      <c r="N77" s="38">
        <v>0</v>
      </c>
      <c r="O77" s="38">
        <v>0</v>
      </c>
      <c r="P77" s="38">
        <v>0</v>
      </c>
      <c r="Q77" s="38">
        <v>0</v>
      </c>
      <c r="R77" s="22"/>
    </row>
    <row r="78" spans="2:18" x14ac:dyDescent="0.15">
      <c r="B78" s="26">
        <f t="shared" si="5"/>
        <v>76</v>
      </c>
      <c r="C78" s="22" t="s">
        <v>347</v>
      </c>
      <c r="D78" s="26" t="s">
        <v>178</v>
      </c>
      <c r="E78" s="38">
        <f t="shared" si="6"/>
        <v>0</v>
      </c>
      <c r="F78" s="38">
        <v>0</v>
      </c>
      <c r="G78" s="38">
        <v>0</v>
      </c>
      <c r="H78" s="38">
        <v>0</v>
      </c>
      <c r="I78" s="38">
        <v>0</v>
      </c>
      <c r="J78" s="38">
        <v>0</v>
      </c>
      <c r="K78" s="38">
        <v>0</v>
      </c>
      <c r="L78" s="38">
        <v>0</v>
      </c>
      <c r="M78" s="38">
        <v>0</v>
      </c>
      <c r="N78" s="38">
        <v>0</v>
      </c>
      <c r="O78" s="38">
        <v>0</v>
      </c>
      <c r="P78" s="38">
        <v>0</v>
      </c>
      <c r="Q78" s="38">
        <v>0</v>
      </c>
      <c r="R78" s="22"/>
    </row>
    <row r="79" spans="2:18" x14ac:dyDescent="0.15">
      <c r="B79" s="26">
        <f t="shared" si="5"/>
        <v>77</v>
      </c>
      <c r="C79" s="22" t="s">
        <v>310</v>
      </c>
      <c r="D79" s="26" t="s">
        <v>176</v>
      </c>
      <c r="E79" s="38">
        <f t="shared" si="6"/>
        <v>0</v>
      </c>
      <c r="F79" s="38">
        <v>0</v>
      </c>
      <c r="G79" s="38">
        <v>0</v>
      </c>
      <c r="H79" s="38">
        <v>0</v>
      </c>
      <c r="I79" s="38">
        <v>0</v>
      </c>
      <c r="J79" s="38">
        <v>0</v>
      </c>
      <c r="K79" s="38">
        <v>0</v>
      </c>
      <c r="L79" s="38">
        <v>0</v>
      </c>
      <c r="M79" s="38">
        <v>0</v>
      </c>
      <c r="N79" s="38">
        <v>0</v>
      </c>
      <c r="O79" s="38">
        <v>0</v>
      </c>
      <c r="P79" s="38">
        <v>0</v>
      </c>
      <c r="Q79" s="38">
        <v>0</v>
      </c>
      <c r="R79" s="22"/>
    </row>
    <row r="80" spans="2:18" x14ac:dyDescent="0.15">
      <c r="B80" s="26">
        <f t="shared" si="5"/>
        <v>78</v>
      </c>
      <c r="C80" s="22" t="s">
        <v>254</v>
      </c>
      <c r="D80" s="26" t="s">
        <v>178</v>
      </c>
      <c r="E80" s="38">
        <f t="shared" si="6"/>
        <v>0</v>
      </c>
      <c r="F80" s="38">
        <v>0</v>
      </c>
      <c r="G80" s="38">
        <v>0</v>
      </c>
      <c r="H80" s="38">
        <v>0</v>
      </c>
      <c r="I80" s="38">
        <v>0</v>
      </c>
      <c r="J80" s="38">
        <v>0</v>
      </c>
      <c r="K80" s="38">
        <v>0</v>
      </c>
      <c r="L80" s="38">
        <v>0</v>
      </c>
      <c r="M80" s="38">
        <v>0</v>
      </c>
      <c r="N80" s="38">
        <v>0</v>
      </c>
      <c r="O80" s="38">
        <v>0</v>
      </c>
      <c r="P80" s="38">
        <v>0</v>
      </c>
      <c r="Q80" s="38">
        <v>0</v>
      </c>
      <c r="R80" s="22"/>
    </row>
    <row r="81" spans="2:18" x14ac:dyDescent="0.15">
      <c r="B81" s="26">
        <f t="shared" si="5"/>
        <v>79</v>
      </c>
      <c r="C81" s="22" t="s">
        <v>344</v>
      </c>
      <c r="D81" s="26" t="s">
        <v>178</v>
      </c>
      <c r="E81" s="38">
        <f t="shared" si="6"/>
        <v>0</v>
      </c>
      <c r="F81" s="38">
        <v>0</v>
      </c>
      <c r="G81" s="38">
        <v>0</v>
      </c>
      <c r="H81" s="38">
        <v>0</v>
      </c>
      <c r="I81" s="38">
        <v>0</v>
      </c>
      <c r="J81" s="38">
        <v>0</v>
      </c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22"/>
    </row>
    <row r="82" spans="2:18" x14ac:dyDescent="0.15">
      <c r="B82" s="26">
        <f t="shared" si="5"/>
        <v>80</v>
      </c>
      <c r="C82" s="22" t="s">
        <v>120</v>
      </c>
      <c r="D82" s="26" t="s">
        <v>176</v>
      </c>
      <c r="E82" s="38">
        <f t="shared" si="6"/>
        <v>0</v>
      </c>
      <c r="F82" s="38">
        <v>0</v>
      </c>
      <c r="G82" s="38">
        <v>0</v>
      </c>
      <c r="H82" s="38">
        <v>0</v>
      </c>
      <c r="I82" s="38">
        <v>0</v>
      </c>
      <c r="J82" s="38">
        <v>0</v>
      </c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22"/>
    </row>
    <row r="83" spans="2:18" x14ac:dyDescent="0.15">
      <c r="B83" s="26">
        <f t="shared" si="5"/>
        <v>81</v>
      </c>
      <c r="C83" s="22" t="s">
        <v>346</v>
      </c>
      <c r="D83" s="26" t="s">
        <v>178</v>
      </c>
      <c r="E83" s="38">
        <f t="shared" si="6"/>
        <v>0</v>
      </c>
      <c r="F83" s="38">
        <v>0</v>
      </c>
      <c r="G83" s="38">
        <v>0</v>
      </c>
      <c r="H83" s="38">
        <v>0</v>
      </c>
      <c r="I83" s="38">
        <v>0</v>
      </c>
      <c r="J83" s="38">
        <v>0</v>
      </c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22"/>
    </row>
    <row r="84" spans="2:18" x14ac:dyDescent="0.15">
      <c r="B84" s="26">
        <f t="shared" si="5"/>
        <v>82</v>
      </c>
      <c r="C84" s="22" t="s">
        <v>156</v>
      </c>
      <c r="D84" s="26" t="s">
        <v>204</v>
      </c>
      <c r="E84" s="38">
        <f t="shared" si="6"/>
        <v>0</v>
      </c>
      <c r="F84" s="38">
        <v>0</v>
      </c>
      <c r="G84" s="38">
        <v>0</v>
      </c>
      <c r="H84" s="38">
        <v>0</v>
      </c>
      <c r="I84" s="38">
        <v>0</v>
      </c>
      <c r="J84" s="38">
        <v>0</v>
      </c>
      <c r="K84" s="38">
        <v>0</v>
      </c>
      <c r="L84" s="38">
        <v>0</v>
      </c>
      <c r="M84" s="38">
        <v>0</v>
      </c>
      <c r="N84" s="38">
        <v>0</v>
      </c>
      <c r="O84" s="38">
        <v>0</v>
      </c>
      <c r="P84" s="38">
        <v>0</v>
      </c>
      <c r="Q84" s="38">
        <v>0</v>
      </c>
      <c r="R84" s="22"/>
    </row>
    <row r="85" spans="2:18" x14ac:dyDescent="0.15">
      <c r="B85" s="26">
        <f t="shared" si="5"/>
        <v>83</v>
      </c>
      <c r="C85" s="22" t="s">
        <v>129</v>
      </c>
      <c r="D85" s="26" t="s">
        <v>176</v>
      </c>
      <c r="E85" s="38">
        <f t="shared" si="6"/>
        <v>0</v>
      </c>
      <c r="F85" s="38">
        <v>0</v>
      </c>
      <c r="G85" s="38">
        <v>0</v>
      </c>
      <c r="H85" s="38">
        <v>0</v>
      </c>
      <c r="I85" s="38">
        <v>0</v>
      </c>
      <c r="J85" s="38">
        <v>0</v>
      </c>
      <c r="K85" s="38">
        <v>0</v>
      </c>
      <c r="L85" s="38">
        <v>0</v>
      </c>
      <c r="M85" s="38">
        <v>0</v>
      </c>
      <c r="N85" s="38">
        <v>0</v>
      </c>
      <c r="O85" s="38">
        <v>0</v>
      </c>
      <c r="P85" s="38">
        <v>0</v>
      </c>
      <c r="Q85" s="38">
        <v>0</v>
      </c>
      <c r="R85" s="22"/>
    </row>
    <row r="86" spans="2:18" x14ac:dyDescent="0.15">
      <c r="B86" s="26">
        <f t="shared" si="5"/>
        <v>84</v>
      </c>
      <c r="C86" s="22" t="s">
        <v>335</v>
      </c>
      <c r="D86" s="26" t="s">
        <v>178</v>
      </c>
      <c r="E86" s="38">
        <f t="shared" si="6"/>
        <v>0</v>
      </c>
      <c r="F86" s="38">
        <v>0</v>
      </c>
      <c r="G86" s="38">
        <v>0</v>
      </c>
      <c r="H86" s="38">
        <v>0</v>
      </c>
      <c r="I86" s="38">
        <v>0</v>
      </c>
      <c r="J86" s="38">
        <v>0</v>
      </c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22"/>
    </row>
    <row r="87" spans="2:18" x14ac:dyDescent="0.15">
      <c r="B87" s="26">
        <f t="shared" si="5"/>
        <v>85</v>
      </c>
      <c r="C87" s="22" t="s">
        <v>187</v>
      </c>
      <c r="D87" s="26" t="s">
        <v>177</v>
      </c>
      <c r="E87" s="38">
        <f t="shared" si="6"/>
        <v>0</v>
      </c>
      <c r="F87" s="38">
        <v>0</v>
      </c>
      <c r="G87" s="38">
        <v>0</v>
      </c>
      <c r="H87" s="38">
        <v>0</v>
      </c>
      <c r="I87" s="38">
        <v>0</v>
      </c>
      <c r="J87" s="38">
        <v>0</v>
      </c>
      <c r="K87" s="38">
        <v>0</v>
      </c>
      <c r="L87" s="38">
        <v>0</v>
      </c>
      <c r="M87" s="38">
        <v>0</v>
      </c>
      <c r="N87" s="38">
        <v>0</v>
      </c>
      <c r="O87" s="38">
        <v>0</v>
      </c>
      <c r="P87" s="38">
        <v>0</v>
      </c>
      <c r="Q87" s="38">
        <v>0</v>
      </c>
      <c r="R87" s="22"/>
    </row>
    <row r="88" spans="2:18" x14ac:dyDescent="0.15">
      <c r="B88" s="26">
        <f t="shared" si="5"/>
        <v>86</v>
      </c>
      <c r="C88" s="22" t="s">
        <v>294</v>
      </c>
      <c r="D88" s="26" t="s">
        <v>177</v>
      </c>
      <c r="E88" s="38">
        <f t="shared" si="6"/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22"/>
    </row>
    <row r="89" spans="2:18" x14ac:dyDescent="0.15">
      <c r="B89" s="26">
        <f t="shared" si="5"/>
        <v>87</v>
      </c>
      <c r="C89" s="22" t="s">
        <v>121</v>
      </c>
      <c r="D89" s="26" t="s">
        <v>176</v>
      </c>
      <c r="E89" s="38">
        <f t="shared" si="6"/>
        <v>0</v>
      </c>
      <c r="F89" s="38">
        <v>0</v>
      </c>
      <c r="G89" s="38">
        <v>0</v>
      </c>
      <c r="H89" s="38">
        <v>0</v>
      </c>
      <c r="I89" s="38">
        <v>0</v>
      </c>
      <c r="J89" s="38">
        <v>0</v>
      </c>
      <c r="K89" s="38">
        <v>0</v>
      </c>
      <c r="L89" s="38">
        <v>0</v>
      </c>
      <c r="M89" s="38">
        <v>0</v>
      </c>
      <c r="N89" s="38">
        <v>0</v>
      </c>
      <c r="O89" s="38">
        <v>0</v>
      </c>
      <c r="P89" s="38">
        <v>0</v>
      </c>
      <c r="Q89" s="38">
        <v>0</v>
      </c>
      <c r="R89" s="22"/>
    </row>
    <row r="90" spans="2:18" x14ac:dyDescent="0.15">
      <c r="B90" s="26">
        <f t="shared" si="5"/>
        <v>88</v>
      </c>
      <c r="C90" s="22" t="s">
        <v>296</v>
      </c>
      <c r="D90" s="26" t="s">
        <v>178</v>
      </c>
      <c r="E90" s="38">
        <f t="shared" si="6"/>
        <v>0</v>
      </c>
      <c r="F90" s="38">
        <v>0</v>
      </c>
      <c r="G90" s="38">
        <v>0</v>
      </c>
      <c r="H90" s="38">
        <v>0</v>
      </c>
      <c r="I90" s="38">
        <v>0</v>
      </c>
      <c r="J90" s="38">
        <v>0</v>
      </c>
      <c r="K90" s="38">
        <v>0</v>
      </c>
      <c r="L90" s="38">
        <v>0</v>
      </c>
      <c r="M90" s="38">
        <v>0</v>
      </c>
      <c r="N90" s="38">
        <v>0</v>
      </c>
      <c r="O90" s="38">
        <v>0</v>
      </c>
      <c r="P90" s="38">
        <v>0</v>
      </c>
      <c r="Q90" s="38">
        <v>0</v>
      </c>
      <c r="R90" s="22"/>
    </row>
    <row r="91" spans="2:18" x14ac:dyDescent="0.15">
      <c r="B91" s="26">
        <f t="shared" si="5"/>
        <v>89</v>
      </c>
      <c r="C91" s="22" t="s">
        <v>258</v>
      </c>
      <c r="D91" s="26" t="s">
        <v>176</v>
      </c>
      <c r="E91" s="38">
        <f t="shared" si="6"/>
        <v>0</v>
      </c>
      <c r="F91" s="38">
        <v>0</v>
      </c>
      <c r="G91" s="38">
        <v>0</v>
      </c>
      <c r="H91" s="38">
        <v>0</v>
      </c>
      <c r="I91" s="38">
        <v>0</v>
      </c>
      <c r="J91" s="38">
        <v>0</v>
      </c>
      <c r="K91" s="38">
        <v>0</v>
      </c>
      <c r="L91" s="38">
        <v>0</v>
      </c>
      <c r="M91" s="38">
        <v>0</v>
      </c>
      <c r="N91" s="38">
        <v>0</v>
      </c>
      <c r="O91" s="38">
        <v>0</v>
      </c>
      <c r="P91" s="38">
        <v>0</v>
      </c>
      <c r="Q91" s="38">
        <v>0</v>
      </c>
      <c r="R91" s="22"/>
    </row>
    <row r="92" spans="2:18" x14ac:dyDescent="0.15">
      <c r="B92" s="26">
        <f t="shared" si="5"/>
        <v>90</v>
      </c>
      <c r="C92" s="22" t="s">
        <v>280</v>
      </c>
      <c r="D92" s="26" t="s">
        <v>178</v>
      </c>
      <c r="E92" s="38">
        <f t="shared" si="6"/>
        <v>0</v>
      </c>
      <c r="F92" s="38">
        <v>0</v>
      </c>
      <c r="G92" s="38">
        <v>0</v>
      </c>
      <c r="H92" s="38">
        <v>0</v>
      </c>
      <c r="I92" s="38">
        <v>0</v>
      </c>
      <c r="J92" s="38">
        <v>0</v>
      </c>
      <c r="K92" s="38">
        <v>0</v>
      </c>
      <c r="L92" s="38">
        <v>0</v>
      </c>
      <c r="M92" s="38">
        <v>0</v>
      </c>
      <c r="N92" s="38">
        <v>0</v>
      </c>
      <c r="O92" s="38">
        <v>0</v>
      </c>
      <c r="P92" s="38">
        <v>0</v>
      </c>
      <c r="Q92" s="38">
        <v>0</v>
      </c>
      <c r="R92" s="22"/>
    </row>
    <row r="93" spans="2:18" x14ac:dyDescent="0.15">
      <c r="B93" s="26">
        <f t="shared" si="5"/>
        <v>91</v>
      </c>
      <c r="C93" s="22" t="s">
        <v>342</v>
      </c>
      <c r="D93" s="26" t="s">
        <v>178</v>
      </c>
      <c r="E93" s="38">
        <f t="shared" si="6"/>
        <v>0</v>
      </c>
      <c r="F93" s="38">
        <v>0</v>
      </c>
      <c r="G93" s="38">
        <v>0</v>
      </c>
      <c r="H93" s="38">
        <v>0</v>
      </c>
      <c r="I93" s="38">
        <v>0</v>
      </c>
      <c r="J93" s="38">
        <v>0</v>
      </c>
      <c r="K93" s="38">
        <v>0</v>
      </c>
      <c r="L93" s="38">
        <v>0</v>
      </c>
      <c r="M93" s="38">
        <v>0</v>
      </c>
      <c r="N93" s="38">
        <v>0</v>
      </c>
      <c r="O93" s="38">
        <v>0</v>
      </c>
      <c r="P93" s="38">
        <v>0</v>
      </c>
      <c r="Q93" s="38">
        <v>0</v>
      </c>
      <c r="R93" s="22"/>
    </row>
    <row r="94" spans="2:18" x14ac:dyDescent="0.15">
      <c r="B94" s="26">
        <f t="shared" si="5"/>
        <v>92</v>
      </c>
      <c r="C94" s="22" t="s">
        <v>147</v>
      </c>
      <c r="D94" s="26" t="s">
        <v>176</v>
      </c>
      <c r="E94" s="38">
        <f t="shared" si="6"/>
        <v>0</v>
      </c>
      <c r="F94" s="38">
        <v>0</v>
      </c>
      <c r="G94" s="38">
        <v>0</v>
      </c>
      <c r="H94" s="38">
        <v>0</v>
      </c>
      <c r="I94" s="38">
        <v>0</v>
      </c>
      <c r="J94" s="38">
        <v>0</v>
      </c>
      <c r="K94" s="38">
        <v>0</v>
      </c>
      <c r="L94" s="38">
        <v>0</v>
      </c>
      <c r="M94" s="38">
        <v>0</v>
      </c>
      <c r="N94" s="38">
        <v>0</v>
      </c>
      <c r="O94" s="38">
        <v>0</v>
      </c>
      <c r="P94" s="38">
        <v>0</v>
      </c>
      <c r="Q94" s="38">
        <v>0</v>
      </c>
      <c r="R94" s="22"/>
    </row>
    <row r="95" spans="2:18" x14ac:dyDescent="0.15">
      <c r="B95" s="26">
        <f t="shared" si="5"/>
        <v>93</v>
      </c>
      <c r="C95" s="22" t="s">
        <v>97</v>
      </c>
      <c r="D95" s="26" t="s">
        <v>176</v>
      </c>
      <c r="E95" s="38">
        <f t="shared" si="6"/>
        <v>0</v>
      </c>
      <c r="F95" s="38">
        <v>0</v>
      </c>
      <c r="G95" s="38">
        <v>0</v>
      </c>
      <c r="H95" s="38">
        <v>0</v>
      </c>
      <c r="I95" s="38">
        <v>0</v>
      </c>
      <c r="J95" s="38">
        <v>0</v>
      </c>
      <c r="K95" s="38">
        <v>0</v>
      </c>
      <c r="L95" s="38">
        <v>0</v>
      </c>
      <c r="M95" s="38">
        <v>0</v>
      </c>
      <c r="N95" s="38">
        <v>0</v>
      </c>
      <c r="O95" s="38">
        <v>0</v>
      </c>
      <c r="P95" s="38">
        <v>0</v>
      </c>
      <c r="Q95" s="38">
        <v>0</v>
      </c>
      <c r="R95" s="22"/>
    </row>
    <row r="96" spans="2:18" x14ac:dyDescent="0.15">
      <c r="B96" s="26">
        <f t="shared" si="5"/>
        <v>94</v>
      </c>
      <c r="C96" s="22" t="s">
        <v>377</v>
      </c>
      <c r="D96" s="26" t="s">
        <v>179</v>
      </c>
      <c r="E96" s="38">
        <f t="shared" si="6"/>
        <v>0</v>
      </c>
      <c r="F96" s="38">
        <v>0</v>
      </c>
      <c r="G96" s="38">
        <v>0</v>
      </c>
      <c r="H96" s="38">
        <v>0</v>
      </c>
      <c r="I96" s="38">
        <v>0</v>
      </c>
      <c r="J96" s="38">
        <v>0</v>
      </c>
      <c r="K96" s="38">
        <v>0</v>
      </c>
      <c r="L96" s="38">
        <v>0</v>
      </c>
      <c r="M96" s="38">
        <v>0</v>
      </c>
      <c r="N96" s="38">
        <v>0</v>
      </c>
      <c r="O96" s="38">
        <v>0</v>
      </c>
      <c r="P96" s="38">
        <v>0</v>
      </c>
      <c r="Q96" s="38">
        <v>0</v>
      </c>
      <c r="R96" s="22"/>
    </row>
    <row r="97" spans="2:18" x14ac:dyDescent="0.15">
      <c r="B97" s="26">
        <f t="shared" si="5"/>
        <v>95</v>
      </c>
      <c r="C97" s="22" t="s">
        <v>151</v>
      </c>
      <c r="D97" s="26" t="s">
        <v>178</v>
      </c>
      <c r="E97" s="38">
        <f t="shared" si="6"/>
        <v>0</v>
      </c>
      <c r="F97" s="38">
        <v>0</v>
      </c>
      <c r="G97" s="38">
        <v>0</v>
      </c>
      <c r="H97" s="38">
        <v>0</v>
      </c>
      <c r="I97" s="38">
        <v>0</v>
      </c>
      <c r="J97" s="38">
        <v>0</v>
      </c>
      <c r="K97" s="38">
        <v>0</v>
      </c>
      <c r="L97" s="38">
        <v>0</v>
      </c>
      <c r="M97" s="38">
        <v>0</v>
      </c>
      <c r="N97" s="38">
        <v>0</v>
      </c>
      <c r="O97" s="38">
        <v>0</v>
      </c>
      <c r="P97" s="38">
        <v>0</v>
      </c>
      <c r="Q97" s="38">
        <v>0</v>
      </c>
      <c r="R97" s="22"/>
    </row>
    <row r="98" spans="2:18" x14ac:dyDescent="0.15">
      <c r="B98" s="26">
        <f t="shared" si="5"/>
        <v>96</v>
      </c>
      <c r="C98" s="22" t="s">
        <v>348</v>
      </c>
      <c r="D98" s="26" t="s">
        <v>178</v>
      </c>
      <c r="E98" s="38">
        <f t="shared" si="6"/>
        <v>0</v>
      </c>
      <c r="F98" s="38">
        <v>0</v>
      </c>
      <c r="G98" s="38">
        <v>0</v>
      </c>
      <c r="H98" s="38">
        <v>0</v>
      </c>
      <c r="I98" s="38">
        <v>0</v>
      </c>
      <c r="J98" s="38">
        <v>0</v>
      </c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22"/>
    </row>
    <row r="99" spans="2:18" x14ac:dyDescent="0.15">
      <c r="B99" s="26">
        <f t="shared" ref="B99:B130" si="7">ROW()-2</f>
        <v>97</v>
      </c>
      <c r="C99" s="22" t="s">
        <v>365</v>
      </c>
      <c r="D99" s="26" t="s">
        <v>179</v>
      </c>
      <c r="E99" s="38">
        <f t="shared" ref="E99:E130" si="8">SUM(F99:Q99)</f>
        <v>0</v>
      </c>
      <c r="F99" s="38">
        <v>0</v>
      </c>
      <c r="G99" s="38">
        <v>0</v>
      </c>
      <c r="H99" s="38">
        <v>0</v>
      </c>
      <c r="I99" s="38">
        <v>0</v>
      </c>
      <c r="J99" s="38">
        <v>0</v>
      </c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22"/>
    </row>
    <row r="100" spans="2:18" x14ac:dyDescent="0.15">
      <c r="B100" s="26">
        <f t="shared" si="7"/>
        <v>98</v>
      </c>
      <c r="C100" s="22" t="s">
        <v>266</v>
      </c>
      <c r="D100" s="26" t="s">
        <v>178</v>
      </c>
      <c r="E100" s="38">
        <f t="shared" si="8"/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22"/>
    </row>
    <row r="101" spans="2:18" x14ac:dyDescent="0.15">
      <c r="B101" s="26">
        <f t="shared" si="7"/>
        <v>99</v>
      </c>
      <c r="C101" s="22" t="s">
        <v>369</v>
      </c>
      <c r="D101" s="26" t="s">
        <v>179</v>
      </c>
      <c r="E101" s="38">
        <f t="shared" si="8"/>
        <v>0</v>
      </c>
      <c r="F101" s="38">
        <v>0</v>
      </c>
      <c r="G101" s="38">
        <v>0</v>
      </c>
      <c r="H101" s="38">
        <v>0</v>
      </c>
      <c r="I101" s="38">
        <v>0</v>
      </c>
      <c r="J101" s="38">
        <v>0</v>
      </c>
      <c r="K101" s="38">
        <v>0</v>
      </c>
      <c r="L101" s="38">
        <v>0</v>
      </c>
      <c r="M101" s="38">
        <v>0</v>
      </c>
      <c r="N101" s="38">
        <v>0</v>
      </c>
      <c r="O101" s="38">
        <v>0</v>
      </c>
      <c r="P101" s="38">
        <v>0</v>
      </c>
      <c r="Q101" s="38">
        <v>0</v>
      </c>
      <c r="R101" s="22"/>
    </row>
    <row r="102" spans="2:18" x14ac:dyDescent="0.15">
      <c r="B102" s="26">
        <f t="shared" si="7"/>
        <v>100</v>
      </c>
      <c r="C102" s="22" t="s">
        <v>146</v>
      </c>
      <c r="D102" s="26" t="s">
        <v>176</v>
      </c>
      <c r="E102" s="38">
        <f t="shared" si="8"/>
        <v>0</v>
      </c>
      <c r="F102" s="38">
        <v>0</v>
      </c>
      <c r="G102" s="38">
        <v>0</v>
      </c>
      <c r="H102" s="38">
        <v>0</v>
      </c>
      <c r="I102" s="38">
        <v>0</v>
      </c>
      <c r="J102" s="38">
        <v>0</v>
      </c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22"/>
    </row>
    <row r="103" spans="2:18" x14ac:dyDescent="0.15">
      <c r="B103" s="26">
        <f t="shared" si="7"/>
        <v>101</v>
      </c>
      <c r="C103" s="22" t="s">
        <v>340</v>
      </c>
      <c r="D103" s="26" t="s">
        <v>178</v>
      </c>
      <c r="E103" s="38">
        <f t="shared" si="8"/>
        <v>0</v>
      </c>
      <c r="F103" s="38">
        <v>0</v>
      </c>
      <c r="G103" s="38">
        <v>0</v>
      </c>
      <c r="H103" s="38">
        <v>0</v>
      </c>
      <c r="I103" s="38">
        <v>0</v>
      </c>
      <c r="J103" s="38">
        <v>0</v>
      </c>
      <c r="K103" s="38">
        <v>0</v>
      </c>
      <c r="L103" s="38">
        <v>0</v>
      </c>
      <c r="M103" s="38">
        <v>0</v>
      </c>
      <c r="N103" s="38">
        <v>0</v>
      </c>
      <c r="O103" s="38">
        <v>0</v>
      </c>
      <c r="P103" s="38">
        <v>0</v>
      </c>
      <c r="Q103" s="38">
        <v>0</v>
      </c>
      <c r="R103" s="22"/>
    </row>
    <row r="104" spans="2:18" x14ac:dyDescent="0.15">
      <c r="B104" s="26">
        <f t="shared" si="7"/>
        <v>102</v>
      </c>
      <c r="C104" s="22" t="s">
        <v>370</v>
      </c>
      <c r="D104" s="26" t="s">
        <v>179</v>
      </c>
      <c r="E104" s="38">
        <f t="shared" si="8"/>
        <v>0</v>
      </c>
      <c r="F104" s="38">
        <v>0</v>
      </c>
      <c r="G104" s="38">
        <v>0</v>
      </c>
      <c r="H104" s="38">
        <v>0</v>
      </c>
      <c r="I104" s="38">
        <v>0</v>
      </c>
      <c r="J104" s="38">
        <v>0</v>
      </c>
      <c r="K104" s="38">
        <v>0</v>
      </c>
      <c r="L104" s="38">
        <v>0</v>
      </c>
      <c r="M104" s="38">
        <v>0</v>
      </c>
      <c r="N104" s="38">
        <v>0</v>
      </c>
      <c r="O104" s="38">
        <v>0</v>
      </c>
      <c r="P104" s="38">
        <v>0</v>
      </c>
      <c r="Q104" s="38">
        <v>0</v>
      </c>
      <c r="R104" s="22"/>
    </row>
    <row r="105" spans="2:18" x14ac:dyDescent="0.15">
      <c r="B105" s="26">
        <f t="shared" si="7"/>
        <v>103</v>
      </c>
      <c r="C105" s="22" t="s">
        <v>367</v>
      </c>
      <c r="D105" s="26" t="s">
        <v>179</v>
      </c>
      <c r="E105" s="38">
        <f t="shared" si="8"/>
        <v>0</v>
      </c>
      <c r="F105" s="38">
        <v>0</v>
      </c>
      <c r="G105" s="38">
        <v>0</v>
      </c>
      <c r="H105" s="38">
        <v>0</v>
      </c>
      <c r="I105" s="38">
        <v>0</v>
      </c>
      <c r="J105" s="38">
        <v>0</v>
      </c>
      <c r="K105" s="38">
        <v>0</v>
      </c>
      <c r="L105" s="38">
        <v>0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22"/>
    </row>
    <row r="106" spans="2:18" x14ac:dyDescent="0.15">
      <c r="B106" s="26">
        <f t="shared" si="7"/>
        <v>104</v>
      </c>
      <c r="C106" s="22" t="s">
        <v>267</v>
      </c>
      <c r="D106" s="26" t="s">
        <v>178</v>
      </c>
      <c r="E106" s="38">
        <f t="shared" si="8"/>
        <v>0</v>
      </c>
      <c r="F106" s="38">
        <v>0</v>
      </c>
      <c r="G106" s="38">
        <v>0</v>
      </c>
      <c r="H106" s="38">
        <v>0</v>
      </c>
      <c r="I106" s="38">
        <v>0</v>
      </c>
      <c r="J106" s="38">
        <v>0</v>
      </c>
      <c r="K106" s="38">
        <v>0</v>
      </c>
      <c r="L106" s="38">
        <v>0</v>
      </c>
      <c r="M106" s="38">
        <v>0</v>
      </c>
      <c r="N106" s="38">
        <v>0</v>
      </c>
      <c r="O106" s="38">
        <v>0</v>
      </c>
      <c r="P106" s="38">
        <v>0</v>
      </c>
      <c r="Q106" s="38">
        <v>0</v>
      </c>
      <c r="R106" s="22"/>
    </row>
    <row r="107" spans="2:18" x14ac:dyDescent="0.15">
      <c r="B107" s="26">
        <f t="shared" si="7"/>
        <v>105</v>
      </c>
      <c r="C107" s="22" t="s">
        <v>136</v>
      </c>
      <c r="D107" s="26" t="s">
        <v>176</v>
      </c>
      <c r="E107" s="38">
        <f t="shared" si="8"/>
        <v>0</v>
      </c>
      <c r="F107" s="38">
        <v>0</v>
      </c>
      <c r="G107" s="38">
        <v>0</v>
      </c>
      <c r="H107" s="38">
        <v>0</v>
      </c>
      <c r="I107" s="38">
        <v>0</v>
      </c>
      <c r="J107" s="38">
        <v>0</v>
      </c>
      <c r="K107" s="38">
        <v>0</v>
      </c>
      <c r="L107" s="38">
        <v>0</v>
      </c>
      <c r="M107" s="38">
        <v>0</v>
      </c>
      <c r="N107" s="38">
        <v>0</v>
      </c>
      <c r="O107" s="38">
        <v>0</v>
      </c>
      <c r="P107" s="38">
        <v>0</v>
      </c>
      <c r="Q107" s="38">
        <v>0</v>
      </c>
      <c r="R107" s="22"/>
    </row>
    <row r="108" spans="2:18" x14ac:dyDescent="0.15">
      <c r="B108" s="26">
        <f t="shared" si="7"/>
        <v>106</v>
      </c>
      <c r="C108" s="22" t="s">
        <v>256</v>
      </c>
      <c r="D108" s="26" t="s">
        <v>178</v>
      </c>
      <c r="E108" s="38">
        <f t="shared" si="8"/>
        <v>0</v>
      </c>
      <c r="F108" s="38">
        <v>0</v>
      </c>
      <c r="G108" s="38">
        <v>0</v>
      </c>
      <c r="H108" s="38">
        <v>0</v>
      </c>
      <c r="I108" s="38">
        <v>0</v>
      </c>
      <c r="J108" s="38">
        <v>0</v>
      </c>
      <c r="K108" s="38">
        <v>0</v>
      </c>
      <c r="L108" s="38">
        <v>0</v>
      </c>
      <c r="M108" s="38">
        <v>0</v>
      </c>
      <c r="N108" s="38">
        <v>0</v>
      </c>
      <c r="O108" s="38">
        <v>0</v>
      </c>
      <c r="P108" s="38">
        <v>0</v>
      </c>
      <c r="Q108" s="38">
        <v>0</v>
      </c>
      <c r="R108" s="22"/>
    </row>
    <row r="109" spans="2:18" x14ac:dyDescent="0.15">
      <c r="B109" s="26">
        <f t="shared" si="7"/>
        <v>107</v>
      </c>
      <c r="C109" s="22" t="s">
        <v>268</v>
      </c>
      <c r="D109" s="26" t="s">
        <v>178</v>
      </c>
      <c r="E109" s="38">
        <f t="shared" si="8"/>
        <v>0</v>
      </c>
      <c r="F109" s="38">
        <v>0</v>
      </c>
      <c r="G109" s="38">
        <v>0</v>
      </c>
      <c r="H109" s="38">
        <v>0</v>
      </c>
      <c r="I109" s="38">
        <v>0</v>
      </c>
      <c r="J109" s="38">
        <v>0</v>
      </c>
      <c r="K109" s="38">
        <v>0</v>
      </c>
      <c r="L109" s="38">
        <v>0</v>
      </c>
      <c r="M109" s="38">
        <v>0</v>
      </c>
      <c r="N109" s="38">
        <v>0</v>
      </c>
      <c r="O109" s="38">
        <v>0</v>
      </c>
      <c r="P109" s="38">
        <v>0</v>
      </c>
      <c r="Q109" s="38">
        <v>0</v>
      </c>
      <c r="R109" s="22"/>
    </row>
    <row r="110" spans="2:18" x14ac:dyDescent="0.15">
      <c r="B110" s="26">
        <f t="shared" si="7"/>
        <v>108</v>
      </c>
      <c r="C110" s="22" t="s">
        <v>287</v>
      </c>
      <c r="D110" s="26" t="s">
        <v>177</v>
      </c>
      <c r="E110" s="38">
        <f t="shared" si="8"/>
        <v>0</v>
      </c>
      <c r="F110" s="38">
        <v>0</v>
      </c>
      <c r="G110" s="38">
        <v>0</v>
      </c>
      <c r="H110" s="38">
        <v>0</v>
      </c>
      <c r="I110" s="38">
        <v>0</v>
      </c>
      <c r="J110" s="38">
        <v>0</v>
      </c>
      <c r="K110" s="38">
        <v>0</v>
      </c>
      <c r="L110" s="38">
        <v>0</v>
      </c>
      <c r="M110" s="38">
        <v>0</v>
      </c>
      <c r="N110" s="38">
        <v>0</v>
      </c>
      <c r="O110" s="38">
        <v>0</v>
      </c>
      <c r="P110" s="38">
        <v>0</v>
      </c>
      <c r="Q110" s="38">
        <v>0</v>
      </c>
      <c r="R110" s="22"/>
    </row>
    <row r="111" spans="2:18" x14ac:dyDescent="0.15">
      <c r="B111" s="26">
        <f t="shared" si="7"/>
        <v>109</v>
      </c>
      <c r="C111" s="22" t="s">
        <v>265</v>
      </c>
      <c r="D111" s="26" t="s">
        <v>177</v>
      </c>
      <c r="E111" s="38">
        <f t="shared" si="8"/>
        <v>0</v>
      </c>
      <c r="F111" s="38">
        <v>0</v>
      </c>
      <c r="G111" s="38">
        <v>0</v>
      </c>
      <c r="H111" s="38">
        <v>0</v>
      </c>
      <c r="I111" s="38">
        <v>0</v>
      </c>
      <c r="J111" s="38">
        <v>0</v>
      </c>
      <c r="K111" s="38">
        <v>0</v>
      </c>
      <c r="L111" s="38">
        <v>0</v>
      </c>
      <c r="M111" s="38">
        <v>0</v>
      </c>
      <c r="N111" s="38">
        <v>0</v>
      </c>
      <c r="O111" s="38">
        <v>0</v>
      </c>
      <c r="P111" s="38">
        <v>0</v>
      </c>
      <c r="Q111" s="38">
        <v>0</v>
      </c>
      <c r="R111" s="22"/>
    </row>
    <row r="112" spans="2:18" x14ac:dyDescent="0.15">
      <c r="B112" s="26">
        <f t="shared" si="7"/>
        <v>110</v>
      </c>
      <c r="C112" s="22" t="s">
        <v>253</v>
      </c>
      <c r="D112" s="26" t="s">
        <v>178</v>
      </c>
      <c r="E112" s="38">
        <f t="shared" si="8"/>
        <v>0</v>
      </c>
      <c r="F112" s="38">
        <v>0</v>
      </c>
      <c r="G112" s="38">
        <v>0</v>
      </c>
      <c r="H112" s="38">
        <v>0</v>
      </c>
      <c r="I112" s="38">
        <v>0</v>
      </c>
      <c r="J112" s="38">
        <v>0</v>
      </c>
      <c r="K112" s="38">
        <v>0</v>
      </c>
      <c r="L112" s="38">
        <v>0</v>
      </c>
      <c r="M112" s="38">
        <v>0</v>
      </c>
      <c r="N112" s="38">
        <v>0</v>
      </c>
      <c r="O112" s="38">
        <v>0</v>
      </c>
      <c r="P112" s="38">
        <v>0</v>
      </c>
      <c r="Q112" s="38">
        <v>0</v>
      </c>
      <c r="R112" s="22"/>
    </row>
    <row r="113" spans="2:18" x14ac:dyDescent="0.15">
      <c r="B113" s="26">
        <f t="shared" si="7"/>
        <v>111</v>
      </c>
      <c r="C113" s="22" t="s">
        <v>337</v>
      </c>
      <c r="D113" s="26" t="s">
        <v>178</v>
      </c>
      <c r="E113" s="38">
        <f t="shared" si="8"/>
        <v>0</v>
      </c>
      <c r="F113" s="38">
        <v>0</v>
      </c>
      <c r="G113" s="38">
        <v>0</v>
      </c>
      <c r="H113" s="38">
        <v>0</v>
      </c>
      <c r="I113" s="38">
        <v>0</v>
      </c>
      <c r="J113" s="38">
        <v>0</v>
      </c>
      <c r="K113" s="38">
        <v>0</v>
      </c>
      <c r="L113" s="38">
        <v>0</v>
      </c>
      <c r="M113" s="38">
        <v>0</v>
      </c>
      <c r="N113" s="38">
        <v>0</v>
      </c>
      <c r="O113" s="38">
        <v>0</v>
      </c>
      <c r="P113" s="38">
        <v>0</v>
      </c>
      <c r="Q113" s="38">
        <v>0</v>
      </c>
      <c r="R113" s="22"/>
    </row>
    <row r="114" spans="2:18" x14ac:dyDescent="0.15">
      <c r="B114" s="26">
        <f t="shared" si="7"/>
        <v>112</v>
      </c>
      <c r="C114" s="22" t="s">
        <v>378</v>
      </c>
      <c r="D114" s="26" t="s">
        <v>176</v>
      </c>
      <c r="E114" s="38">
        <f t="shared" si="8"/>
        <v>0</v>
      </c>
      <c r="F114" s="38">
        <v>0</v>
      </c>
      <c r="G114" s="38">
        <v>0</v>
      </c>
      <c r="H114" s="38">
        <v>0</v>
      </c>
      <c r="I114" s="38">
        <v>0</v>
      </c>
      <c r="J114" s="38">
        <v>0</v>
      </c>
      <c r="K114" s="38">
        <v>0</v>
      </c>
      <c r="L114" s="38">
        <v>0</v>
      </c>
      <c r="M114" s="38">
        <v>0</v>
      </c>
      <c r="N114" s="38">
        <v>0</v>
      </c>
      <c r="O114" s="38">
        <v>0</v>
      </c>
      <c r="P114" s="38">
        <v>0</v>
      </c>
      <c r="Q114" s="38">
        <v>0</v>
      </c>
      <c r="R114" s="22"/>
    </row>
    <row r="115" spans="2:18" x14ac:dyDescent="0.15">
      <c r="B115" s="26">
        <f t="shared" si="7"/>
        <v>113</v>
      </c>
      <c r="C115" s="22" t="s">
        <v>259</v>
      </c>
      <c r="D115" s="26" t="s">
        <v>176</v>
      </c>
      <c r="E115" s="38">
        <f t="shared" si="8"/>
        <v>0</v>
      </c>
      <c r="F115" s="38">
        <v>0</v>
      </c>
      <c r="G115" s="38">
        <v>0</v>
      </c>
      <c r="H115" s="38">
        <v>0</v>
      </c>
      <c r="I115" s="38">
        <v>0</v>
      </c>
      <c r="J115" s="38">
        <v>0</v>
      </c>
      <c r="K115" s="38">
        <v>0</v>
      </c>
      <c r="L115" s="38">
        <v>0</v>
      </c>
      <c r="M115" s="38">
        <v>0</v>
      </c>
      <c r="N115" s="38">
        <v>0</v>
      </c>
      <c r="O115" s="38">
        <v>0</v>
      </c>
      <c r="P115" s="38">
        <v>0</v>
      </c>
      <c r="Q115" s="38">
        <v>0</v>
      </c>
      <c r="R115" s="22"/>
    </row>
    <row r="116" spans="2:18" x14ac:dyDescent="0.15">
      <c r="B116" s="26">
        <f t="shared" si="7"/>
        <v>114</v>
      </c>
      <c r="C116" s="22" t="s">
        <v>152</v>
      </c>
      <c r="D116" s="26" t="s">
        <v>178</v>
      </c>
      <c r="E116" s="38">
        <f t="shared" si="8"/>
        <v>0</v>
      </c>
      <c r="F116" s="38">
        <v>0</v>
      </c>
      <c r="G116" s="38">
        <v>0</v>
      </c>
      <c r="H116" s="38">
        <v>0</v>
      </c>
      <c r="I116" s="38">
        <v>0</v>
      </c>
      <c r="J116" s="38">
        <v>0</v>
      </c>
      <c r="K116" s="38">
        <v>0</v>
      </c>
      <c r="L116" s="38">
        <v>0</v>
      </c>
      <c r="M116" s="38">
        <v>0</v>
      </c>
      <c r="N116" s="38">
        <v>0</v>
      </c>
      <c r="O116" s="38">
        <v>0</v>
      </c>
      <c r="P116" s="38">
        <v>0</v>
      </c>
      <c r="Q116" s="38">
        <v>0</v>
      </c>
      <c r="R116" s="22"/>
    </row>
    <row r="117" spans="2:18" x14ac:dyDescent="0.15">
      <c r="B117" s="26">
        <f t="shared" si="7"/>
        <v>115</v>
      </c>
      <c r="C117" s="22" t="s">
        <v>273</v>
      </c>
      <c r="D117" s="26" t="s">
        <v>178</v>
      </c>
      <c r="E117" s="38">
        <f t="shared" si="8"/>
        <v>0</v>
      </c>
      <c r="F117" s="38">
        <v>0</v>
      </c>
      <c r="G117" s="38">
        <v>0</v>
      </c>
      <c r="H117" s="38">
        <v>0</v>
      </c>
      <c r="I117" s="38">
        <v>0</v>
      </c>
      <c r="J117" s="38">
        <v>0</v>
      </c>
      <c r="K117" s="38">
        <v>0</v>
      </c>
      <c r="L117" s="38">
        <v>0</v>
      </c>
      <c r="M117" s="38">
        <v>0</v>
      </c>
      <c r="N117" s="38">
        <v>0</v>
      </c>
      <c r="O117" s="38">
        <v>0</v>
      </c>
      <c r="P117" s="38">
        <v>0</v>
      </c>
      <c r="Q117" s="38">
        <v>0</v>
      </c>
      <c r="R117" s="22"/>
    </row>
    <row r="118" spans="2:18" x14ac:dyDescent="0.15">
      <c r="B118" s="26">
        <f t="shared" si="7"/>
        <v>116</v>
      </c>
      <c r="C118" s="22" t="s">
        <v>153</v>
      </c>
      <c r="D118" s="26" t="s">
        <v>178</v>
      </c>
      <c r="E118" s="38">
        <f t="shared" si="8"/>
        <v>0</v>
      </c>
      <c r="F118" s="38">
        <v>0</v>
      </c>
      <c r="G118" s="38">
        <v>0</v>
      </c>
      <c r="H118" s="38">
        <v>0</v>
      </c>
      <c r="I118" s="38">
        <v>0</v>
      </c>
      <c r="J118" s="38">
        <v>0</v>
      </c>
      <c r="K118" s="38">
        <v>0</v>
      </c>
      <c r="L118" s="38">
        <v>0</v>
      </c>
      <c r="M118" s="38">
        <v>0</v>
      </c>
      <c r="N118" s="38">
        <v>0</v>
      </c>
      <c r="O118" s="38">
        <v>0</v>
      </c>
      <c r="P118" s="38">
        <v>0</v>
      </c>
      <c r="Q118" s="38">
        <v>0</v>
      </c>
      <c r="R118" s="22"/>
    </row>
    <row r="119" spans="2:18" x14ac:dyDescent="0.15">
      <c r="B119" s="26">
        <f t="shared" si="7"/>
        <v>117</v>
      </c>
      <c r="C119" s="22" t="s">
        <v>371</v>
      </c>
      <c r="D119" s="26" t="s">
        <v>179</v>
      </c>
      <c r="E119" s="38">
        <f t="shared" si="8"/>
        <v>0</v>
      </c>
      <c r="F119" s="38">
        <v>0</v>
      </c>
      <c r="G119" s="38">
        <v>0</v>
      </c>
      <c r="H119" s="38">
        <v>0</v>
      </c>
      <c r="I119" s="38">
        <v>0</v>
      </c>
      <c r="J119" s="38">
        <v>0</v>
      </c>
      <c r="K119" s="38">
        <v>0</v>
      </c>
      <c r="L119" s="38">
        <v>0</v>
      </c>
      <c r="M119" s="38">
        <v>0</v>
      </c>
      <c r="N119" s="38">
        <v>0</v>
      </c>
      <c r="O119" s="38">
        <v>0</v>
      </c>
      <c r="P119" s="38">
        <v>0</v>
      </c>
      <c r="Q119" s="38">
        <v>0</v>
      </c>
      <c r="R119" s="22"/>
    </row>
    <row r="120" spans="2:18" x14ac:dyDescent="0.15">
      <c r="B120" s="26">
        <f t="shared" si="7"/>
        <v>118</v>
      </c>
      <c r="C120" s="22" t="s">
        <v>372</v>
      </c>
      <c r="D120" s="26" t="s">
        <v>179</v>
      </c>
      <c r="E120" s="38">
        <f t="shared" si="8"/>
        <v>0</v>
      </c>
      <c r="F120" s="38">
        <v>0</v>
      </c>
      <c r="G120" s="38">
        <v>0</v>
      </c>
      <c r="H120" s="38">
        <v>0</v>
      </c>
      <c r="I120" s="38">
        <v>0</v>
      </c>
      <c r="J120" s="38">
        <v>0</v>
      </c>
      <c r="K120" s="38">
        <v>0</v>
      </c>
      <c r="L120" s="38">
        <v>0</v>
      </c>
      <c r="M120" s="38">
        <v>0</v>
      </c>
      <c r="N120" s="38">
        <v>0</v>
      </c>
      <c r="O120" s="38">
        <v>0</v>
      </c>
      <c r="P120" s="38">
        <v>0</v>
      </c>
      <c r="Q120" s="38">
        <v>0</v>
      </c>
      <c r="R120" s="22"/>
    </row>
    <row r="121" spans="2:18" x14ac:dyDescent="0.15">
      <c r="B121" s="26">
        <f t="shared" si="7"/>
        <v>119</v>
      </c>
      <c r="C121" s="22" t="s">
        <v>331</v>
      </c>
      <c r="D121" s="26" t="s">
        <v>178</v>
      </c>
      <c r="E121" s="38">
        <f t="shared" si="8"/>
        <v>0</v>
      </c>
      <c r="F121" s="38">
        <v>0</v>
      </c>
      <c r="G121" s="38">
        <v>0</v>
      </c>
      <c r="H121" s="38">
        <v>0</v>
      </c>
      <c r="I121" s="38">
        <v>0</v>
      </c>
      <c r="J121" s="38">
        <v>0</v>
      </c>
      <c r="K121" s="38">
        <v>0</v>
      </c>
      <c r="L121" s="38">
        <v>0</v>
      </c>
      <c r="M121" s="38">
        <v>0</v>
      </c>
      <c r="N121" s="38">
        <v>0</v>
      </c>
      <c r="O121" s="38">
        <v>0</v>
      </c>
      <c r="P121" s="38">
        <v>0</v>
      </c>
      <c r="Q121" s="38">
        <v>0</v>
      </c>
      <c r="R121" s="22"/>
    </row>
    <row r="122" spans="2:18" x14ac:dyDescent="0.15">
      <c r="B122" s="26">
        <f t="shared" si="7"/>
        <v>120</v>
      </c>
      <c r="C122" s="22" t="s">
        <v>341</v>
      </c>
      <c r="D122" s="26" t="s">
        <v>178</v>
      </c>
      <c r="E122" s="38">
        <f t="shared" si="8"/>
        <v>0</v>
      </c>
      <c r="F122" s="38">
        <v>0</v>
      </c>
      <c r="G122" s="38">
        <v>0</v>
      </c>
      <c r="H122" s="38">
        <v>0</v>
      </c>
      <c r="I122" s="38">
        <v>0</v>
      </c>
      <c r="J122" s="38">
        <v>0</v>
      </c>
      <c r="K122" s="38">
        <v>0</v>
      </c>
      <c r="L122" s="38">
        <v>0</v>
      </c>
      <c r="M122" s="38">
        <v>0</v>
      </c>
      <c r="N122" s="38">
        <v>0</v>
      </c>
      <c r="O122" s="38">
        <v>0</v>
      </c>
      <c r="P122" s="38">
        <v>0</v>
      </c>
      <c r="Q122" s="38">
        <v>0</v>
      </c>
      <c r="R122" s="22"/>
    </row>
    <row r="123" spans="2:18" x14ac:dyDescent="0.15">
      <c r="B123" s="26">
        <f t="shared" si="7"/>
        <v>121</v>
      </c>
      <c r="C123" s="22" t="s">
        <v>285</v>
      </c>
      <c r="D123" s="26" t="s">
        <v>178</v>
      </c>
      <c r="E123" s="38">
        <f t="shared" si="8"/>
        <v>0</v>
      </c>
      <c r="F123" s="38">
        <v>0</v>
      </c>
      <c r="G123" s="38">
        <v>0</v>
      </c>
      <c r="H123" s="38">
        <v>0</v>
      </c>
      <c r="I123" s="38">
        <v>0</v>
      </c>
      <c r="J123" s="38">
        <v>0</v>
      </c>
      <c r="K123" s="38">
        <v>0</v>
      </c>
      <c r="L123" s="38">
        <v>0</v>
      </c>
      <c r="M123" s="38">
        <v>0</v>
      </c>
      <c r="N123" s="38">
        <v>0</v>
      </c>
      <c r="O123" s="38">
        <v>0</v>
      </c>
      <c r="P123" s="38">
        <v>0</v>
      </c>
      <c r="Q123" s="38">
        <v>0</v>
      </c>
      <c r="R123" s="22"/>
    </row>
    <row r="124" spans="2:18" x14ac:dyDescent="0.15">
      <c r="B124" s="26">
        <f t="shared" si="7"/>
        <v>122</v>
      </c>
      <c r="C124" s="22" t="s">
        <v>368</v>
      </c>
      <c r="D124" s="26" t="s">
        <v>179</v>
      </c>
      <c r="E124" s="38">
        <f t="shared" si="8"/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22"/>
    </row>
    <row r="125" spans="2:18" x14ac:dyDescent="0.15">
      <c r="B125" s="26">
        <f t="shared" si="7"/>
        <v>123</v>
      </c>
      <c r="C125" s="22" t="s">
        <v>116</v>
      </c>
      <c r="D125" s="26" t="s">
        <v>176</v>
      </c>
      <c r="E125" s="38">
        <f t="shared" si="8"/>
        <v>0</v>
      </c>
      <c r="F125" s="38">
        <v>0</v>
      </c>
      <c r="G125" s="38">
        <v>0</v>
      </c>
      <c r="H125" s="38">
        <v>0</v>
      </c>
      <c r="I125" s="38">
        <v>0</v>
      </c>
      <c r="J125" s="38">
        <v>0</v>
      </c>
      <c r="K125" s="38">
        <v>0</v>
      </c>
      <c r="L125" s="38">
        <v>0</v>
      </c>
      <c r="M125" s="38">
        <v>0</v>
      </c>
      <c r="N125" s="38">
        <v>0</v>
      </c>
      <c r="O125" s="38">
        <v>0</v>
      </c>
      <c r="P125" s="38">
        <v>0</v>
      </c>
      <c r="Q125" s="38">
        <v>0</v>
      </c>
      <c r="R125" s="22"/>
    </row>
    <row r="126" spans="2:18" x14ac:dyDescent="0.15">
      <c r="B126" s="26">
        <f t="shared" si="7"/>
        <v>124</v>
      </c>
      <c r="C126" s="22" t="s">
        <v>357</v>
      </c>
      <c r="D126" s="26" t="s">
        <v>178</v>
      </c>
      <c r="E126" s="38">
        <f t="shared" si="8"/>
        <v>0</v>
      </c>
      <c r="F126" s="38">
        <v>0</v>
      </c>
      <c r="G126" s="38">
        <v>0</v>
      </c>
      <c r="H126" s="38">
        <v>0</v>
      </c>
      <c r="I126" s="38">
        <v>0</v>
      </c>
      <c r="J126" s="38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0</v>
      </c>
      <c r="P126" s="38">
        <v>0</v>
      </c>
      <c r="Q126" s="38">
        <v>0</v>
      </c>
      <c r="R126" s="22"/>
    </row>
    <row r="127" spans="2:18" x14ac:dyDescent="0.15">
      <c r="B127" s="26">
        <f t="shared" si="7"/>
        <v>125</v>
      </c>
      <c r="C127" s="22" t="s">
        <v>140</v>
      </c>
      <c r="D127" s="26" t="s">
        <v>176</v>
      </c>
      <c r="E127" s="38">
        <f t="shared" si="8"/>
        <v>0</v>
      </c>
      <c r="F127" s="38">
        <v>0</v>
      </c>
      <c r="G127" s="38">
        <v>0</v>
      </c>
      <c r="H127" s="38">
        <v>0</v>
      </c>
      <c r="I127" s="38">
        <v>0</v>
      </c>
      <c r="J127" s="38">
        <v>0</v>
      </c>
      <c r="K127" s="38">
        <v>0</v>
      </c>
      <c r="L127" s="38">
        <v>0</v>
      </c>
      <c r="M127" s="38">
        <v>0</v>
      </c>
      <c r="N127" s="38">
        <v>0</v>
      </c>
      <c r="O127" s="38">
        <v>0</v>
      </c>
      <c r="P127" s="38">
        <v>0</v>
      </c>
      <c r="Q127" s="38">
        <v>0</v>
      </c>
      <c r="R127" s="22"/>
    </row>
    <row r="128" spans="2:18" x14ac:dyDescent="0.15">
      <c r="B128" s="26">
        <f t="shared" si="7"/>
        <v>126</v>
      </c>
      <c r="C128" s="22" t="s">
        <v>326</v>
      </c>
      <c r="D128" s="26" t="s">
        <v>178</v>
      </c>
      <c r="E128" s="38">
        <f t="shared" si="8"/>
        <v>0</v>
      </c>
      <c r="F128" s="38">
        <v>0</v>
      </c>
      <c r="G128" s="38">
        <v>0</v>
      </c>
      <c r="H128" s="38">
        <v>0</v>
      </c>
      <c r="I128" s="38">
        <v>0</v>
      </c>
      <c r="J128" s="38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0</v>
      </c>
      <c r="P128" s="38">
        <v>0</v>
      </c>
      <c r="Q128" s="38">
        <v>0</v>
      </c>
      <c r="R128" s="22"/>
    </row>
    <row r="129" spans="2:18" x14ac:dyDescent="0.15">
      <c r="B129" s="26">
        <f t="shared" si="7"/>
        <v>127</v>
      </c>
      <c r="C129" s="22" t="s">
        <v>186</v>
      </c>
      <c r="D129" s="26" t="s">
        <v>178</v>
      </c>
      <c r="E129" s="38">
        <f t="shared" si="8"/>
        <v>0</v>
      </c>
      <c r="F129" s="38">
        <v>0</v>
      </c>
      <c r="G129" s="38">
        <v>0</v>
      </c>
      <c r="H129" s="38">
        <v>0</v>
      </c>
      <c r="I129" s="38">
        <v>0</v>
      </c>
      <c r="J129" s="38">
        <v>0</v>
      </c>
      <c r="K129" s="38">
        <v>0</v>
      </c>
      <c r="L129" s="38">
        <v>0</v>
      </c>
      <c r="M129" s="38">
        <v>0</v>
      </c>
      <c r="N129" s="38">
        <v>0</v>
      </c>
      <c r="O129" s="38">
        <v>0</v>
      </c>
      <c r="P129" s="38">
        <v>0</v>
      </c>
      <c r="Q129" s="38">
        <v>0</v>
      </c>
      <c r="R129" s="22"/>
    </row>
    <row r="130" spans="2:18" x14ac:dyDescent="0.15">
      <c r="B130" s="26">
        <f t="shared" si="7"/>
        <v>128</v>
      </c>
      <c r="C130" s="22" t="s">
        <v>359</v>
      </c>
      <c r="D130" s="26" t="s">
        <v>178</v>
      </c>
      <c r="E130" s="38">
        <f t="shared" si="8"/>
        <v>0</v>
      </c>
      <c r="F130" s="38">
        <v>0</v>
      </c>
      <c r="G130" s="38">
        <v>0</v>
      </c>
      <c r="H130" s="38">
        <v>0</v>
      </c>
      <c r="I130" s="38">
        <v>0</v>
      </c>
      <c r="J130" s="38">
        <v>0</v>
      </c>
      <c r="K130" s="38">
        <v>0</v>
      </c>
      <c r="L130" s="38">
        <v>0</v>
      </c>
      <c r="M130" s="38">
        <v>0</v>
      </c>
      <c r="N130" s="38">
        <v>0</v>
      </c>
      <c r="O130" s="38">
        <v>0</v>
      </c>
      <c r="P130" s="38">
        <v>0</v>
      </c>
      <c r="Q130" s="38">
        <v>0</v>
      </c>
      <c r="R130" s="22"/>
    </row>
    <row r="131" spans="2:18" x14ac:dyDescent="0.15">
      <c r="B131" s="26">
        <f t="shared" ref="B131:B162" si="9">ROW()-2</f>
        <v>129</v>
      </c>
      <c r="C131" s="22" t="s">
        <v>34</v>
      </c>
      <c r="D131" s="26" t="s">
        <v>178</v>
      </c>
      <c r="E131" s="38">
        <f t="shared" ref="E131:E162" si="10">SUM(F131:Q131)</f>
        <v>0</v>
      </c>
      <c r="F131" s="38">
        <v>0</v>
      </c>
      <c r="G131" s="38">
        <v>0</v>
      </c>
      <c r="H131" s="38">
        <v>0</v>
      </c>
      <c r="I131" s="38">
        <v>0</v>
      </c>
      <c r="J131" s="38">
        <v>0</v>
      </c>
      <c r="K131" s="38">
        <v>0</v>
      </c>
      <c r="L131" s="38">
        <v>0</v>
      </c>
      <c r="M131" s="38">
        <v>0</v>
      </c>
      <c r="N131" s="38">
        <v>0</v>
      </c>
      <c r="O131" s="38">
        <v>0</v>
      </c>
      <c r="P131" s="38">
        <v>0</v>
      </c>
      <c r="Q131" s="38">
        <v>0</v>
      </c>
      <c r="R131" s="22"/>
    </row>
    <row r="132" spans="2:18" x14ac:dyDescent="0.15">
      <c r="B132" s="26">
        <f t="shared" si="9"/>
        <v>130</v>
      </c>
      <c r="C132" s="22" t="s">
        <v>351</v>
      </c>
      <c r="D132" s="26" t="s">
        <v>178</v>
      </c>
      <c r="E132" s="38">
        <f t="shared" si="10"/>
        <v>0</v>
      </c>
      <c r="F132" s="38">
        <v>0</v>
      </c>
      <c r="G132" s="38">
        <v>0</v>
      </c>
      <c r="H132" s="38">
        <v>0</v>
      </c>
      <c r="I132" s="38">
        <v>0</v>
      </c>
      <c r="J132" s="38">
        <v>0</v>
      </c>
      <c r="K132" s="38">
        <v>0</v>
      </c>
      <c r="L132" s="38">
        <v>0</v>
      </c>
      <c r="M132" s="38">
        <v>0</v>
      </c>
      <c r="N132" s="38">
        <v>0</v>
      </c>
      <c r="O132" s="38">
        <v>0</v>
      </c>
      <c r="P132" s="38">
        <v>0</v>
      </c>
      <c r="Q132" s="38">
        <v>0</v>
      </c>
      <c r="R132" s="22"/>
    </row>
    <row r="133" spans="2:18" x14ac:dyDescent="0.15">
      <c r="B133" s="26">
        <f t="shared" si="9"/>
        <v>131</v>
      </c>
      <c r="C133" s="22" t="s">
        <v>137</v>
      </c>
      <c r="D133" s="26" t="s">
        <v>176</v>
      </c>
      <c r="E133" s="38">
        <f t="shared" si="10"/>
        <v>0</v>
      </c>
      <c r="F133" s="38">
        <v>0</v>
      </c>
      <c r="G133" s="38">
        <v>0</v>
      </c>
      <c r="H133" s="38">
        <v>0</v>
      </c>
      <c r="I133" s="38">
        <v>0</v>
      </c>
      <c r="J133" s="38">
        <v>0</v>
      </c>
      <c r="K133" s="38">
        <v>0</v>
      </c>
      <c r="L133" s="38">
        <v>0</v>
      </c>
      <c r="M133" s="38">
        <v>0</v>
      </c>
      <c r="N133" s="38">
        <v>0</v>
      </c>
      <c r="O133" s="38">
        <v>0</v>
      </c>
      <c r="P133" s="38">
        <v>0</v>
      </c>
      <c r="Q133" s="38">
        <v>0</v>
      </c>
      <c r="R133" s="22"/>
    </row>
    <row r="134" spans="2:18" x14ac:dyDescent="0.15">
      <c r="B134" s="26">
        <f t="shared" si="9"/>
        <v>132</v>
      </c>
      <c r="C134" s="22" t="s">
        <v>381</v>
      </c>
      <c r="D134" s="26" t="s">
        <v>179</v>
      </c>
      <c r="E134" s="38">
        <f t="shared" si="10"/>
        <v>0</v>
      </c>
      <c r="F134" s="38">
        <v>0</v>
      </c>
      <c r="G134" s="38">
        <v>0</v>
      </c>
      <c r="H134" s="38">
        <v>0</v>
      </c>
      <c r="I134" s="38">
        <v>0</v>
      </c>
      <c r="J134" s="38">
        <v>0</v>
      </c>
      <c r="K134" s="38">
        <v>0</v>
      </c>
      <c r="L134" s="38">
        <v>0</v>
      </c>
      <c r="M134" s="38">
        <v>0</v>
      </c>
      <c r="N134" s="38">
        <v>0</v>
      </c>
      <c r="O134" s="38">
        <v>0</v>
      </c>
      <c r="P134" s="38">
        <v>0</v>
      </c>
      <c r="Q134" s="38">
        <v>0</v>
      </c>
      <c r="R134" s="22"/>
    </row>
    <row r="135" spans="2:18" x14ac:dyDescent="0.15">
      <c r="B135" s="26">
        <f t="shared" si="9"/>
        <v>133</v>
      </c>
      <c r="C135" s="22" t="s">
        <v>350</v>
      </c>
      <c r="D135" s="26" t="s">
        <v>178</v>
      </c>
      <c r="E135" s="38">
        <f t="shared" si="10"/>
        <v>0</v>
      </c>
      <c r="F135" s="38">
        <v>0</v>
      </c>
      <c r="G135" s="38">
        <v>0</v>
      </c>
      <c r="H135" s="38">
        <v>0</v>
      </c>
      <c r="I135" s="38">
        <v>0</v>
      </c>
      <c r="J135" s="38">
        <v>0</v>
      </c>
      <c r="K135" s="38">
        <v>0</v>
      </c>
      <c r="L135" s="38">
        <v>0</v>
      </c>
      <c r="M135" s="38">
        <v>0</v>
      </c>
      <c r="N135" s="38">
        <v>0</v>
      </c>
      <c r="O135" s="38">
        <v>0</v>
      </c>
      <c r="P135" s="38">
        <v>0</v>
      </c>
      <c r="Q135" s="38">
        <v>0</v>
      </c>
      <c r="R135" s="22"/>
    </row>
    <row r="136" spans="2:18" ht="16.5" x14ac:dyDescent="0.15">
      <c r="B136" s="26">
        <f t="shared" si="9"/>
        <v>134</v>
      </c>
      <c r="C136" s="22" t="s">
        <v>262</v>
      </c>
      <c r="D136" s="26" t="s">
        <v>176</v>
      </c>
      <c r="E136" s="38">
        <f t="shared" si="10"/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22"/>
    </row>
    <row r="137" spans="2:18" x14ac:dyDescent="0.15">
      <c r="B137" s="26">
        <f t="shared" si="9"/>
        <v>135</v>
      </c>
      <c r="C137" s="22" t="s">
        <v>429</v>
      </c>
      <c r="D137" s="26" t="s">
        <v>178</v>
      </c>
      <c r="E137" s="38">
        <f t="shared" si="10"/>
        <v>0</v>
      </c>
      <c r="F137" s="38">
        <v>0</v>
      </c>
      <c r="G137" s="38">
        <v>0</v>
      </c>
      <c r="H137" s="38">
        <v>0</v>
      </c>
      <c r="I137" s="38">
        <v>0</v>
      </c>
      <c r="J137" s="38">
        <v>0</v>
      </c>
      <c r="K137" s="38">
        <v>0</v>
      </c>
      <c r="L137" s="38">
        <v>0</v>
      </c>
      <c r="M137" s="38">
        <v>0</v>
      </c>
      <c r="N137" s="38">
        <v>0</v>
      </c>
      <c r="O137" s="38">
        <v>0</v>
      </c>
      <c r="P137" s="38">
        <v>0</v>
      </c>
      <c r="Q137" s="38">
        <v>0</v>
      </c>
      <c r="R137" s="22"/>
    </row>
    <row r="138" spans="2:18" x14ac:dyDescent="0.15">
      <c r="B138" s="26">
        <f t="shared" si="9"/>
        <v>136</v>
      </c>
      <c r="C138" s="22" t="s">
        <v>423</v>
      </c>
      <c r="D138" s="26" t="s">
        <v>178</v>
      </c>
      <c r="E138" s="38">
        <f t="shared" si="10"/>
        <v>0</v>
      </c>
      <c r="F138" s="38">
        <v>0</v>
      </c>
      <c r="G138" s="38">
        <v>0</v>
      </c>
      <c r="H138" s="38">
        <v>0</v>
      </c>
      <c r="I138" s="38">
        <v>0</v>
      </c>
      <c r="J138" s="38">
        <v>0</v>
      </c>
      <c r="K138" s="38">
        <v>0</v>
      </c>
      <c r="L138" s="38">
        <v>0</v>
      </c>
      <c r="M138" s="38">
        <v>0</v>
      </c>
      <c r="N138" s="38">
        <v>0</v>
      </c>
      <c r="O138" s="38">
        <v>0</v>
      </c>
      <c r="P138" s="38">
        <v>0</v>
      </c>
      <c r="Q138" s="38">
        <v>0</v>
      </c>
      <c r="R138" s="22"/>
    </row>
    <row r="139" spans="2:18" x14ac:dyDescent="0.15">
      <c r="B139" s="26">
        <f t="shared" si="9"/>
        <v>137</v>
      </c>
      <c r="C139" s="22" t="s">
        <v>362</v>
      </c>
      <c r="D139" s="26" t="s">
        <v>178</v>
      </c>
      <c r="E139" s="38">
        <f t="shared" si="10"/>
        <v>0</v>
      </c>
      <c r="F139" s="38">
        <v>0</v>
      </c>
      <c r="G139" s="38">
        <v>0</v>
      </c>
      <c r="H139" s="38">
        <v>0</v>
      </c>
      <c r="I139" s="38">
        <v>0</v>
      </c>
      <c r="J139" s="38">
        <v>0</v>
      </c>
      <c r="K139" s="38">
        <v>0</v>
      </c>
      <c r="L139" s="38">
        <v>0</v>
      </c>
      <c r="M139" s="38">
        <v>0</v>
      </c>
      <c r="N139" s="38">
        <v>0</v>
      </c>
      <c r="O139" s="38">
        <v>0</v>
      </c>
      <c r="P139" s="38">
        <v>0</v>
      </c>
      <c r="Q139" s="38">
        <v>0</v>
      </c>
      <c r="R139" s="22"/>
    </row>
    <row r="140" spans="2:18" x14ac:dyDescent="0.15">
      <c r="B140" s="26">
        <f t="shared" si="9"/>
        <v>138</v>
      </c>
      <c r="C140" s="22" t="s">
        <v>133</v>
      </c>
      <c r="D140" s="26" t="s">
        <v>176</v>
      </c>
      <c r="E140" s="38">
        <f t="shared" si="10"/>
        <v>0</v>
      </c>
      <c r="F140" s="38">
        <v>0</v>
      </c>
      <c r="G140" s="38">
        <v>0</v>
      </c>
      <c r="H140" s="38">
        <v>0</v>
      </c>
      <c r="I140" s="38">
        <v>0</v>
      </c>
      <c r="J140" s="38">
        <v>0</v>
      </c>
      <c r="K140" s="38">
        <v>0</v>
      </c>
      <c r="L140" s="38">
        <v>0</v>
      </c>
      <c r="M140" s="38">
        <v>0</v>
      </c>
      <c r="N140" s="38">
        <v>0</v>
      </c>
      <c r="O140" s="38">
        <v>0</v>
      </c>
      <c r="P140" s="38">
        <v>0</v>
      </c>
      <c r="Q140" s="38">
        <v>0</v>
      </c>
      <c r="R140" s="22"/>
    </row>
    <row r="141" spans="2:18" x14ac:dyDescent="0.15">
      <c r="B141" s="26">
        <f t="shared" si="9"/>
        <v>139</v>
      </c>
      <c r="C141" s="22" t="s">
        <v>332</v>
      </c>
      <c r="D141" s="26" t="s">
        <v>178</v>
      </c>
      <c r="E141" s="38">
        <f t="shared" si="10"/>
        <v>0</v>
      </c>
      <c r="F141" s="38">
        <v>0</v>
      </c>
      <c r="G141" s="38">
        <v>0</v>
      </c>
      <c r="H141" s="38">
        <v>0</v>
      </c>
      <c r="I141" s="38">
        <v>0</v>
      </c>
      <c r="J141" s="38">
        <v>0</v>
      </c>
      <c r="K141" s="38">
        <v>0</v>
      </c>
      <c r="L141" s="38">
        <v>0</v>
      </c>
      <c r="M141" s="38">
        <v>0</v>
      </c>
      <c r="N141" s="38">
        <v>0</v>
      </c>
      <c r="O141" s="38">
        <v>0</v>
      </c>
      <c r="P141" s="38">
        <v>0</v>
      </c>
      <c r="Q141" s="38">
        <v>0</v>
      </c>
      <c r="R141" s="22"/>
    </row>
    <row r="142" spans="2:18" x14ac:dyDescent="0.15">
      <c r="B142" s="26">
        <f t="shared" si="9"/>
        <v>140</v>
      </c>
      <c r="C142" s="22" t="s">
        <v>184</v>
      </c>
      <c r="D142" s="26" t="s">
        <v>178</v>
      </c>
      <c r="E142" s="38">
        <f t="shared" si="10"/>
        <v>0</v>
      </c>
      <c r="F142" s="38">
        <v>0</v>
      </c>
      <c r="G142" s="38">
        <v>0</v>
      </c>
      <c r="H142" s="38">
        <v>0</v>
      </c>
      <c r="I142" s="38">
        <v>0</v>
      </c>
      <c r="J142" s="38">
        <v>0</v>
      </c>
      <c r="K142" s="38">
        <v>0</v>
      </c>
      <c r="L142" s="38">
        <v>0</v>
      </c>
      <c r="M142" s="38">
        <v>0</v>
      </c>
      <c r="N142" s="38">
        <v>0</v>
      </c>
      <c r="O142" s="38">
        <v>0</v>
      </c>
      <c r="P142" s="38">
        <v>0</v>
      </c>
      <c r="Q142" s="38">
        <v>0</v>
      </c>
      <c r="R142" s="22"/>
    </row>
    <row r="143" spans="2:18" x14ac:dyDescent="0.15">
      <c r="B143" s="26">
        <f t="shared" si="9"/>
        <v>141</v>
      </c>
      <c r="C143" s="22" t="s">
        <v>127</v>
      </c>
      <c r="D143" s="26" t="s">
        <v>176</v>
      </c>
      <c r="E143" s="38">
        <f t="shared" si="10"/>
        <v>0</v>
      </c>
      <c r="F143" s="38">
        <v>0</v>
      </c>
      <c r="G143" s="38">
        <v>0</v>
      </c>
      <c r="H143" s="38">
        <v>0</v>
      </c>
      <c r="I143" s="38">
        <v>0</v>
      </c>
      <c r="J143" s="38">
        <v>0</v>
      </c>
      <c r="K143" s="38">
        <v>0</v>
      </c>
      <c r="L143" s="38">
        <v>0</v>
      </c>
      <c r="M143" s="38">
        <v>0</v>
      </c>
      <c r="N143" s="38">
        <v>0</v>
      </c>
      <c r="O143" s="38">
        <v>0</v>
      </c>
      <c r="P143" s="38">
        <v>0</v>
      </c>
      <c r="Q143" s="38">
        <v>0</v>
      </c>
      <c r="R143" s="22"/>
    </row>
    <row r="144" spans="2:18" x14ac:dyDescent="0.15">
      <c r="B144" s="26">
        <f t="shared" si="9"/>
        <v>142</v>
      </c>
      <c r="C144" s="22" t="s">
        <v>338</v>
      </c>
      <c r="D144" s="26" t="s">
        <v>178</v>
      </c>
      <c r="E144" s="38">
        <f t="shared" si="10"/>
        <v>0</v>
      </c>
      <c r="F144" s="38">
        <v>0</v>
      </c>
      <c r="G144" s="38">
        <v>0</v>
      </c>
      <c r="H144" s="38">
        <v>0</v>
      </c>
      <c r="I144" s="38">
        <v>0</v>
      </c>
      <c r="J144" s="38">
        <v>0</v>
      </c>
      <c r="K144" s="38">
        <v>0</v>
      </c>
      <c r="L144" s="38">
        <v>0</v>
      </c>
      <c r="M144" s="38">
        <v>0</v>
      </c>
      <c r="N144" s="38">
        <v>0</v>
      </c>
      <c r="O144" s="38">
        <v>0</v>
      </c>
      <c r="P144" s="38">
        <v>0</v>
      </c>
      <c r="Q144" s="38">
        <v>0</v>
      </c>
      <c r="R144" s="22"/>
    </row>
    <row r="145" spans="2:18" x14ac:dyDescent="0.15">
      <c r="B145" s="26">
        <f t="shared" si="9"/>
        <v>143</v>
      </c>
      <c r="C145" s="22" t="s">
        <v>306</v>
      </c>
      <c r="D145" s="26" t="s">
        <v>178</v>
      </c>
      <c r="E145" s="38">
        <f t="shared" si="10"/>
        <v>0</v>
      </c>
      <c r="F145" s="38">
        <v>0</v>
      </c>
      <c r="G145" s="38">
        <v>0</v>
      </c>
      <c r="H145" s="38">
        <v>0</v>
      </c>
      <c r="I145" s="38">
        <v>0</v>
      </c>
      <c r="J145" s="38">
        <v>0</v>
      </c>
      <c r="K145" s="38">
        <v>0</v>
      </c>
      <c r="L145" s="38">
        <v>0</v>
      </c>
      <c r="M145" s="38">
        <v>0</v>
      </c>
      <c r="N145" s="38">
        <v>0</v>
      </c>
      <c r="O145" s="38">
        <v>0</v>
      </c>
      <c r="P145" s="38">
        <v>0</v>
      </c>
      <c r="Q145" s="38">
        <v>0</v>
      </c>
      <c r="R145" s="22"/>
    </row>
    <row r="146" spans="2:18" x14ac:dyDescent="0.15">
      <c r="B146" s="26">
        <f t="shared" si="9"/>
        <v>144</v>
      </c>
      <c r="C146" s="22" t="s">
        <v>345</v>
      </c>
      <c r="D146" s="26" t="s">
        <v>178</v>
      </c>
      <c r="E146" s="38">
        <f t="shared" si="10"/>
        <v>0</v>
      </c>
      <c r="F146" s="38">
        <v>0</v>
      </c>
      <c r="G146" s="38">
        <v>0</v>
      </c>
      <c r="H146" s="38">
        <v>0</v>
      </c>
      <c r="I146" s="38">
        <v>0</v>
      </c>
      <c r="J146" s="38">
        <v>0</v>
      </c>
      <c r="K146" s="38">
        <v>0</v>
      </c>
      <c r="L146" s="38">
        <v>0</v>
      </c>
      <c r="M146" s="38">
        <v>0</v>
      </c>
      <c r="N146" s="38">
        <v>0</v>
      </c>
      <c r="O146" s="38">
        <v>0</v>
      </c>
      <c r="P146" s="38">
        <v>0</v>
      </c>
      <c r="Q146" s="38">
        <v>0</v>
      </c>
      <c r="R146" s="22"/>
    </row>
    <row r="147" spans="2:18" x14ac:dyDescent="0.15">
      <c r="B147" s="26">
        <f t="shared" si="9"/>
        <v>145</v>
      </c>
      <c r="C147" s="22" t="s">
        <v>141</v>
      </c>
      <c r="D147" s="26" t="s">
        <v>176</v>
      </c>
      <c r="E147" s="38">
        <f t="shared" si="10"/>
        <v>0</v>
      </c>
      <c r="F147" s="38">
        <v>0</v>
      </c>
      <c r="G147" s="38">
        <v>0</v>
      </c>
      <c r="H147" s="38">
        <v>0</v>
      </c>
      <c r="I147" s="38">
        <v>0</v>
      </c>
      <c r="J147" s="38">
        <v>0</v>
      </c>
      <c r="K147" s="38">
        <v>0</v>
      </c>
      <c r="L147" s="38">
        <v>0</v>
      </c>
      <c r="M147" s="38">
        <v>0</v>
      </c>
      <c r="N147" s="38">
        <v>0</v>
      </c>
      <c r="O147" s="38">
        <v>0</v>
      </c>
      <c r="P147" s="38">
        <v>0</v>
      </c>
      <c r="Q147" s="38">
        <v>0</v>
      </c>
      <c r="R147" s="22"/>
    </row>
    <row r="148" spans="2:18" x14ac:dyDescent="0.15">
      <c r="B148" s="26">
        <f t="shared" si="9"/>
        <v>146</v>
      </c>
      <c r="C148" s="22" t="s">
        <v>317</v>
      </c>
      <c r="D148" s="26" t="s">
        <v>176</v>
      </c>
      <c r="E148" s="38">
        <f t="shared" si="10"/>
        <v>0</v>
      </c>
      <c r="F148" s="38">
        <v>0</v>
      </c>
      <c r="G148" s="38">
        <v>0</v>
      </c>
      <c r="H148" s="38">
        <v>0</v>
      </c>
      <c r="I148" s="38">
        <v>0</v>
      </c>
      <c r="J148" s="38">
        <v>0</v>
      </c>
      <c r="K148" s="38">
        <v>0</v>
      </c>
      <c r="L148" s="38">
        <v>0</v>
      </c>
      <c r="M148" s="38">
        <v>0</v>
      </c>
      <c r="N148" s="38">
        <v>0</v>
      </c>
      <c r="O148" s="38">
        <v>0</v>
      </c>
      <c r="P148" s="38">
        <v>0</v>
      </c>
      <c r="Q148" s="38">
        <v>0</v>
      </c>
      <c r="R148" s="22"/>
    </row>
    <row r="149" spans="2:18" x14ac:dyDescent="0.15">
      <c r="B149" s="26">
        <f t="shared" si="9"/>
        <v>147</v>
      </c>
      <c r="C149" s="22" t="s">
        <v>308</v>
      </c>
      <c r="D149" s="26" t="s">
        <v>178</v>
      </c>
      <c r="E149" s="38">
        <f t="shared" si="10"/>
        <v>0</v>
      </c>
      <c r="F149" s="38">
        <v>0</v>
      </c>
      <c r="G149" s="38">
        <v>0</v>
      </c>
      <c r="H149" s="38">
        <v>0</v>
      </c>
      <c r="I149" s="38">
        <v>0</v>
      </c>
      <c r="J149" s="38">
        <v>0</v>
      </c>
      <c r="K149" s="38">
        <v>0</v>
      </c>
      <c r="L149" s="38">
        <v>0</v>
      </c>
      <c r="M149" s="38">
        <v>0</v>
      </c>
      <c r="N149" s="38">
        <v>0</v>
      </c>
      <c r="O149" s="38">
        <v>0</v>
      </c>
      <c r="P149" s="38">
        <v>0</v>
      </c>
      <c r="Q149" s="38">
        <v>0</v>
      </c>
      <c r="R149" s="22"/>
    </row>
    <row r="150" spans="2:18" x14ac:dyDescent="0.15">
      <c r="B150" s="26">
        <f t="shared" si="9"/>
        <v>148</v>
      </c>
      <c r="C150" s="22" t="s">
        <v>159</v>
      </c>
      <c r="D150" s="26" t="s">
        <v>178</v>
      </c>
      <c r="E150" s="38">
        <f t="shared" si="10"/>
        <v>0</v>
      </c>
      <c r="F150" s="38">
        <v>0</v>
      </c>
      <c r="G150" s="38">
        <v>0</v>
      </c>
      <c r="H150" s="38">
        <v>0</v>
      </c>
      <c r="I150" s="38">
        <v>0</v>
      </c>
      <c r="J150" s="38">
        <v>0</v>
      </c>
      <c r="K150" s="38">
        <v>0</v>
      </c>
      <c r="L150" s="38">
        <v>0</v>
      </c>
      <c r="M150" s="38">
        <v>0</v>
      </c>
      <c r="N150" s="38">
        <v>0</v>
      </c>
      <c r="O150" s="38">
        <v>0</v>
      </c>
      <c r="P150" s="38">
        <v>0</v>
      </c>
      <c r="Q150" s="38">
        <v>0</v>
      </c>
      <c r="R150" s="22"/>
    </row>
    <row r="151" spans="2:18" x14ac:dyDescent="0.15">
      <c r="B151" s="26">
        <f t="shared" si="9"/>
        <v>149</v>
      </c>
      <c r="C151" s="22" t="s">
        <v>19</v>
      </c>
      <c r="D151" s="26" t="s">
        <v>177</v>
      </c>
      <c r="E151" s="38">
        <f t="shared" si="10"/>
        <v>0</v>
      </c>
      <c r="F151" s="38">
        <v>0</v>
      </c>
      <c r="G151" s="38">
        <v>0</v>
      </c>
      <c r="H151" s="38">
        <v>0</v>
      </c>
      <c r="I151" s="38">
        <v>0</v>
      </c>
      <c r="J151" s="38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22"/>
    </row>
    <row r="152" spans="2:18" x14ac:dyDescent="0.15">
      <c r="B152" s="26">
        <f t="shared" si="9"/>
        <v>150</v>
      </c>
      <c r="C152" s="22" t="s">
        <v>166</v>
      </c>
      <c r="D152" s="26" t="s">
        <v>178</v>
      </c>
      <c r="E152" s="38">
        <f t="shared" si="10"/>
        <v>0</v>
      </c>
      <c r="F152" s="38">
        <v>0</v>
      </c>
      <c r="G152" s="38">
        <v>0</v>
      </c>
      <c r="H152" s="38">
        <v>0</v>
      </c>
      <c r="I152" s="38">
        <v>0</v>
      </c>
      <c r="J152" s="38">
        <v>0</v>
      </c>
      <c r="K152" s="38">
        <v>0</v>
      </c>
      <c r="L152" s="38">
        <v>0</v>
      </c>
      <c r="M152" s="38">
        <v>0</v>
      </c>
      <c r="N152" s="38">
        <v>0</v>
      </c>
      <c r="O152" s="38">
        <v>0</v>
      </c>
      <c r="P152" s="38">
        <v>0</v>
      </c>
      <c r="Q152" s="38">
        <v>0</v>
      </c>
      <c r="R152" s="22"/>
    </row>
    <row r="153" spans="2:18" x14ac:dyDescent="0.15">
      <c r="B153" s="26">
        <f t="shared" si="9"/>
        <v>151</v>
      </c>
      <c r="C153" s="22" t="s">
        <v>22</v>
      </c>
      <c r="D153" s="26" t="s">
        <v>178</v>
      </c>
      <c r="E153" s="38">
        <f t="shared" si="10"/>
        <v>0</v>
      </c>
      <c r="F153" s="38">
        <v>0</v>
      </c>
      <c r="G153" s="38">
        <v>0</v>
      </c>
      <c r="H153" s="38">
        <v>0</v>
      </c>
      <c r="I153" s="38">
        <v>0</v>
      </c>
      <c r="J153" s="38">
        <v>0</v>
      </c>
      <c r="K153" s="38">
        <v>0</v>
      </c>
      <c r="L153" s="38">
        <v>0</v>
      </c>
      <c r="M153" s="38">
        <v>0</v>
      </c>
      <c r="N153" s="38">
        <v>0</v>
      </c>
      <c r="O153" s="38">
        <v>0</v>
      </c>
      <c r="P153" s="38">
        <v>0</v>
      </c>
      <c r="Q153" s="38">
        <v>0</v>
      </c>
      <c r="R153" s="22"/>
    </row>
    <row r="154" spans="2:18" x14ac:dyDescent="0.15">
      <c r="B154" s="26">
        <f t="shared" si="9"/>
        <v>152</v>
      </c>
      <c r="C154" s="22" t="s">
        <v>20</v>
      </c>
      <c r="D154" s="26" t="s">
        <v>177</v>
      </c>
      <c r="E154" s="38">
        <f t="shared" si="10"/>
        <v>0</v>
      </c>
      <c r="F154" s="38">
        <v>0</v>
      </c>
      <c r="G154" s="38">
        <v>0</v>
      </c>
      <c r="H154" s="38">
        <v>0</v>
      </c>
      <c r="I154" s="38">
        <v>0</v>
      </c>
      <c r="J154" s="38">
        <v>0</v>
      </c>
      <c r="K154" s="38">
        <v>0</v>
      </c>
      <c r="L154" s="38">
        <v>0</v>
      </c>
      <c r="M154" s="38">
        <v>0</v>
      </c>
      <c r="N154" s="38">
        <v>0</v>
      </c>
      <c r="O154" s="38">
        <v>0</v>
      </c>
      <c r="P154" s="38">
        <v>0</v>
      </c>
      <c r="Q154" s="38">
        <v>0</v>
      </c>
      <c r="R154" s="22"/>
    </row>
    <row r="155" spans="2:18" x14ac:dyDescent="0.15">
      <c r="B155" s="26">
        <f t="shared" si="9"/>
        <v>153</v>
      </c>
      <c r="C155" s="22" t="s">
        <v>165</v>
      </c>
      <c r="D155" s="26" t="s">
        <v>176</v>
      </c>
      <c r="E155" s="38">
        <f t="shared" si="10"/>
        <v>0</v>
      </c>
      <c r="F155" s="38">
        <v>0</v>
      </c>
      <c r="G155" s="38">
        <v>0</v>
      </c>
      <c r="H155" s="38">
        <v>0</v>
      </c>
      <c r="I155" s="38">
        <v>0</v>
      </c>
      <c r="J155" s="38">
        <v>0</v>
      </c>
      <c r="K155" s="38">
        <v>0</v>
      </c>
      <c r="L155" s="38">
        <v>0</v>
      </c>
      <c r="M155" s="38">
        <v>0</v>
      </c>
      <c r="N155" s="38">
        <v>0</v>
      </c>
      <c r="O155" s="38">
        <v>0</v>
      </c>
      <c r="P155" s="38">
        <v>0</v>
      </c>
      <c r="Q155" s="38">
        <v>0</v>
      </c>
      <c r="R155" s="22"/>
    </row>
    <row r="156" spans="2:18" x14ac:dyDescent="0.15">
      <c r="B156" s="26">
        <f t="shared" si="9"/>
        <v>154</v>
      </c>
      <c r="C156" s="22" t="s">
        <v>172</v>
      </c>
      <c r="D156" s="26" t="s">
        <v>178</v>
      </c>
      <c r="E156" s="38">
        <f t="shared" si="10"/>
        <v>0</v>
      </c>
      <c r="F156" s="38">
        <v>0</v>
      </c>
      <c r="G156" s="38">
        <v>0</v>
      </c>
      <c r="H156" s="38">
        <v>0</v>
      </c>
      <c r="I156" s="38">
        <v>0</v>
      </c>
      <c r="J156" s="38">
        <v>0</v>
      </c>
      <c r="K156" s="38">
        <v>0</v>
      </c>
      <c r="L156" s="38">
        <v>0</v>
      </c>
      <c r="M156" s="38">
        <v>0</v>
      </c>
      <c r="N156" s="38">
        <v>0</v>
      </c>
      <c r="O156" s="38">
        <v>0</v>
      </c>
      <c r="P156" s="38">
        <v>0</v>
      </c>
      <c r="Q156" s="38">
        <v>0</v>
      </c>
      <c r="R156" s="22"/>
    </row>
    <row r="157" spans="2:18" x14ac:dyDescent="0.15">
      <c r="B157" s="26">
        <f t="shared" si="9"/>
        <v>155</v>
      </c>
      <c r="C157" s="22" t="s">
        <v>149</v>
      </c>
      <c r="D157" s="26" t="s">
        <v>178</v>
      </c>
      <c r="E157" s="38">
        <f t="shared" si="10"/>
        <v>0</v>
      </c>
      <c r="F157" s="38">
        <v>0</v>
      </c>
      <c r="G157" s="38">
        <v>0</v>
      </c>
      <c r="H157" s="38">
        <v>0</v>
      </c>
      <c r="I157" s="38">
        <v>0</v>
      </c>
      <c r="J157" s="38">
        <v>0</v>
      </c>
      <c r="K157" s="38">
        <v>0</v>
      </c>
      <c r="L157" s="38">
        <v>0</v>
      </c>
      <c r="M157" s="38">
        <v>0</v>
      </c>
      <c r="N157" s="38">
        <v>0</v>
      </c>
      <c r="O157" s="38">
        <v>0</v>
      </c>
      <c r="P157" s="38">
        <v>0</v>
      </c>
      <c r="Q157" s="38">
        <v>0</v>
      </c>
      <c r="R157" s="22"/>
    </row>
    <row r="158" spans="2:18" x14ac:dyDescent="0.15">
      <c r="B158" s="26">
        <f t="shared" si="9"/>
        <v>156</v>
      </c>
      <c r="C158" s="22" t="s">
        <v>170</v>
      </c>
      <c r="D158" s="26" t="s">
        <v>177</v>
      </c>
      <c r="E158" s="38">
        <f t="shared" si="10"/>
        <v>0</v>
      </c>
      <c r="F158" s="38">
        <v>0</v>
      </c>
      <c r="G158" s="38">
        <v>0</v>
      </c>
      <c r="H158" s="38">
        <v>0</v>
      </c>
      <c r="I158" s="38">
        <v>0</v>
      </c>
      <c r="J158" s="38">
        <v>0</v>
      </c>
      <c r="K158" s="38">
        <v>0</v>
      </c>
      <c r="L158" s="38">
        <v>0</v>
      </c>
      <c r="M158" s="38">
        <v>0</v>
      </c>
      <c r="N158" s="38">
        <v>0</v>
      </c>
      <c r="O158" s="38">
        <v>0</v>
      </c>
      <c r="P158" s="38">
        <v>0</v>
      </c>
      <c r="Q158" s="38">
        <v>0</v>
      </c>
      <c r="R158" s="22"/>
    </row>
    <row r="159" spans="2:18" x14ac:dyDescent="0.15">
      <c r="B159" s="26">
        <f t="shared" si="9"/>
        <v>157</v>
      </c>
      <c r="C159" s="22" t="s">
        <v>164</v>
      </c>
      <c r="D159" s="26" t="s">
        <v>176</v>
      </c>
      <c r="E159" s="38">
        <f t="shared" si="10"/>
        <v>0</v>
      </c>
      <c r="F159" s="38">
        <v>0</v>
      </c>
      <c r="G159" s="38">
        <v>0</v>
      </c>
      <c r="H159" s="38">
        <v>0</v>
      </c>
      <c r="I159" s="38">
        <v>0</v>
      </c>
      <c r="J159" s="38">
        <v>0</v>
      </c>
      <c r="K159" s="38">
        <v>0</v>
      </c>
      <c r="L159" s="38">
        <v>0</v>
      </c>
      <c r="M159" s="38">
        <v>0</v>
      </c>
      <c r="N159" s="38">
        <v>0</v>
      </c>
      <c r="O159" s="38">
        <v>0</v>
      </c>
      <c r="P159" s="38">
        <v>0</v>
      </c>
      <c r="Q159" s="38">
        <v>0</v>
      </c>
      <c r="R159" s="22"/>
    </row>
    <row r="160" spans="2:18" x14ac:dyDescent="0.15">
      <c r="B160" s="26">
        <f t="shared" si="9"/>
        <v>158</v>
      </c>
      <c r="C160" s="22" t="s">
        <v>174</v>
      </c>
      <c r="D160" s="26" t="s">
        <v>178</v>
      </c>
      <c r="E160" s="38">
        <f t="shared" si="10"/>
        <v>0</v>
      </c>
      <c r="F160" s="38">
        <v>0</v>
      </c>
      <c r="G160" s="38">
        <v>0</v>
      </c>
      <c r="H160" s="38">
        <v>0</v>
      </c>
      <c r="I160" s="38">
        <v>0</v>
      </c>
      <c r="J160" s="38">
        <v>0</v>
      </c>
      <c r="K160" s="38">
        <v>0</v>
      </c>
      <c r="L160" s="38">
        <v>0</v>
      </c>
      <c r="M160" s="38">
        <v>0</v>
      </c>
      <c r="N160" s="38">
        <v>0</v>
      </c>
      <c r="O160" s="38">
        <v>0</v>
      </c>
      <c r="P160" s="38">
        <v>0</v>
      </c>
      <c r="Q160" s="38">
        <v>0</v>
      </c>
      <c r="R160" s="22"/>
    </row>
    <row r="161" spans="2:18" x14ac:dyDescent="0.15">
      <c r="B161" s="26">
        <f t="shared" si="9"/>
        <v>159</v>
      </c>
      <c r="C161" s="22" t="s">
        <v>118</v>
      </c>
      <c r="D161" s="26" t="s">
        <v>176</v>
      </c>
      <c r="E161" s="38">
        <f t="shared" si="10"/>
        <v>0</v>
      </c>
      <c r="F161" s="38">
        <v>0</v>
      </c>
      <c r="G161" s="38">
        <v>0</v>
      </c>
      <c r="H161" s="38">
        <v>0</v>
      </c>
      <c r="I161" s="38">
        <v>0</v>
      </c>
      <c r="J161" s="38">
        <v>0</v>
      </c>
      <c r="K161" s="38">
        <v>0</v>
      </c>
      <c r="L161" s="38">
        <v>0</v>
      </c>
      <c r="M161" s="38">
        <v>0</v>
      </c>
      <c r="N161" s="38">
        <v>0</v>
      </c>
      <c r="O161" s="38">
        <v>0</v>
      </c>
      <c r="P161" s="38">
        <v>0</v>
      </c>
      <c r="Q161" s="38">
        <v>0</v>
      </c>
      <c r="R161" s="22"/>
    </row>
    <row r="162" spans="2:18" x14ac:dyDescent="0.15">
      <c r="B162" s="26">
        <f t="shared" si="9"/>
        <v>160</v>
      </c>
      <c r="C162" s="22" t="s">
        <v>107</v>
      </c>
      <c r="D162" s="26" t="s">
        <v>176</v>
      </c>
      <c r="E162" s="38">
        <f t="shared" si="10"/>
        <v>0</v>
      </c>
      <c r="F162" s="38">
        <v>0</v>
      </c>
      <c r="G162" s="38">
        <v>0</v>
      </c>
      <c r="H162" s="38">
        <v>0</v>
      </c>
      <c r="I162" s="38">
        <v>0</v>
      </c>
      <c r="J162" s="38">
        <v>0</v>
      </c>
      <c r="K162" s="38">
        <v>0</v>
      </c>
      <c r="L162" s="38">
        <v>0</v>
      </c>
      <c r="M162" s="38">
        <v>0</v>
      </c>
      <c r="N162" s="38">
        <v>0</v>
      </c>
      <c r="O162" s="38">
        <v>0</v>
      </c>
      <c r="P162" s="38">
        <v>0</v>
      </c>
      <c r="Q162" s="38">
        <v>0</v>
      </c>
      <c r="R162" s="22"/>
    </row>
    <row r="163" spans="2:18" x14ac:dyDescent="0.15">
      <c r="B163" s="26">
        <f t="shared" ref="B163:B199" si="11">ROW()-2</f>
        <v>161</v>
      </c>
      <c r="C163" s="22" t="s">
        <v>163</v>
      </c>
      <c r="D163" s="26" t="s">
        <v>177</v>
      </c>
      <c r="E163" s="38">
        <f t="shared" ref="E163:E186" si="12">SUM(F163:Q163)</f>
        <v>0</v>
      </c>
      <c r="F163" s="38">
        <v>0</v>
      </c>
      <c r="G163" s="38">
        <v>0</v>
      </c>
      <c r="H163" s="38">
        <v>0</v>
      </c>
      <c r="I163" s="38">
        <v>0</v>
      </c>
      <c r="J163" s="38">
        <v>0</v>
      </c>
      <c r="K163" s="38">
        <v>0</v>
      </c>
      <c r="L163" s="38">
        <v>0</v>
      </c>
      <c r="M163" s="38">
        <v>0</v>
      </c>
      <c r="N163" s="38">
        <v>0</v>
      </c>
      <c r="O163" s="38">
        <v>0</v>
      </c>
      <c r="P163" s="38">
        <v>0</v>
      </c>
      <c r="Q163" s="38">
        <v>0</v>
      </c>
      <c r="R163" s="22"/>
    </row>
    <row r="164" spans="2:18" x14ac:dyDescent="0.15">
      <c r="B164" s="26">
        <f t="shared" si="11"/>
        <v>162</v>
      </c>
      <c r="C164" s="22" t="s">
        <v>150</v>
      </c>
      <c r="D164" s="26" t="s">
        <v>178</v>
      </c>
      <c r="E164" s="38">
        <f t="shared" si="12"/>
        <v>0</v>
      </c>
      <c r="F164" s="38">
        <v>0</v>
      </c>
      <c r="G164" s="38">
        <v>0</v>
      </c>
      <c r="H164" s="38">
        <v>0</v>
      </c>
      <c r="I164" s="38">
        <v>0</v>
      </c>
      <c r="J164" s="38">
        <v>0</v>
      </c>
      <c r="K164" s="38">
        <v>0</v>
      </c>
      <c r="L164" s="38">
        <v>0</v>
      </c>
      <c r="M164" s="38">
        <v>0</v>
      </c>
      <c r="N164" s="38">
        <v>0</v>
      </c>
      <c r="O164" s="38">
        <v>0</v>
      </c>
      <c r="P164" s="38">
        <v>0</v>
      </c>
      <c r="Q164" s="38">
        <v>0</v>
      </c>
      <c r="R164" s="22"/>
    </row>
    <row r="165" spans="2:18" x14ac:dyDescent="0.15">
      <c r="B165" s="26">
        <f t="shared" si="11"/>
        <v>163</v>
      </c>
      <c r="C165" s="22" t="s">
        <v>169</v>
      </c>
      <c r="D165" s="26" t="s">
        <v>178</v>
      </c>
      <c r="E165" s="38">
        <f t="shared" si="12"/>
        <v>0</v>
      </c>
      <c r="F165" s="38">
        <v>0</v>
      </c>
      <c r="G165" s="38">
        <v>0</v>
      </c>
      <c r="H165" s="38">
        <v>0</v>
      </c>
      <c r="I165" s="38">
        <v>0</v>
      </c>
      <c r="J165" s="38">
        <v>0</v>
      </c>
      <c r="K165" s="38">
        <v>0</v>
      </c>
      <c r="L165" s="38">
        <v>0</v>
      </c>
      <c r="M165" s="38">
        <v>0</v>
      </c>
      <c r="N165" s="38">
        <v>0</v>
      </c>
      <c r="O165" s="38">
        <v>0</v>
      </c>
      <c r="P165" s="38">
        <v>0</v>
      </c>
      <c r="Q165" s="38">
        <v>0</v>
      </c>
      <c r="R165" s="22"/>
    </row>
    <row r="166" spans="2:18" x14ac:dyDescent="0.15">
      <c r="B166" s="26">
        <f t="shared" si="11"/>
        <v>164</v>
      </c>
      <c r="C166" s="22" t="s">
        <v>171</v>
      </c>
      <c r="D166" s="26" t="s">
        <v>176</v>
      </c>
      <c r="E166" s="38">
        <f t="shared" si="12"/>
        <v>0</v>
      </c>
      <c r="F166" s="38">
        <v>0</v>
      </c>
      <c r="G166" s="38">
        <v>0</v>
      </c>
      <c r="H166" s="38">
        <v>0</v>
      </c>
      <c r="I166" s="38">
        <v>0</v>
      </c>
      <c r="J166" s="38">
        <v>0</v>
      </c>
      <c r="K166" s="38">
        <v>0</v>
      </c>
      <c r="L166" s="38">
        <v>0</v>
      </c>
      <c r="M166" s="38">
        <v>0</v>
      </c>
      <c r="N166" s="38">
        <v>0</v>
      </c>
      <c r="O166" s="38">
        <v>0</v>
      </c>
      <c r="P166" s="38">
        <v>0</v>
      </c>
      <c r="Q166" s="38">
        <v>0</v>
      </c>
      <c r="R166" s="22"/>
    </row>
    <row r="167" spans="2:18" x14ac:dyDescent="0.15">
      <c r="B167" s="26">
        <f t="shared" si="11"/>
        <v>165</v>
      </c>
      <c r="C167" s="22" t="s">
        <v>168</v>
      </c>
      <c r="D167" s="26" t="s">
        <v>176</v>
      </c>
      <c r="E167" s="38">
        <f t="shared" si="12"/>
        <v>0</v>
      </c>
      <c r="F167" s="38">
        <v>0</v>
      </c>
      <c r="G167" s="38">
        <v>0</v>
      </c>
      <c r="H167" s="38">
        <v>0</v>
      </c>
      <c r="I167" s="38">
        <v>0</v>
      </c>
      <c r="J167" s="38">
        <v>0</v>
      </c>
      <c r="K167" s="38">
        <v>0</v>
      </c>
      <c r="L167" s="38">
        <v>0</v>
      </c>
      <c r="M167" s="38">
        <v>0</v>
      </c>
      <c r="N167" s="38">
        <v>0</v>
      </c>
      <c r="O167" s="38">
        <v>0</v>
      </c>
      <c r="P167" s="38">
        <v>0</v>
      </c>
      <c r="Q167" s="38">
        <v>0</v>
      </c>
      <c r="R167" s="22"/>
    </row>
    <row r="168" spans="2:18" x14ac:dyDescent="0.15">
      <c r="B168" s="26">
        <f t="shared" si="11"/>
        <v>166</v>
      </c>
      <c r="C168" s="22" t="s">
        <v>17</v>
      </c>
      <c r="D168" s="26" t="s">
        <v>177</v>
      </c>
      <c r="E168" s="38">
        <f t="shared" si="12"/>
        <v>0</v>
      </c>
      <c r="F168" s="38">
        <v>0</v>
      </c>
      <c r="G168" s="38">
        <v>0</v>
      </c>
      <c r="H168" s="38">
        <v>0</v>
      </c>
      <c r="I168" s="38">
        <v>0</v>
      </c>
      <c r="J168" s="38">
        <v>0</v>
      </c>
      <c r="K168" s="38">
        <v>0</v>
      </c>
      <c r="L168" s="38">
        <v>0</v>
      </c>
      <c r="M168" s="38">
        <v>0</v>
      </c>
      <c r="N168" s="38">
        <v>0</v>
      </c>
      <c r="O168" s="38">
        <v>0</v>
      </c>
      <c r="P168" s="38">
        <v>0</v>
      </c>
      <c r="Q168" s="38">
        <v>0</v>
      </c>
      <c r="R168" s="22"/>
    </row>
    <row r="169" spans="2:18" x14ac:dyDescent="0.15">
      <c r="B169" s="26">
        <f t="shared" si="11"/>
        <v>167</v>
      </c>
      <c r="C169" s="22" t="s">
        <v>162</v>
      </c>
      <c r="D169" s="26" t="s">
        <v>177</v>
      </c>
      <c r="E169" s="38">
        <f t="shared" si="12"/>
        <v>0</v>
      </c>
      <c r="F169" s="38">
        <v>0</v>
      </c>
      <c r="G169" s="38">
        <v>0</v>
      </c>
      <c r="H169" s="38">
        <v>0</v>
      </c>
      <c r="I169" s="38">
        <v>0</v>
      </c>
      <c r="J169" s="38">
        <v>0</v>
      </c>
      <c r="K169" s="38">
        <v>0</v>
      </c>
      <c r="L169" s="38">
        <v>0</v>
      </c>
      <c r="M169" s="38">
        <v>0</v>
      </c>
      <c r="N169" s="38">
        <v>0</v>
      </c>
      <c r="O169" s="38">
        <v>0</v>
      </c>
      <c r="P169" s="38">
        <v>0</v>
      </c>
      <c r="Q169" s="38">
        <v>0</v>
      </c>
      <c r="R169" s="22"/>
    </row>
    <row r="170" spans="2:18" x14ac:dyDescent="0.15">
      <c r="B170" s="26">
        <f t="shared" si="11"/>
        <v>168</v>
      </c>
      <c r="C170" s="22" t="s">
        <v>161</v>
      </c>
      <c r="D170" s="26" t="s">
        <v>176</v>
      </c>
      <c r="E170" s="38">
        <f t="shared" si="12"/>
        <v>0</v>
      </c>
      <c r="F170" s="38">
        <v>0</v>
      </c>
      <c r="G170" s="38">
        <v>0</v>
      </c>
      <c r="H170" s="38">
        <v>0</v>
      </c>
      <c r="I170" s="38">
        <v>0</v>
      </c>
      <c r="J170" s="38">
        <v>0</v>
      </c>
      <c r="K170" s="38">
        <v>0</v>
      </c>
      <c r="L170" s="38">
        <v>0</v>
      </c>
      <c r="M170" s="38">
        <v>0</v>
      </c>
      <c r="N170" s="38">
        <v>0</v>
      </c>
      <c r="O170" s="38">
        <v>0</v>
      </c>
      <c r="P170" s="38">
        <v>0</v>
      </c>
      <c r="Q170" s="38">
        <v>0</v>
      </c>
      <c r="R170" s="22"/>
    </row>
    <row r="171" spans="2:18" x14ac:dyDescent="0.15">
      <c r="B171" s="26">
        <f t="shared" si="11"/>
        <v>169</v>
      </c>
      <c r="C171" s="22" t="s">
        <v>173</v>
      </c>
      <c r="D171" s="26" t="s">
        <v>178</v>
      </c>
      <c r="E171" s="38">
        <f t="shared" si="12"/>
        <v>0</v>
      </c>
      <c r="F171" s="38">
        <v>0</v>
      </c>
      <c r="G171" s="38">
        <v>0</v>
      </c>
      <c r="H171" s="38">
        <v>0</v>
      </c>
      <c r="I171" s="38">
        <v>0</v>
      </c>
      <c r="J171" s="38">
        <v>0</v>
      </c>
      <c r="K171" s="38">
        <v>0</v>
      </c>
      <c r="L171" s="38">
        <v>0</v>
      </c>
      <c r="M171" s="38">
        <v>0</v>
      </c>
      <c r="N171" s="38">
        <v>0</v>
      </c>
      <c r="O171" s="38">
        <v>0</v>
      </c>
      <c r="P171" s="38">
        <v>0</v>
      </c>
      <c r="Q171" s="38">
        <v>0</v>
      </c>
      <c r="R171" s="22"/>
    </row>
    <row r="172" spans="2:18" x14ac:dyDescent="0.15">
      <c r="B172" s="26">
        <f t="shared" si="11"/>
        <v>170</v>
      </c>
      <c r="C172" s="22" t="s">
        <v>167</v>
      </c>
      <c r="D172" s="26" t="s">
        <v>178</v>
      </c>
      <c r="E172" s="38">
        <f t="shared" si="12"/>
        <v>0</v>
      </c>
      <c r="F172" s="38">
        <v>0</v>
      </c>
      <c r="G172" s="38">
        <v>0</v>
      </c>
      <c r="H172" s="38">
        <v>0</v>
      </c>
      <c r="I172" s="38">
        <v>0</v>
      </c>
      <c r="J172" s="38">
        <v>0</v>
      </c>
      <c r="K172" s="38">
        <v>0</v>
      </c>
      <c r="L172" s="38">
        <v>0</v>
      </c>
      <c r="M172" s="38">
        <v>0</v>
      </c>
      <c r="N172" s="38">
        <v>0</v>
      </c>
      <c r="O172" s="38">
        <v>0</v>
      </c>
      <c r="P172" s="38">
        <v>0</v>
      </c>
      <c r="Q172" s="38">
        <v>0</v>
      </c>
      <c r="R172" s="22"/>
    </row>
    <row r="173" spans="2:18" x14ac:dyDescent="0.15">
      <c r="B173" s="26">
        <f t="shared" si="11"/>
        <v>171</v>
      </c>
      <c r="C173" s="22" t="s">
        <v>190</v>
      </c>
      <c r="D173" s="26" t="s">
        <v>206</v>
      </c>
      <c r="E173" s="38">
        <f t="shared" si="12"/>
        <v>0</v>
      </c>
      <c r="F173" s="38">
        <v>0</v>
      </c>
      <c r="G173" s="38">
        <v>0</v>
      </c>
      <c r="H173" s="38">
        <v>0</v>
      </c>
      <c r="I173" s="38">
        <v>0</v>
      </c>
      <c r="J173" s="38">
        <v>0</v>
      </c>
      <c r="K173" s="38">
        <v>0</v>
      </c>
      <c r="L173" s="38">
        <v>0</v>
      </c>
      <c r="M173" s="38">
        <v>0</v>
      </c>
      <c r="N173" s="38">
        <v>0</v>
      </c>
      <c r="O173" s="38">
        <v>0</v>
      </c>
      <c r="P173" s="38">
        <v>0</v>
      </c>
      <c r="Q173" s="38">
        <v>0</v>
      </c>
      <c r="R173" s="22"/>
    </row>
    <row r="174" spans="2:18" x14ac:dyDescent="0.15">
      <c r="B174" s="26">
        <f t="shared" si="11"/>
        <v>172</v>
      </c>
      <c r="C174" s="22" t="s">
        <v>122</v>
      </c>
      <c r="D174" s="26" t="s">
        <v>176</v>
      </c>
      <c r="E174" s="38">
        <f t="shared" si="12"/>
        <v>0</v>
      </c>
      <c r="F174" s="38">
        <v>0</v>
      </c>
      <c r="G174" s="38">
        <v>0</v>
      </c>
      <c r="H174" s="38">
        <v>0</v>
      </c>
      <c r="I174" s="38">
        <v>0</v>
      </c>
      <c r="J174" s="38">
        <v>0</v>
      </c>
      <c r="K174" s="38">
        <v>0</v>
      </c>
      <c r="L174" s="38">
        <v>0</v>
      </c>
      <c r="M174" s="38">
        <v>0</v>
      </c>
      <c r="N174" s="38">
        <v>0</v>
      </c>
      <c r="O174" s="38">
        <v>0</v>
      </c>
      <c r="P174" s="38">
        <v>0</v>
      </c>
      <c r="Q174" s="38">
        <v>0</v>
      </c>
      <c r="R174" s="22"/>
    </row>
    <row r="175" spans="2:18" x14ac:dyDescent="0.15">
      <c r="B175" s="26">
        <f t="shared" si="11"/>
        <v>173</v>
      </c>
      <c r="C175" s="22" t="s">
        <v>142</v>
      </c>
      <c r="D175" s="26" t="s">
        <v>176</v>
      </c>
      <c r="E175" s="38">
        <f t="shared" si="12"/>
        <v>0</v>
      </c>
      <c r="F175" s="38">
        <v>0</v>
      </c>
      <c r="G175" s="38">
        <v>0</v>
      </c>
      <c r="H175" s="38">
        <v>0</v>
      </c>
      <c r="I175" s="38">
        <v>0</v>
      </c>
      <c r="J175" s="38">
        <v>0</v>
      </c>
      <c r="K175" s="38">
        <v>0</v>
      </c>
      <c r="L175" s="38">
        <v>0</v>
      </c>
      <c r="M175" s="38">
        <v>0</v>
      </c>
      <c r="N175" s="38">
        <v>0</v>
      </c>
      <c r="O175" s="38">
        <v>0</v>
      </c>
      <c r="P175" s="38">
        <v>0</v>
      </c>
      <c r="Q175" s="38">
        <v>0</v>
      </c>
      <c r="R175" s="22"/>
    </row>
    <row r="176" spans="2:18" x14ac:dyDescent="0.15">
      <c r="B176" s="26">
        <f t="shared" si="11"/>
        <v>174</v>
      </c>
      <c r="C176" s="22" t="s">
        <v>145</v>
      </c>
      <c r="D176" s="26" t="s">
        <v>176</v>
      </c>
      <c r="E176" s="38">
        <f t="shared" si="12"/>
        <v>0</v>
      </c>
      <c r="F176" s="38">
        <v>0</v>
      </c>
      <c r="G176" s="38">
        <v>0</v>
      </c>
      <c r="H176" s="38">
        <v>0</v>
      </c>
      <c r="I176" s="38">
        <v>0</v>
      </c>
      <c r="J176" s="38">
        <v>0</v>
      </c>
      <c r="K176" s="38">
        <v>0</v>
      </c>
      <c r="L176" s="38">
        <v>0</v>
      </c>
      <c r="M176" s="38">
        <v>0</v>
      </c>
      <c r="N176" s="38">
        <v>0</v>
      </c>
      <c r="O176" s="38">
        <v>0</v>
      </c>
      <c r="P176" s="38">
        <v>0</v>
      </c>
      <c r="Q176" s="38">
        <v>0</v>
      </c>
      <c r="R176" s="22"/>
    </row>
    <row r="177" spans="2:18" x14ac:dyDescent="0.15">
      <c r="B177" s="26">
        <f t="shared" si="11"/>
        <v>175</v>
      </c>
      <c r="C177" s="22" t="s">
        <v>239</v>
      </c>
      <c r="D177" s="26" t="s">
        <v>176</v>
      </c>
      <c r="E177" s="38">
        <f t="shared" si="12"/>
        <v>0</v>
      </c>
      <c r="F177" s="38">
        <v>0</v>
      </c>
      <c r="G177" s="38">
        <v>0</v>
      </c>
      <c r="H177" s="38">
        <v>0</v>
      </c>
      <c r="I177" s="38">
        <v>0</v>
      </c>
      <c r="J177" s="38">
        <v>0</v>
      </c>
      <c r="K177" s="38">
        <v>0</v>
      </c>
      <c r="L177" s="38">
        <v>0</v>
      </c>
      <c r="M177" s="38">
        <v>0</v>
      </c>
      <c r="N177" s="38">
        <v>0</v>
      </c>
      <c r="O177" s="38">
        <v>0</v>
      </c>
      <c r="P177" s="38">
        <v>0</v>
      </c>
      <c r="Q177" s="38">
        <v>0</v>
      </c>
      <c r="R177" s="22"/>
    </row>
    <row r="178" spans="2:18" x14ac:dyDescent="0.15">
      <c r="B178" s="26">
        <f t="shared" si="11"/>
        <v>176</v>
      </c>
      <c r="C178" s="22" t="s">
        <v>282</v>
      </c>
      <c r="D178" s="26" t="s">
        <v>176</v>
      </c>
      <c r="E178" s="38">
        <f t="shared" si="12"/>
        <v>0</v>
      </c>
      <c r="F178" s="38">
        <v>0</v>
      </c>
      <c r="G178" s="38">
        <v>0</v>
      </c>
      <c r="H178" s="38">
        <v>0</v>
      </c>
      <c r="I178" s="38">
        <v>0</v>
      </c>
      <c r="J178" s="38">
        <v>0</v>
      </c>
      <c r="K178" s="38">
        <v>0</v>
      </c>
      <c r="L178" s="38">
        <v>0</v>
      </c>
      <c r="M178" s="38">
        <v>0</v>
      </c>
      <c r="N178" s="38">
        <v>0</v>
      </c>
      <c r="O178" s="38">
        <v>0</v>
      </c>
      <c r="P178" s="38">
        <v>0</v>
      </c>
      <c r="Q178" s="38">
        <v>0</v>
      </c>
      <c r="R178" s="22"/>
    </row>
    <row r="179" spans="2:18" x14ac:dyDescent="0.15">
      <c r="B179" s="26">
        <f t="shared" si="11"/>
        <v>177</v>
      </c>
      <c r="C179" s="22" t="s">
        <v>155</v>
      </c>
      <c r="D179" s="26" t="s">
        <v>204</v>
      </c>
      <c r="E179" s="38">
        <f t="shared" si="12"/>
        <v>0</v>
      </c>
      <c r="F179" s="38">
        <v>0</v>
      </c>
      <c r="G179" s="38">
        <v>0</v>
      </c>
      <c r="H179" s="38">
        <v>0</v>
      </c>
      <c r="I179" s="38">
        <v>0</v>
      </c>
      <c r="J179" s="38">
        <v>0</v>
      </c>
      <c r="K179" s="38">
        <v>0</v>
      </c>
      <c r="L179" s="38">
        <v>0</v>
      </c>
      <c r="M179" s="38">
        <v>0</v>
      </c>
      <c r="N179" s="38">
        <v>0</v>
      </c>
      <c r="O179" s="38">
        <v>0</v>
      </c>
      <c r="P179" s="38">
        <v>0</v>
      </c>
      <c r="Q179" s="38">
        <v>0</v>
      </c>
      <c r="R179" s="22"/>
    </row>
    <row r="180" spans="2:18" x14ac:dyDescent="0.15">
      <c r="B180" s="26">
        <f t="shared" si="11"/>
        <v>178</v>
      </c>
      <c r="C180" s="22" t="s">
        <v>160</v>
      </c>
      <c r="D180" s="26" t="s">
        <v>176</v>
      </c>
      <c r="E180" s="38">
        <f t="shared" si="12"/>
        <v>0</v>
      </c>
      <c r="F180" s="38">
        <v>0</v>
      </c>
      <c r="G180" s="38">
        <v>0</v>
      </c>
      <c r="H180" s="38">
        <v>0</v>
      </c>
      <c r="I180" s="38">
        <v>0</v>
      </c>
      <c r="J180" s="38">
        <v>0</v>
      </c>
      <c r="K180" s="38">
        <v>0</v>
      </c>
      <c r="L180" s="38">
        <v>0</v>
      </c>
      <c r="M180" s="38">
        <v>0</v>
      </c>
      <c r="N180" s="38">
        <v>0</v>
      </c>
      <c r="O180" s="38">
        <v>0</v>
      </c>
      <c r="P180" s="38">
        <v>0</v>
      </c>
      <c r="Q180" s="38">
        <v>0</v>
      </c>
      <c r="R180" s="22"/>
    </row>
    <row r="181" spans="2:18" x14ac:dyDescent="0.15">
      <c r="B181" s="26">
        <f t="shared" si="11"/>
        <v>179</v>
      </c>
      <c r="C181" s="22" t="s">
        <v>189</v>
      </c>
      <c r="D181" s="26" t="s">
        <v>178</v>
      </c>
      <c r="E181" s="38">
        <f t="shared" si="12"/>
        <v>0</v>
      </c>
      <c r="F181" s="38">
        <v>0</v>
      </c>
      <c r="G181" s="38">
        <v>0</v>
      </c>
      <c r="H181" s="38">
        <v>0</v>
      </c>
      <c r="I181" s="38">
        <v>0</v>
      </c>
      <c r="J181" s="38">
        <v>0</v>
      </c>
      <c r="K181" s="38">
        <v>0</v>
      </c>
      <c r="L181" s="38">
        <v>0</v>
      </c>
      <c r="M181" s="38">
        <v>0</v>
      </c>
      <c r="N181" s="38">
        <v>0</v>
      </c>
      <c r="O181" s="38">
        <v>0</v>
      </c>
      <c r="P181" s="38">
        <v>0</v>
      </c>
      <c r="Q181" s="38">
        <v>0</v>
      </c>
      <c r="R181" s="22"/>
    </row>
    <row r="182" spans="2:18" x14ac:dyDescent="0.15">
      <c r="B182" s="26">
        <f t="shared" si="11"/>
        <v>180</v>
      </c>
      <c r="C182" s="22" t="s">
        <v>223</v>
      </c>
      <c r="D182" s="26" t="s">
        <v>176</v>
      </c>
      <c r="E182" s="38">
        <f t="shared" si="12"/>
        <v>0</v>
      </c>
      <c r="F182" s="38">
        <v>0</v>
      </c>
      <c r="G182" s="38">
        <v>0</v>
      </c>
      <c r="H182" s="38">
        <v>0</v>
      </c>
      <c r="I182" s="38">
        <v>0</v>
      </c>
      <c r="J182" s="38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38">
        <v>0</v>
      </c>
      <c r="Q182" s="38">
        <v>0</v>
      </c>
      <c r="R182" s="22"/>
    </row>
    <row r="183" spans="2:18" x14ac:dyDescent="0.15">
      <c r="B183" s="26">
        <f t="shared" si="11"/>
        <v>181</v>
      </c>
      <c r="C183" s="22" t="s">
        <v>352</v>
      </c>
      <c r="D183" s="26" t="s">
        <v>178</v>
      </c>
      <c r="E183" s="38">
        <f t="shared" si="12"/>
        <v>0</v>
      </c>
      <c r="F183" s="38">
        <v>0</v>
      </c>
      <c r="G183" s="38">
        <v>0</v>
      </c>
      <c r="H183" s="38">
        <v>0</v>
      </c>
      <c r="I183" s="38">
        <v>0</v>
      </c>
      <c r="J183" s="38">
        <v>0</v>
      </c>
      <c r="K183" s="38">
        <v>0</v>
      </c>
      <c r="L183" s="38">
        <v>0</v>
      </c>
      <c r="M183" s="38">
        <v>0</v>
      </c>
      <c r="N183" s="38">
        <v>0</v>
      </c>
      <c r="O183" s="38">
        <v>0</v>
      </c>
      <c r="P183" s="38">
        <v>0</v>
      </c>
      <c r="Q183" s="38">
        <v>0</v>
      </c>
      <c r="R183" s="22"/>
    </row>
    <row r="184" spans="2:18" x14ac:dyDescent="0.15">
      <c r="B184" s="26">
        <f t="shared" si="11"/>
        <v>182</v>
      </c>
      <c r="C184" s="22" t="s">
        <v>361</v>
      </c>
      <c r="D184" s="26" t="s">
        <v>177</v>
      </c>
      <c r="E184" s="38">
        <f t="shared" si="12"/>
        <v>0</v>
      </c>
      <c r="F184" s="38">
        <v>0</v>
      </c>
      <c r="G184" s="38">
        <v>0</v>
      </c>
      <c r="H184" s="38">
        <v>0</v>
      </c>
      <c r="I184" s="38">
        <v>0</v>
      </c>
      <c r="J184" s="38">
        <v>0</v>
      </c>
      <c r="K184" s="38">
        <v>0</v>
      </c>
      <c r="L184" s="38">
        <v>0</v>
      </c>
      <c r="M184" s="38">
        <v>0</v>
      </c>
      <c r="N184" s="38">
        <v>0</v>
      </c>
      <c r="O184" s="38">
        <v>0</v>
      </c>
      <c r="P184" s="38">
        <v>0</v>
      </c>
      <c r="Q184" s="38">
        <v>0</v>
      </c>
      <c r="R184" s="22"/>
    </row>
    <row r="185" spans="2:18" x14ac:dyDescent="0.15">
      <c r="B185" s="26">
        <f t="shared" si="11"/>
        <v>183</v>
      </c>
      <c r="C185" s="22" t="s">
        <v>375</v>
      </c>
      <c r="D185" s="26" t="s">
        <v>176</v>
      </c>
      <c r="E185" s="38">
        <f t="shared" si="12"/>
        <v>0</v>
      </c>
      <c r="F185" s="38">
        <v>0</v>
      </c>
      <c r="G185" s="38">
        <v>0</v>
      </c>
      <c r="H185" s="38">
        <v>0</v>
      </c>
      <c r="I185" s="38">
        <v>0</v>
      </c>
      <c r="J185" s="38">
        <v>0</v>
      </c>
      <c r="K185" s="38">
        <v>0</v>
      </c>
      <c r="L185" s="38">
        <v>0</v>
      </c>
      <c r="M185" s="38">
        <v>0</v>
      </c>
      <c r="N185" s="38">
        <v>0</v>
      </c>
      <c r="O185" s="38">
        <v>0</v>
      </c>
      <c r="P185" s="38">
        <v>0</v>
      </c>
      <c r="Q185" s="38">
        <v>0</v>
      </c>
      <c r="R185" s="22"/>
    </row>
    <row r="186" spans="2:18" x14ac:dyDescent="0.15">
      <c r="B186" s="26">
        <f t="shared" si="11"/>
        <v>184</v>
      </c>
      <c r="C186" s="22" t="s">
        <v>383</v>
      </c>
      <c r="D186" s="26" t="s">
        <v>176</v>
      </c>
      <c r="E186" s="38">
        <f t="shared" si="12"/>
        <v>0</v>
      </c>
      <c r="F186" s="38">
        <v>0</v>
      </c>
      <c r="G186" s="38">
        <v>0</v>
      </c>
      <c r="H186" s="38">
        <v>0</v>
      </c>
      <c r="I186" s="38">
        <v>0</v>
      </c>
      <c r="J186" s="38">
        <v>0</v>
      </c>
      <c r="K186" s="38">
        <v>0</v>
      </c>
      <c r="L186" s="38">
        <v>0</v>
      </c>
      <c r="M186" s="38">
        <v>0</v>
      </c>
      <c r="N186" s="38">
        <v>0</v>
      </c>
      <c r="O186" s="38">
        <v>0</v>
      </c>
      <c r="P186" s="38">
        <v>0</v>
      </c>
      <c r="Q186" s="38">
        <v>0</v>
      </c>
      <c r="R186" s="22"/>
    </row>
    <row r="187" spans="2:18" x14ac:dyDescent="0.15">
      <c r="B187" s="26">
        <f t="shared" si="11"/>
        <v>185</v>
      </c>
      <c r="C187" s="22" t="s">
        <v>430</v>
      </c>
      <c r="D187" s="26" t="s">
        <v>178</v>
      </c>
      <c r="E187" s="38">
        <f t="shared" ref="E187:E193" si="13">SUM(F187:Q187)</f>
        <v>0</v>
      </c>
      <c r="F187" s="38">
        <v>0</v>
      </c>
      <c r="G187" s="38">
        <v>0</v>
      </c>
      <c r="H187" s="38">
        <v>0</v>
      </c>
      <c r="I187" s="38">
        <v>0</v>
      </c>
      <c r="J187" s="38">
        <v>0</v>
      </c>
      <c r="K187" s="38">
        <v>0</v>
      </c>
      <c r="L187" s="38">
        <v>0</v>
      </c>
      <c r="M187" s="38">
        <v>0</v>
      </c>
      <c r="N187" s="38">
        <v>0</v>
      </c>
      <c r="O187" s="38">
        <v>0</v>
      </c>
      <c r="P187" s="38">
        <v>0</v>
      </c>
      <c r="Q187" s="38">
        <v>0</v>
      </c>
      <c r="R187" s="22"/>
    </row>
    <row r="188" spans="2:18" x14ac:dyDescent="0.15">
      <c r="B188" s="26">
        <f t="shared" si="11"/>
        <v>186</v>
      </c>
      <c r="C188" s="22" t="s">
        <v>443</v>
      </c>
      <c r="D188" s="26" t="s">
        <v>178</v>
      </c>
      <c r="E188" s="38">
        <f t="shared" si="13"/>
        <v>0</v>
      </c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22"/>
    </row>
    <row r="189" spans="2:18" x14ac:dyDescent="0.15">
      <c r="B189" s="26">
        <f t="shared" si="11"/>
        <v>187</v>
      </c>
      <c r="C189" s="22" t="s">
        <v>445</v>
      </c>
      <c r="D189" s="26" t="s">
        <v>178</v>
      </c>
      <c r="E189" s="38">
        <f t="shared" si="13"/>
        <v>0</v>
      </c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22"/>
    </row>
    <row r="190" spans="2:18" x14ac:dyDescent="0.15">
      <c r="B190" s="26">
        <f t="shared" si="11"/>
        <v>188</v>
      </c>
      <c r="C190" s="22" t="s">
        <v>446</v>
      </c>
      <c r="D190" s="26" t="s">
        <v>178</v>
      </c>
      <c r="E190" s="38">
        <f t="shared" si="13"/>
        <v>0</v>
      </c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22"/>
    </row>
    <row r="191" spans="2:18" x14ac:dyDescent="0.15">
      <c r="B191" s="26">
        <f t="shared" si="11"/>
        <v>189</v>
      </c>
      <c r="C191" s="22" t="s">
        <v>447</v>
      </c>
      <c r="D191" s="26" t="s">
        <v>178</v>
      </c>
      <c r="E191" s="38">
        <f t="shared" si="13"/>
        <v>0</v>
      </c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22"/>
    </row>
    <row r="192" spans="2:18" x14ac:dyDescent="0.15">
      <c r="B192" s="26">
        <f t="shared" si="11"/>
        <v>190</v>
      </c>
      <c r="C192" s="22" t="s">
        <v>448</v>
      </c>
      <c r="D192" s="26" t="s">
        <v>178</v>
      </c>
      <c r="E192" s="38">
        <f t="shared" si="13"/>
        <v>0</v>
      </c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22"/>
    </row>
    <row r="193" spans="2:18" x14ac:dyDescent="0.15">
      <c r="B193" s="26">
        <f t="shared" si="11"/>
        <v>191</v>
      </c>
      <c r="C193" s="22" t="s">
        <v>449</v>
      </c>
      <c r="D193" s="26" t="s">
        <v>178</v>
      </c>
      <c r="E193" s="38">
        <f t="shared" si="13"/>
        <v>0</v>
      </c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22"/>
    </row>
    <row r="194" spans="2:18" x14ac:dyDescent="0.15">
      <c r="B194" s="26">
        <f t="shared" si="11"/>
        <v>192</v>
      </c>
      <c r="C194" s="22" t="s">
        <v>450</v>
      </c>
      <c r="D194" s="26" t="s">
        <v>178</v>
      </c>
      <c r="E194" s="38">
        <f t="shared" ref="E194:E219" si="14">SUM(F194:Q194)</f>
        <v>0</v>
      </c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22"/>
    </row>
    <row r="195" spans="2:18" x14ac:dyDescent="0.15">
      <c r="B195" s="26">
        <f t="shared" si="11"/>
        <v>193</v>
      </c>
      <c r="C195" s="22" t="s">
        <v>451</v>
      </c>
      <c r="D195" s="26" t="s">
        <v>178</v>
      </c>
      <c r="E195" s="38">
        <f t="shared" si="14"/>
        <v>0</v>
      </c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22"/>
    </row>
    <row r="196" spans="2:18" x14ac:dyDescent="0.15">
      <c r="B196" s="26">
        <f t="shared" si="11"/>
        <v>194</v>
      </c>
      <c r="C196" s="22" t="s">
        <v>453</v>
      </c>
      <c r="D196" s="26" t="s">
        <v>178</v>
      </c>
      <c r="E196" s="38">
        <f t="shared" si="14"/>
        <v>0</v>
      </c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22"/>
    </row>
    <row r="197" spans="2:18" x14ac:dyDescent="0.15">
      <c r="B197" s="26">
        <f t="shared" si="11"/>
        <v>195</v>
      </c>
      <c r="C197" s="22" t="s">
        <v>454</v>
      </c>
      <c r="D197" s="26" t="s">
        <v>178</v>
      </c>
      <c r="E197" s="38">
        <f t="shared" si="14"/>
        <v>0</v>
      </c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22"/>
    </row>
    <row r="198" spans="2:18" x14ac:dyDescent="0.15">
      <c r="B198" s="26">
        <f t="shared" si="11"/>
        <v>196</v>
      </c>
      <c r="C198" s="22" t="s">
        <v>455</v>
      </c>
      <c r="D198" s="26" t="s">
        <v>178</v>
      </c>
      <c r="E198" s="38">
        <f t="shared" si="14"/>
        <v>0</v>
      </c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22"/>
    </row>
    <row r="199" spans="2:18" x14ac:dyDescent="0.15">
      <c r="B199" s="26">
        <f t="shared" si="11"/>
        <v>197</v>
      </c>
      <c r="C199" s="22" t="s">
        <v>456</v>
      </c>
      <c r="D199" s="26" t="s">
        <v>178</v>
      </c>
      <c r="E199" s="38">
        <f t="shared" si="14"/>
        <v>0</v>
      </c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22"/>
    </row>
    <row r="200" spans="2:18" x14ac:dyDescent="0.15">
      <c r="B200" s="26"/>
      <c r="C200" s="22"/>
      <c r="D200" s="26"/>
      <c r="E200" s="38">
        <f t="shared" si="14"/>
        <v>0</v>
      </c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22"/>
    </row>
    <row r="201" spans="2:18" x14ac:dyDescent="0.15">
      <c r="B201" s="26"/>
      <c r="C201" s="22"/>
      <c r="D201" s="26"/>
      <c r="E201" s="38">
        <f t="shared" si="14"/>
        <v>0</v>
      </c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22"/>
    </row>
    <row r="202" spans="2:18" x14ac:dyDescent="0.15">
      <c r="B202" s="26"/>
      <c r="C202" s="22"/>
      <c r="D202" s="26"/>
      <c r="E202" s="38">
        <f t="shared" si="14"/>
        <v>0</v>
      </c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22"/>
    </row>
    <row r="203" spans="2:18" x14ac:dyDescent="0.15">
      <c r="B203" s="26"/>
      <c r="C203" s="22"/>
      <c r="D203" s="26"/>
      <c r="E203" s="38">
        <f t="shared" si="14"/>
        <v>0</v>
      </c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22"/>
    </row>
    <row r="204" spans="2:18" x14ac:dyDescent="0.15">
      <c r="B204" s="26"/>
      <c r="C204" s="22"/>
      <c r="D204" s="26"/>
      <c r="E204" s="38">
        <f t="shared" si="14"/>
        <v>0</v>
      </c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22"/>
    </row>
    <row r="205" spans="2:18" x14ac:dyDescent="0.15">
      <c r="B205" s="26"/>
      <c r="C205" s="22"/>
      <c r="D205" s="26"/>
      <c r="E205" s="38">
        <f t="shared" si="14"/>
        <v>0</v>
      </c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22"/>
    </row>
    <row r="206" spans="2:18" x14ac:dyDescent="0.15">
      <c r="B206" s="26"/>
      <c r="C206" s="22"/>
      <c r="D206" s="26"/>
      <c r="E206" s="38">
        <f t="shared" si="14"/>
        <v>0</v>
      </c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22"/>
    </row>
    <row r="207" spans="2:18" x14ac:dyDescent="0.15">
      <c r="B207" s="26"/>
      <c r="C207" s="22"/>
      <c r="D207" s="26"/>
      <c r="E207" s="38">
        <f t="shared" si="14"/>
        <v>0</v>
      </c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22"/>
    </row>
    <row r="208" spans="2:18" x14ac:dyDescent="0.15">
      <c r="B208" s="26"/>
      <c r="C208" s="22"/>
      <c r="D208" s="26"/>
      <c r="E208" s="38">
        <f t="shared" si="14"/>
        <v>0</v>
      </c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22"/>
    </row>
    <row r="209" spans="2:18" x14ac:dyDescent="0.15">
      <c r="B209" s="26"/>
      <c r="C209" s="22"/>
      <c r="D209" s="26"/>
      <c r="E209" s="38">
        <f t="shared" si="14"/>
        <v>0</v>
      </c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22"/>
    </row>
    <row r="210" spans="2:18" x14ac:dyDescent="0.15">
      <c r="B210" s="26"/>
      <c r="C210" s="22"/>
      <c r="D210" s="26"/>
      <c r="E210" s="38">
        <f t="shared" si="14"/>
        <v>0</v>
      </c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22"/>
    </row>
    <row r="211" spans="2:18" x14ac:dyDescent="0.15">
      <c r="B211" s="26"/>
      <c r="C211" s="22"/>
      <c r="D211" s="26"/>
      <c r="E211" s="38">
        <f t="shared" si="14"/>
        <v>0</v>
      </c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22"/>
    </row>
    <row r="212" spans="2:18" x14ac:dyDescent="0.15">
      <c r="B212" s="26"/>
      <c r="C212" s="22"/>
      <c r="D212" s="26"/>
      <c r="E212" s="38">
        <f t="shared" si="14"/>
        <v>0</v>
      </c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22"/>
    </row>
    <row r="213" spans="2:18" x14ac:dyDescent="0.15">
      <c r="B213" s="26"/>
      <c r="C213" s="22"/>
      <c r="D213" s="26"/>
      <c r="E213" s="38">
        <f t="shared" si="14"/>
        <v>0</v>
      </c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22"/>
    </row>
    <row r="214" spans="2:18" x14ac:dyDescent="0.15">
      <c r="B214" s="26"/>
      <c r="C214" s="22"/>
      <c r="D214" s="26"/>
      <c r="E214" s="38">
        <f t="shared" si="14"/>
        <v>0</v>
      </c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22"/>
    </row>
    <row r="215" spans="2:18" x14ac:dyDescent="0.15">
      <c r="B215" s="26"/>
      <c r="C215" s="22"/>
      <c r="D215" s="26"/>
      <c r="E215" s="38">
        <f t="shared" si="14"/>
        <v>0</v>
      </c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22"/>
    </row>
    <row r="216" spans="2:18" x14ac:dyDescent="0.15">
      <c r="B216" s="26"/>
      <c r="C216" s="22"/>
      <c r="D216" s="26"/>
      <c r="E216" s="38">
        <f t="shared" si="14"/>
        <v>0</v>
      </c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22"/>
    </row>
    <row r="217" spans="2:18" x14ac:dyDescent="0.15">
      <c r="B217" s="26"/>
      <c r="C217" s="22"/>
      <c r="D217" s="26"/>
      <c r="E217" s="38">
        <f t="shared" si="14"/>
        <v>0</v>
      </c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22"/>
    </row>
    <row r="218" spans="2:18" x14ac:dyDescent="0.15">
      <c r="B218" s="26"/>
      <c r="C218" s="22"/>
      <c r="D218" s="26"/>
      <c r="E218" s="38">
        <f t="shared" si="14"/>
        <v>0</v>
      </c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22"/>
    </row>
    <row r="219" spans="2:18" x14ac:dyDescent="0.15">
      <c r="B219" s="26"/>
      <c r="C219" s="22"/>
      <c r="D219" s="26"/>
      <c r="E219" s="38">
        <f t="shared" si="14"/>
        <v>0</v>
      </c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22"/>
    </row>
  </sheetData>
  <sortState xmlns:xlrd2="http://schemas.microsoft.com/office/spreadsheetml/2017/richdata2" ref="B3:R186">
    <sortCondition descending="1" ref="E3:E186"/>
  </sortState>
  <phoneticPr fontId="6"/>
  <dataValidations count="1">
    <dataValidation type="list" allowBlank="1" showInputMessage="1" showErrorMessage="1" sqref="D3:D199" xr:uid="{0486219A-59E4-4113-9370-8635DF872D4B}">
      <formula1>社員区分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社員データ読み取り">
                <anchor moveWithCells="1" siz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2</xdr:col>
                    <xdr:colOff>1409700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社員データクリア">
                <anchor moveWithCells="1" sizeWithCells="1">
                  <from>
                    <xdr:col>3</xdr:col>
                    <xdr:colOff>47625</xdr:colOff>
                    <xdr:row>0</xdr:row>
                    <xdr:rowOff>66675</xdr:rowOff>
                  </from>
                  <to>
                    <xdr:col>3</xdr:col>
                    <xdr:colOff>1400175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BD14-61ED-4CFC-A95A-86B8AECAA014}">
  <sheetPr codeName="Sheet6"/>
  <dimension ref="B1:R20"/>
  <sheetViews>
    <sheetView showGridLines="0" zoomScaleNormal="100" workbookViewId="0">
      <selection activeCell="F12" sqref="F12"/>
    </sheetView>
  </sheetViews>
  <sheetFormatPr defaultRowHeight="13.5" x14ac:dyDescent="0.15"/>
  <cols>
    <col min="1" max="1" width="2.625" customWidth="1"/>
    <col min="2" max="2" width="4.75" customWidth="1"/>
    <col min="3" max="3" width="20.5" customWidth="1"/>
    <col min="4" max="4" width="20.125" customWidth="1"/>
    <col min="5" max="5" width="12.25" bestFit="1" customWidth="1"/>
    <col min="6" max="6" width="12.5" bestFit="1" customWidth="1"/>
    <col min="7" max="17" width="11.125" bestFit="1" customWidth="1"/>
    <col min="18" max="18" width="28.25" customWidth="1"/>
  </cols>
  <sheetData>
    <row r="1" spans="2:18" ht="34.5" customHeight="1" x14ac:dyDescent="0.15">
      <c r="E1" s="24">
        <f>SUM(F1:Q1)</f>
        <v>0</v>
      </c>
      <c r="F1" s="24">
        <f>SUM(F3:F5,F7:F12,F14:F19)</f>
        <v>0</v>
      </c>
      <c r="G1" s="24">
        <f t="shared" ref="G1:Q1" si="0">SUM(G3:G5,G7:G12,G14:G19)</f>
        <v>0</v>
      </c>
      <c r="H1" s="24">
        <f t="shared" si="0"/>
        <v>0</v>
      </c>
      <c r="I1" s="24">
        <f t="shared" si="0"/>
        <v>0</v>
      </c>
      <c r="J1" s="24">
        <f t="shared" si="0"/>
        <v>0</v>
      </c>
      <c r="K1" s="24">
        <f t="shared" si="0"/>
        <v>0</v>
      </c>
      <c r="L1" s="24">
        <f t="shared" si="0"/>
        <v>0</v>
      </c>
      <c r="M1" s="24">
        <f t="shared" si="0"/>
        <v>0</v>
      </c>
      <c r="N1" s="24">
        <f t="shared" si="0"/>
        <v>0</v>
      </c>
      <c r="O1" s="24">
        <f t="shared" si="0"/>
        <v>0</v>
      </c>
      <c r="P1" s="24">
        <f t="shared" si="0"/>
        <v>0</v>
      </c>
      <c r="Q1" s="24">
        <f t="shared" si="0"/>
        <v>0</v>
      </c>
    </row>
    <row r="2" spans="2:18" ht="31.5" customHeight="1" x14ac:dyDescent="0.15">
      <c r="B2" s="25" t="s">
        <v>39</v>
      </c>
      <c r="C2" s="25" t="s">
        <v>414</v>
      </c>
      <c r="D2" s="25" t="s">
        <v>196</v>
      </c>
      <c r="E2" s="25" t="s">
        <v>198</v>
      </c>
      <c r="F2" s="34">
        <v>202007</v>
      </c>
      <c r="G2" s="34">
        <v>202008</v>
      </c>
      <c r="H2" s="34">
        <v>202009</v>
      </c>
      <c r="I2" s="34">
        <v>202010</v>
      </c>
      <c r="J2" s="34">
        <v>202011</v>
      </c>
      <c r="K2" s="34">
        <v>202012</v>
      </c>
      <c r="L2" s="34">
        <v>202101</v>
      </c>
      <c r="M2" s="34">
        <v>202102</v>
      </c>
      <c r="N2" s="34">
        <v>202103</v>
      </c>
      <c r="O2" s="34">
        <v>202104</v>
      </c>
      <c r="P2" s="34">
        <v>202105</v>
      </c>
      <c r="Q2" s="34">
        <v>202106</v>
      </c>
      <c r="R2" s="25" t="s">
        <v>40</v>
      </c>
    </row>
    <row r="3" spans="2:18" ht="20.100000000000001" customHeight="1" x14ac:dyDescent="0.15">
      <c r="B3" s="61">
        <v>1</v>
      </c>
      <c r="C3" s="99" t="s">
        <v>415</v>
      </c>
      <c r="D3" s="112" t="s">
        <v>394</v>
      </c>
      <c r="E3" s="113">
        <f>SUM(F3:Q3)</f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22"/>
    </row>
    <row r="4" spans="2:18" ht="20.100000000000001" customHeight="1" x14ac:dyDescent="0.15">
      <c r="B4" s="62"/>
      <c r="C4" s="100"/>
      <c r="D4" s="112" t="s">
        <v>410</v>
      </c>
      <c r="E4" s="113">
        <f t="shared" ref="E4:E5" si="1">SUM(F4:Q4)</f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22"/>
    </row>
    <row r="5" spans="2:18" ht="20.100000000000001" customHeight="1" x14ac:dyDescent="0.15">
      <c r="B5" s="62"/>
      <c r="C5" s="100"/>
      <c r="D5" s="112"/>
      <c r="E5" s="113">
        <f t="shared" si="1"/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22"/>
    </row>
    <row r="6" spans="2:18" ht="20.100000000000001" customHeight="1" x14ac:dyDescent="0.15">
      <c r="B6" s="63"/>
      <c r="C6" s="101"/>
      <c r="D6" s="110" t="s">
        <v>418</v>
      </c>
      <c r="E6" s="111">
        <f>SUM(E3:E5)</f>
        <v>0</v>
      </c>
      <c r="F6" s="111">
        <f t="shared" ref="F6:Q6" si="2">SUM(F3:F5)</f>
        <v>0</v>
      </c>
      <c r="G6" s="111">
        <f t="shared" si="2"/>
        <v>0</v>
      </c>
      <c r="H6" s="111">
        <f t="shared" si="2"/>
        <v>0</v>
      </c>
      <c r="I6" s="111">
        <f t="shared" si="2"/>
        <v>0</v>
      </c>
      <c r="J6" s="111">
        <f t="shared" si="2"/>
        <v>0</v>
      </c>
      <c r="K6" s="111">
        <f t="shared" si="2"/>
        <v>0</v>
      </c>
      <c r="L6" s="111">
        <f t="shared" si="2"/>
        <v>0</v>
      </c>
      <c r="M6" s="111">
        <f t="shared" si="2"/>
        <v>0</v>
      </c>
      <c r="N6" s="111">
        <f t="shared" si="2"/>
        <v>0</v>
      </c>
      <c r="O6" s="111">
        <f t="shared" si="2"/>
        <v>0</v>
      </c>
      <c r="P6" s="111">
        <f t="shared" si="2"/>
        <v>0</v>
      </c>
      <c r="Q6" s="111">
        <f t="shared" si="2"/>
        <v>0</v>
      </c>
      <c r="R6" s="22"/>
    </row>
    <row r="7" spans="2:18" ht="20.100000000000001" customHeight="1" x14ac:dyDescent="0.15">
      <c r="B7" s="61">
        <v>2</v>
      </c>
      <c r="C7" s="99" t="s">
        <v>416</v>
      </c>
      <c r="D7" s="104" t="s">
        <v>396</v>
      </c>
      <c r="E7" s="105">
        <f t="shared" ref="E7:E12" si="3">SUM(F7:Q7)</f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0</v>
      </c>
      <c r="Q7" s="105">
        <v>0</v>
      </c>
      <c r="R7" s="22"/>
    </row>
    <row r="8" spans="2:18" ht="20.100000000000001" customHeight="1" x14ac:dyDescent="0.15">
      <c r="B8" s="62"/>
      <c r="C8" s="100"/>
      <c r="D8" s="104" t="s">
        <v>397</v>
      </c>
      <c r="E8" s="105">
        <f t="shared" si="3"/>
        <v>0</v>
      </c>
      <c r="F8" s="105">
        <v>0</v>
      </c>
      <c r="G8" s="105">
        <v>0</v>
      </c>
      <c r="H8" s="105">
        <v>0</v>
      </c>
      <c r="I8" s="105">
        <v>0</v>
      </c>
      <c r="J8" s="105">
        <v>0</v>
      </c>
      <c r="K8" s="105">
        <v>0</v>
      </c>
      <c r="L8" s="105">
        <v>0</v>
      </c>
      <c r="M8" s="105">
        <v>0</v>
      </c>
      <c r="N8" s="105">
        <v>0</v>
      </c>
      <c r="O8" s="105">
        <v>0</v>
      </c>
      <c r="P8" s="105">
        <v>0</v>
      </c>
      <c r="Q8" s="105">
        <v>0</v>
      </c>
      <c r="R8" s="22"/>
    </row>
    <row r="9" spans="2:18" ht="20.100000000000001" customHeight="1" x14ac:dyDescent="0.15">
      <c r="B9" s="62"/>
      <c r="C9" s="100"/>
      <c r="D9" s="104" t="s">
        <v>398</v>
      </c>
      <c r="E9" s="105">
        <f t="shared" si="3"/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N9" s="105">
        <v>0</v>
      </c>
      <c r="O9" s="105">
        <v>0</v>
      </c>
      <c r="P9" s="105">
        <v>0</v>
      </c>
      <c r="Q9" s="105">
        <v>0</v>
      </c>
      <c r="R9" s="22"/>
    </row>
    <row r="10" spans="2:18" ht="20.100000000000001" customHeight="1" x14ac:dyDescent="0.15">
      <c r="B10" s="62"/>
      <c r="C10" s="100"/>
      <c r="D10" s="104" t="s">
        <v>399</v>
      </c>
      <c r="E10" s="105">
        <f t="shared" si="3"/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0</v>
      </c>
      <c r="M10" s="105">
        <v>0</v>
      </c>
      <c r="N10" s="105">
        <v>0</v>
      </c>
      <c r="O10" s="105">
        <v>0</v>
      </c>
      <c r="P10" s="105">
        <v>0</v>
      </c>
      <c r="Q10" s="105">
        <v>0</v>
      </c>
      <c r="R10" s="22"/>
    </row>
    <row r="11" spans="2:18" ht="20.100000000000001" customHeight="1" x14ac:dyDescent="0.15">
      <c r="B11" s="62"/>
      <c r="C11" s="100"/>
      <c r="D11" s="104"/>
      <c r="E11" s="105">
        <f t="shared" si="3"/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22"/>
    </row>
    <row r="12" spans="2:18" ht="20.100000000000001" customHeight="1" x14ac:dyDescent="0.15">
      <c r="B12" s="62"/>
      <c r="C12" s="100"/>
      <c r="D12" s="104"/>
      <c r="E12" s="105">
        <f t="shared" si="3"/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22"/>
    </row>
    <row r="13" spans="2:18" ht="20.100000000000001" customHeight="1" x14ac:dyDescent="0.15">
      <c r="B13" s="63"/>
      <c r="C13" s="101"/>
      <c r="D13" s="102" t="s">
        <v>418</v>
      </c>
      <c r="E13" s="103">
        <f>SUM(E7:E12)</f>
        <v>0</v>
      </c>
      <c r="F13" s="103">
        <f t="shared" ref="F13:Q13" si="4">SUM(F7:F12)</f>
        <v>0</v>
      </c>
      <c r="G13" s="103">
        <f t="shared" si="4"/>
        <v>0</v>
      </c>
      <c r="H13" s="103">
        <f t="shared" si="4"/>
        <v>0</v>
      </c>
      <c r="I13" s="103">
        <f t="shared" si="4"/>
        <v>0</v>
      </c>
      <c r="J13" s="103">
        <f t="shared" si="4"/>
        <v>0</v>
      </c>
      <c r="K13" s="103">
        <f t="shared" si="4"/>
        <v>0</v>
      </c>
      <c r="L13" s="103">
        <f t="shared" si="4"/>
        <v>0</v>
      </c>
      <c r="M13" s="103">
        <f t="shared" si="4"/>
        <v>0</v>
      </c>
      <c r="N13" s="103">
        <f t="shared" si="4"/>
        <v>0</v>
      </c>
      <c r="O13" s="103">
        <f t="shared" si="4"/>
        <v>0</v>
      </c>
      <c r="P13" s="103">
        <f t="shared" si="4"/>
        <v>0</v>
      </c>
      <c r="Q13" s="103">
        <f t="shared" si="4"/>
        <v>0</v>
      </c>
      <c r="R13" s="22"/>
    </row>
    <row r="14" spans="2:18" ht="20.100000000000001" customHeight="1" x14ac:dyDescent="0.15">
      <c r="B14" s="61">
        <v>3</v>
      </c>
      <c r="C14" s="99" t="s">
        <v>417</v>
      </c>
      <c r="D14" s="106" t="s">
        <v>400</v>
      </c>
      <c r="E14" s="107">
        <f t="shared" ref="E14:E19" si="5">SUM(F14:Q14)</f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22"/>
    </row>
    <row r="15" spans="2:18" ht="20.100000000000001" customHeight="1" x14ac:dyDescent="0.15">
      <c r="B15" s="62"/>
      <c r="C15" s="100"/>
      <c r="D15" s="106" t="s">
        <v>401</v>
      </c>
      <c r="E15" s="107">
        <f t="shared" si="5"/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22"/>
    </row>
    <row r="16" spans="2:18" ht="20.100000000000001" customHeight="1" x14ac:dyDescent="0.15">
      <c r="B16" s="62"/>
      <c r="C16" s="100"/>
      <c r="D16" s="106"/>
      <c r="E16" s="107">
        <f t="shared" si="5"/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22"/>
    </row>
    <row r="17" spans="2:18" ht="20.100000000000001" customHeight="1" x14ac:dyDescent="0.15">
      <c r="B17" s="62"/>
      <c r="C17" s="100"/>
      <c r="D17" s="106"/>
      <c r="E17" s="107">
        <f t="shared" si="5"/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22"/>
    </row>
    <row r="18" spans="2:18" ht="20.100000000000001" customHeight="1" x14ac:dyDescent="0.15">
      <c r="B18" s="62"/>
      <c r="C18" s="100"/>
      <c r="D18" s="106"/>
      <c r="E18" s="107">
        <f t="shared" si="5"/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22"/>
    </row>
    <row r="19" spans="2:18" ht="20.100000000000001" customHeight="1" x14ac:dyDescent="0.15">
      <c r="B19" s="62"/>
      <c r="C19" s="100"/>
      <c r="D19" s="106"/>
      <c r="E19" s="107">
        <f t="shared" si="5"/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22"/>
    </row>
    <row r="20" spans="2:18" ht="20.100000000000001" customHeight="1" x14ac:dyDescent="0.15">
      <c r="B20" s="63"/>
      <c r="C20" s="101"/>
      <c r="D20" s="108" t="s">
        <v>418</v>
      </c>
      <c r="E20" s="109">
        <f>SUM(E14:E19)</f>
        <v>0</v>
      </c>
      <c r="F20" s="109">
        <f t="shared" ref="F20:Q20" si="6">SUM(F14:F19)</f>
        <v>0</v>
      </c>
      <c r="G20" s="109">
        <f t="shared" si="6"/>
        <v>0</v>
      </c>
      <c r="H20" s="109">
        <f t="shared" si="6"/>
        <v>0</v>
      </c>
      <c r="I20" s="109">
        <f t="shared" si="6"/>
        <v>0</v>
      </c>
      <c r="J20" s="109">
        <f t="shared" si="6"/>
        <v>0</v>
      </c>
      <c r="K20" s="109">
        <f t="shared" si="6"/>
        <v>0</v>
      </c>
      <c r="L20" s="109">
        <f t="shared" si="6"/>
        <v>0</v>
      </c>
      <c r="M20" s="109">
        <f t="shared" si="6"/>
        <v>0</v>
      </c>
      <c r="N20" s="109">
        <f t="shared" si="6"/>
        <v>0</v>
      </c>
      <c r="O20" s="109">
        <f t="shared" si="6"/>
        <v>0</v>
      </c>
      <c r="P20" s="109">
        <f t="shared" si="6"/>
        <v>0</v>
      </c>
      <c r="Q20" s="109">
        <f t="shared" si="6"/>
        <v>0</v>
      </c>
      <c r="R20" s="22"/>
    </row>
  </sheetData>
  <phoneticPr fontId="6"/>
  <dataValidations count="1">
    <dataValidation type="list" allowBlank="1" showInputMessage="1" showErrorMessage="1" sqref="D3:D20" xr:uid="{9CA97618-B7FB-42A0-ACEE-25F9A00B044C}">
      <formula1>営業担当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7" r:id="rId3" name="Button 5">
              <controlPr defaultSize="0" print="0" autoFill="0" autoPict="0" macro="[0]!営業データ読み取り">
                <anchor moveWithCells="1" sizeWithCells="1">
                  <from>
                    <xdr:col>2</xdr:col>
                    <xdr:colOff>47625</xdr:colOff>
                    <xdr:row>0</xdr:row>
                    <xdr:rowOff>66675</xdr:rowOff>
                  </from>
                  <to>
                    <xdr:col>2</xdr:col>
                    <xdr:colOff>1400175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4" name="Button 6">
              <controlPr defaultSize="0" print="0" autoFill="0" autoPict="0" macro="[0]!営業データクリア">
                <anchor moveWithCells="1" sizeWithCells="1">
                  <from>
                    <xdr:col>3</xdr:col>
                    <xdr:colOff>47625</xdr:colOff>
                    <xdr:row>0</xdr:row>
                    <xdr:rowOff>66675</xdr:rowOff>
                  </from>
                  <to>
                    <xdr:col>3</xdr:col>
                    <xdr:colOff>1400175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6BF7-FB4A-4A62-ACC6-8C2842F83EF4}">
  <sheetPr codeName="Sheet5"/>
  <dimension ref="B1:R42"/>
  <sheetViews>
    <sheetView showGridLines="0"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E607" sqref="E607"/>
    </sheetView>
  </sheetViews>
  <sheetFormatPr defaultRowHeight="13.5" x14ac:dyDescent="0.15"/>
  <cols>
    <col min="1" max="1" width="2.625" customWidth="1"/>
    <col min="2" max="2" width="4.5" bestFit="1" customWidth="1"/>
    <col min="3" max="3" width="20.5" customWidth="1"/>
    <col min="4" max="4" width="20.25" style="27" customWidth="1"/>
    <col min="5" max="5" width="12.625" style="27" bestFit="1" customWidth="1"/>
    <col min="6" max="17" width="11.5" style="27" bestFit="1" customWidth="1"/>
    <col min="18" max="18" width="32.625" customWidth="1"/>
    <col min="19" max="19" width="2.875" customWidth="1"/>
  </cols>
  <sheetData>
    <row r="1" spans="2:18" ht="35.25" customHeight="1" x14ac:dyDescent="0.15">
      <c r="B1" s="37"/>
      <c r="C1" s="37"/>
      <c r="D1" s="67"/>
      <c r="E1" s="71" t="s">
        <v>236</v>
      </c>
      <c r="F1" s="68">
        <v>65000</v>
      </c>
      <c r="G1" s="68">
        <v>65000</v>
      </c>
      <c r="H1" s="68">
        <v>65000</v>
      </c>
      <c r="I1" s="68">
        <v>65000</v>
      </c>
      <c r="J1" s="68">
        <v>65000</v>
      </c>
      <c r="K1" s="68">
        <v>65000</v>
      </c>
      <c r="L1" s="68">
        <v>65000</v>
      </c>
      <c r="M1" s="68">
        <v>65000</v>
      </c>
      <c r="N1" s="68">
        <v>65000</v>
      </c>
      <c r="O1" s="68">
        <v>65000</v>
      </c>
      <c r="P1" s="68">
        <v>65000</v>
      </c>
      <c r="Q1" s="68">
        <v>65000</v>
      </c>
      <c r="R1" s="37"/>
    </row>
    <row r="2" spans="2:18" ht="26.25" customHeight="1" x14ac:dyDescent="0.15">
      <c r="B2" s="25" t="s">
        <v>39</v>
      </c>
      <c r="C2" s="23" t="s">
        <v>43</v>
      </c>
      <c r="D2" s="25" t="s">
        <v>225</v>
      </c>
      <c r="E2" s="25" t="s">
        <v>198</v>
      </c>
      <c r="F2" s="34">
        <v>202007</v>
      </c>
      <c r="G2" s="34">
        <v>202008</v>
      </c>
      <c r="H2" s="34">
        <v>202009</v>
      </c>
      <c r="I2" s="34">
        <v>202010</v>
      </c>
      <c r="J2" s="34">
        <v>202011</v>
      </c>
      <c r="K2" s="34">
        <v>202012</v>
      </c>
      <c r="L2" s="34">
        <v>202101</v>
      </c>
      <c r="M2" s="34">
        <v>202102</v>
      </c>
      <c r="N2" s="34">
        <v>202103</v>
      </c>
      <c r="O2" s="34">
        <v>202104</v>
      </c>
      <c r="P2" s="34">
        <v>202105</v>
      </c>
      <c r="Q2" s="34">
        <v>202106</v>
      </c>
      <c r="R2" s="23" t="s">
        <v>40</v>
      </c>
    </row>
    <row r="3" spans="2:18" x14ac:dyDescent="0.15">
      <c r="B3" s="61">
        <v>1</v>
      </c>
      <c r="C3" s="69" t="s">
        <v>319</v>
      </c>
      <c r="D3" s="74" t="s">
        <v>230</v>
      </c>
      <c r="E3" s="75">
        <f t="shared" ref="E3:E8" si="0">SUM(F3:Q3)</f>
        <v>1</v>
      </c>
      <c r="F3" s="75">
        <v>1</v>
      </c>
      <c r="G3" s="75">
        <v>0</v>
      </c>
      <c r="H3" s="75">
        <v>0</v>
      </c>
      <c r="I3" s="75">
        <v>0</v>
      </c>
      <c r="J3" s="75">
        <v>0</v>
      </c>
      <c r="K3" s="75">
        <v>0</v>
      </c>
      <c r="L3" s="75">
        <v>0</v>
      </c>
      <c r="M3" s="75">
        <v>0</v>
      </c>
      <c r="N3" s="75">
        <v>0</v>
      </c>
      <c r="O3" s="75">
        <v>0</v>
      </c>
      <c r="P3" s="75">
        <v>0</v>
      </c>
      <c r="Q3" s="75">
        <v>0</v>
      </c>
      <c r="R3" s="22"/>
    </row>
    <row r="4" spans="2:18" x14ac:dyDescent="0.15">
      <c r="B4" s="62"/>
      <c r="C4" s="69" t="s">
        <v>319</v>
      </c>
      <c r="D4" s="60" t="s">
        <v>226</v>
      </c>
      <c r="E4" s="38">
        <f t="shared" si="0"/>
        <v>0</v>
      </c>
      <c r="F4" s="38">
        <v>0</v>
      </c>
      <c r="G4" s="38">
        <v>0</v>
      </c>
      <c r="H4" s="38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  <c r="R4" s="22"/>
    </row>
    <row r="5" spans="2:18" x14ac:dyDescent="0.15">
      <c r="B5" s="62"/>
      <c r="C5" s="69" t="s">
        <v>319</v>
      </c>
      <c r="D5" s="60" t="s">
        <v>227</v>
      </c>
      <c r="E5" s="38">
        <f t="shared" si="0"/>
        <v>0</v>
      </c>
      <c r="F5" s="38">
        <v>0</v>
      </c>
      <c r="G5" s="38">
        <v>0</v>
      </c>
      <c r="H5" s="38">
        <v>0</v>
      </c>
      <c r="I5" s="38">
        <v>0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22"/>
    </row>
    <row r="6" spans="2:18" x14ac:dyDescent="0.15">
      <c r="B6" s="62"/>
      <c r="C6" s="69" t="s">
        <v>319</v>
      </c>
      <c r="D6" s="60" t="s">
        <v>228</v>
      </c>
      <c r="E6" s="38">
        <f t="shared" si="0"/>
        <v>0</v>
      </c>
      <c r="F6" s="38">
        <v>0</v>
      </c>
      <c r="G6" s="38">
        <v>0</v>
      </c>
      <c r="H6" s="38">
        <v>0</v>
      </c>
      <c r="I6" s="38">
        <v>0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22"/>
    </row>
    <row r="7" spans="2:18" x14ac:dyDescent="0.15">
      <c r="B7" s="62"/>
      <c r="C7" s="69" t="s">
        <v>319</v>
      </c>
      <c r="D7" s="72" t="s">
        <v>229</v>
      </c>
      <c r="E7" s="73">
        <f t="shared" si="0"/>
        <v>65000</v>
      </c>
      <c r="F7" s="73">
        <f>IF(SUM(F3:F6)&lt;&gt;0, F$1, 0)</f>
        <v>65000</v>
      </c>
      <c r="G7" s="73">
        <f t="shared" ref="G7:P7" si="1">IF(SUM(G3:G6)&lt;&gt;0, G$1, 0)</f>
        <v>0</v>
      </c>
      <c r="H7" s="73">
        <f t="shared" si="1"/>
        <v>0</v>
      </c>
      <c r="I7" s="73">
        <f t="shared" si="1"/>
        <v>0</v>
      </c>
      <c r="J7" s="73">
        <f t="shared" si="1"/>
        <v>0</v>
      </c>
      <c r="K7" s="73">
        <f t="shared" si="1"/>
        <v>0</v>
      </c>
      <c r="L7" s="73">
        <f t="shared" si="1"/>
        <v>0</v>
      </c>
      <c r="M7" s="73">
        <f t="shared" si="1"/>
        <v>0</v>
      </c>
      <c r="N7" s="73">
        <f t="shared" si="1"/>
        <v>0</v>
      </c>
      <c r="O7" s="73">
        <f t="shared" si="1"/>
        <v>0</v>
      </c>
      <c r="P7" s="73">
        <f t="shared" si="1"/>
        <v>0</v>
      </c>
      <c r="Q7" s="73">
        <f>IF(SUM(Q3:Q6)&lt;&gt;0, Q$1, 0)</f>
        <v>0</v>
      </c>
      <c r="R7" s="22"/>
    </row>
    <row r="8" spans="2:18" x14ac:dyDescent="0.15">
      <c r="B8" s="62"/>
      <c r="C8" s="69" t="s">
        <v>319</v>
      </c>
      <c r="D8" s="59" t="s">
        <v>231</v>
      </c>
      <c r="E8" s="64">
        <f t="shared" si="0"/>
        <v>65000</v>
      </c>
      <c r="F8" s="64">
        <f>SUM(F4:F7)</f>
        <v>65000</v>
      </c>
      <c r="G8" s="64">
        <f t="shared" ref="G8:Q8" si="2">SUM(G4:G7)</f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 t="shared" si="2"/>
        <v>0</v>
      </c>
      <c r="P8" s="64">
        <f t="shared" si="2"/>
        <v>0</v>
      </c>
      <c r="Q8" s="64">
        <f t="shared" si="2"/>
        <v>0</v>
      </c>
      <c r="R8" s="22"/>
    </row>
    <row r="9" spans="2:18" x14ac:dyDescent="0.15">
      <c r="B9" s="62"/>
      <c r="C9" s="69" t="s">
        <v>319</v>
      </c>
      <c r="D9" s="65" t="s">
        <v>232</v>
      </c>
      <c r="E9" s="70">
        <f>SUM(F9:Q9)</f>
        <v>-64999</v>
      </c>
      <c r="F9" s="66">
        <f>F3-F8</f>
        <v>-64999</v>
      </c>
      <c r="G9" s="66">
        <f t="shared" ref="G9:Q9" si="3">G3-G8</f>
        <v>0</v>
      </c>
      <c r="H9" s="66">
        <f t="shared" si="3"/>
        <v>0</v>
      </c>
      <c r="I9" s="66">
        <f t="shared" si="3"/>
        <v>0</v>
      </c>
      <c r="J9" s="66">
        <f t="shared" si="3"/>
        <v>0</v>
      </c>
      <c r="K9" s="66">
        <f t="shared" si="3"/>
        <v>0</v>
      </c>
      <c r="L9" s="66">
        <f t="shared" si="3"/>
        <v>0</v>
      </c>
      <c r="M9" s="66">
        <f t="shared" si="3"/>
        <v>0</v>
      </c>
      <c r="N9" s="66">
        <f t="shared" si="3"/>
        <v>0</v>
      </c>
      <c r="O9" s="66">
        <f t="shared" si="3"/>
        <v>0</v>
      </c>
      <c r="P9" s="66">
        <f t="shared" si="3"/>
        <v>0</v>
      </c>
      <c r="Q9" s="66">
        <f t="shared" si="3"/>
        <v>0</v>
      </c>
      <c r="R9" s="22"/>
    </row>
    <row r="10" spans="2:18" x14ac:dyDescent="0.15">
      <c r="B10" s="63"/>
      <c r="C10" s="69" t="s">
        <v>319</v>
      </c>
      <c r="D10" s="60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22"/>
    </row>
    <row r="11" spans="2:18" x14ac:dyDescent="0.15">
      <c r="B11" s="61">
        <v>2</v>
      </c>
      <c r="C11" s="69" t="s">
        <v>234</v>
      </c>
      <c r="D11" s="74" t="s">
        <v>230</v>
      </c>
      <c r="E11" s="75">
        <f t="shared" ref="E11:E16" si="4">SUM(F11:Q11)</f>
        <v>1</v>
      </c>
      <c r="F11" s="75">
        <v>1</v>
      </c>
      <c r="G11" s="75">
        <v>0</v>
      </c>
      <c r="H11" s="75">
        <v>0</v>
      </c>
      <c r="I11" s="75">
        <v>0</v>
      </c>
      <c r="J11" s="75">
        <v>0</v>
      </c>
      <c r="K11" s="75">
        <v>0</v>
      </c>
      <c r="L11" s="75">
        <v>0</v>
      </c>
      <c r="M11" s="75">
        <v>0</v>
      </c>
      <c r="N11" s="75">
        <v>0</v>
      </c>
      <c r="O11" s="75">
        <v>0</v>
      </c>
      <c r="P11" s="75">
        <v>0</v>
      </c>
      <c r="Q11" s="75">
        <v>0</v>
      </c>
      <c r="R11" s="22"/>
    </row>
    <row r="12" spans="2:18" x14ac:dyDescent="0.15">
      <c r="B12" s="62"/>
      <c r="C12" s="69" t="s">
        <v>234</v>
      </c>
      <c r="D12" s="60" t="s">
        <v>226</v>
      </c>
      <c r="E12" s="38">
        <f t="shared" si="4"/>
        <v>0</v>
      </c>
      <c r="F12" s="38">
        <v>0</v>
      </c>
      <c r="G12" s="38">
        <v>0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22"/>
    </row>
    <row r="13" spans="2:18" x14ac:dyDescent="0.15">
      <c r="B13" s="62"/>
      <c r="C13" s="69" t="s">
        <v>234</v>
      </c>
      <c r="D13" s="60" t="s">
        <v>227</v>
      </c>
      <c r="E13" s="38">
        <f t="shared" si="4"/>
        <v>0</v>
      </c>
      <c r="F13" s="38">
        <v>0</v>
      </c>
      <c r="G13" s="38">
        <v>0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22"/>
    </row>
    <row r="14" spans="2:18" x14ac:dyDescent="0.15">
      <c r="B14" s="62"/>
      <c r="C14" s="69" t="s">
        <v>234</v>
      </c>
      <c r="D14" s="60" t="s">
        <v>228</v>
      </c>
      <c r="E14" s="38">
        <f t="shared" si="4"/>
        <v>0</v>
      </c>
      <c r="F14" s="38">
        <v>0</v>
      </c>
      <c r="G14" s="38">
        <v>0</v>
      </c>
      <c r="H14" s="38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22"/>
    </row>
    <row r="15" spans="2:18" x14ac:dyDescent="0.15">
      <c r="B15" s="62"/>
      <c r="C15" s="69" t="s">
        <v>234</v>
      </c>
      <c r="D15" s="72" t="s">
        <v>229</v>
      </c>
      <c r="E15" s="73">
        <f t="shared" si="4"/>
        <v>65000</v>
      </c>
      <c r="F15" s="73">
        <f>IF(SUM(F11:F14)&lt;&gt;0, F$1, 0)</f>
        <v>65000</v>
      </c>
      <c r="G15" s="73">
        <f t="shared" ref="G15:P15" si="5">IF(SUM(G11:G14)&lt;&gt;0, G$1, 0)</f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f t="shared" si="5"/>
        <v>0</v>
      </c>
      <c r="P15" s="73">
        <f t="shared" si="5"/>
        <v>0</v>
      </c>
      <c r="Q15" s="73">
        <f>IF(SUM(Q11:Q14)&lt;&gt;0, Q$1, 0)</f>
        <v>0</v>
      </c>
      <c r="R15" s="22"/>
    </row>
    <row r="16" spans="2:18" x14ac:dyDescent="0.15">
      <c r="B16" s="62"/>
      <c r="C16" s="69" t="s">
        <v>234</v>
      </c>
      <c r="D16" s="59" t="s">
        <v>231</v>
      </c>
      <c r="E16" s="64">
        <f t="shared" si="4"/>
        <v>65000</v>
      </c>
      <c r="F16" s="64">
        <f>SUM(F12:F15)</f>
        <v>65000</v>
      </c>
      <c r="G16" s="64">
        <f t="shared" ref="G16" si="6">SUM(G12:G15)</f>
        <v>0</v>
      </c>
      <c r="H16" s="64">
        <f t="shared" ref="H16" si="7">SUM(H12:H15)</f>
        <v>0</v>
      </c>
      <c r="I16" s="64">
        <f t="shared" ref="I16" si="8">SUM(I12:I15)</f>
        <v>0</v>
      </c>
      <c r="J16" s="64">
        <f t="shared" ref="J16" si="9">SUM(J12:J15)</f>
        <v>0</v>
      </c>
      <c r="K16" s="64">
        <f t="shared" ref="K16" si="10">SUM(K12:K15)</f>
        <v>0</v>
      </c>
      <c r="L16" s="64">
        <f t="shared" ref="L16" si="11">SUM(L12:L15)</f>
        <v>0</v>
      </c>
      <c r="M16" s="64">
        <f t="shared" ref="M16" si="12">SUM(M12:M15)</f>
        <v>0</v>
      </c>
      <c r="N16" s="64">
        <f t="shared" ref="N16" si="13">SUM(N12:N15)</f>
        <v>0</v>
      </c>
      <c r="O16" s="64">
        <f t="shared" ref="O16" si="14">SUM(O12:O15)</f>
        <v>0</v>
      </c>
      <c r="P16" s="64">
        <f t="shared" ref="P16" si="15">SUM(P12:P15)</f>
        <v>0</v>
      </c>
      <c r="Q16" s="64">
        <f t="shared" ref="Q16" si="16">SUM(Q12:Q15)</f>
        <v>0</v>
      </c>
      <c r="R16" s="22"/>
    </row>
    <row r="17" spans="2:18" x14ac:dyDescent="0.15">
      <c r="B17" s="62"/>
      <c r="C17" s="69" t="s">
        <v>234</v>
      </c>
      <c r="D17" s="65" t="s">
        <v>232</v>
      </c>
      <c r="E17" s="70">
        <f>SUM(F17:Q17)</f>
        <v>-64999</v>
      </c>
      <c r="F17" s="66">
        <f>F11-F16</f>
        <v>-64999</v>
      </c>
      <c r="G17" s="66">
        <f t="shared" ref="G17:Q17" si="17">G11-G16</f>
        <v>0</v>
      </c>
      <c r="H17" s="66">
        <f t="shared" si="17"/>
        <v>0</v>
      </c>
      <c r="I17" s="66">
        <f t="shared" si="17"/>
        <v>0</v>
      </c>
      <c r="J17" s="66">
        <f t="shared" si="17"/>
        <v>0</v>
      </c>
      <c r="K17" s="66">
        <f t="shared" si="17"/>
        <v>0</v>
      </c>
      <c r="L17" s="66">
        <f t="shared" si="17"/>
        <v>0</v>
      </c>
      <c r="M17" s="66">
        <f t="shared" si="17"/>
        <v>0</v>
      </c>
      <c r="N17" s="66">
        <f t="shared" si="17"/>
        <v>0</v>
      </c>
      <c r="O17" s="66">
        <f t="shared" si="17"/>
        <v>0</v>
      </c>
      <c r="P17" s="66">
        <f t="shared" si="17"/>
        <v>0</v>
      </c>
      <c r="Q17" s="66">
        <f t="shared" si="17"/>
        <v>0</v>
      </c>
      <c r="R17" s="22"/>
    </row>
    <row r="18" spans="2:18" x14ac:dyDescent="0.15">
      <c r="B18" s="63"/>
      <c r="C18" s="69" t="s">
        <v>234</v>
      </c>
      <c r="D18" s="6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22"/>
    </row>
    <row r="19" spans="2:18" x14ac:dyDescent="0.15">
      <c r="B19" s="61">
        <v>3</v>
      </c>
      <c r="C19" s="69" t="s">
        <v>235</v>
      </c>
      <c r="D19" s="74" t="s">
        <v>230</v>
      </c>
      <c r="E19" s="75">
        <f t="shared" ref="E19:E25" si="18">SUM(F19:Q19)</f>
        <v>1</v>
      </c>
      <c r="F19" s="75">
        <v>1</v>
      </c>
      <c r="G19" s="75">
        <v>0</v>
      </c>
      <c r="H19" s="75">
        <v>0</v>
      </c>
      <c r="I19" s="75">
        <v>0</v>
      </c>
      <c r="J19" s="75">
        <v>0</v>
      </c>
      <c r="K19" s="75">
        <v>0</v>
      </c>
      <c r="L19" s="75">
        <v>0</v>
      </c>
      <c r="M19" s="75">
        <v>0</v>
      </c>
      <c r="N19" s="75">
        <v>0</v>
      </c>
      <c r="O19" s="75">
        <v>0</v>
      </c>
      <c r="P19" s="75">
        <v>0</v>
      </c>
      <c r="Q19" s="75">
        <v>0</v>
      </c>
      <c r="R19" s="22"/>
    </row>
    <row r="20" spans="2:18" x14ac:dyDescent="0.15">
      <c r="B20" s="62"/>
      <c r="C20" s="69" t="s">
        <v>235</v>
      </c>
      <c r="D20" s="60" t="s">
        <v>226</v>
      </c>
      <c r="E20" s="38">
        <f t="shared" si="18"/>
        <v>0</v>
      </c>
      <c r="F20" s="38">
        <v>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22"/>
    </row>
    <row r="21" spans="2:18" x14ac:dyDescent="0.15">
      <c r="B21" s="62"/>
      <c r="C21" s="69" t="s">
        <v>235</v>
      </c>
      <c r="D21" s="60" t="s">
        <v>227</v>
      </c>
      <c r="E21" s="38">
        <f t="shared" si="18"/>
        <v>0</v>
      </c>
      <c r="F21" s="38">
        <v>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22"/>
    </row>
    <row r="22" spans="2:18" x14ac:dyDescent="0.15">
      <c r="B22" s="62"/>
      <c r="C22" s="69" t="s">
        <v>235</v>
      </c>
      <c r="D22" s="60" t="s">
        <v>228</v>
      </c>
      <c r="E22" s="38">
        <f t="shared" si="18"/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22"/>
    </row>
    <row r="23" spans="2:18" x14ac:dyDescent="0.15">
      <c r="B23" s="62"/>
      <c r="C23" s="69" t="s">
        <v>235</v>
      </c>
      <c r="D23" s="72" t="s">
        <v>229</v>
      </c>
      <c r="E23" s="73">
        <f t="shared" si="18"/>
        <v>65000</v>
      </c>
      <c r="F23" s="73">
        <f>IF(SUM(F19:F22)&lt;&gt;0, F$1, 0)</f>
        <v>65000</v>
      </c>
      <c r="G23" s="73">
        <f t="shared" ref="G23" si="19">IF(SUM(G19:G22)&lt;&gt;0, G$1, 0)</f>
        <v>0</v>
      </c>
      <c r="H23" s="73">
        <f t="shared" ref="H23" si="20">IF(SUM(H19:H22)&lt;&gt;0, H$1, 0)</f>
        <v>0</v>
      </c>
      <c r="I23" s="73">
        <f t="shared" ref="I23" si="21">IF(SUM(I19:I22)&lt;&gt;0, I$1, 0)</f>
        <v>0</v>
      </c>
      <c r="J23" s="73">
        <f t="shared" ref="J23" si="22">IF(SUM(J19:J22)&lt;&gt;0, J$1, 0)</f>
        <v>0</v>
      </c>
      <c r="K23" s="73">
        <f t="shared" ref="K23" si="23">IF(SUM(K19:K22)&lt;&gt;0, K$1, 0)</f>
        <v>0</v>
      </c>
      <c r="L23" s="73">
        <f t="shared" ref="L23" si="24">IF(SUM(L19:L22)&lt;&gt;0, L$1, 0)</f>
        <v>0</v>
      </c>
      <c r="M23" s="73">
        <f t="shared" ref="M23" si="25">IF(SUM(M19:M22)&lt;&gt;0, M$1, 0)</f>
        <v>0</v>
      </c>
      <c r="N23" s="73">
        <f t="shared" ref="N23" si="26">IF(SUM(N19:N22)&lt;&gt;0, N$1, 0)</f>
        <v>0</v>
      </c>
      <c r="O23" s="73">
        <f t="shared" ref="O23" si="27">IF(SUM(O19:O22)&lt;&gt;0, O$1, 0)</f>
        <v>0</v>
      </c>
      <c r="P23" s="73">
        <f t="shared" ref="P23" si="28">IF(SUM(P19:P22)&lt;&gt;0, P$1, 0)</f>
        <v>0</v>
      </c>
      <c r="Q23" s="73">
        <f>IF(SUM(Q19:Q22)&lt;&gt;0, Q$1, 0)</f>
        <v>0</v>
      </c>
      <c r="R23" s="22"/>
    </row>
    <row r="24" spans="2:18" x14ac:dyDescent="0.15">
      <c r="B24" s="62"/>
      <c r="C24" s="69" t="s">
        <v>235</v>
      </c>
      <c r="D24" s="59" t="s">
        <v>231</v>
      </c>
      <c r="E24" s="64">
        <f t="shared" si="18"/>
        <v>65000</v>
      </c>
      <c r="F24" s="64">
        <f>SUM(F20:F23)</f>
        <v>65000</v>
      </c>
      <c r="G24" s="64">
        <f t="shared" ref="G24" si="29">SUM(G20:G23)</f>
        <v>0</v>
      </c>
      <c r="H24" s="64">
        <f t="shared" ref="H24" si="30">SUM(H20:H23)</f>
        <v>0</v>
      </c>
      <c r="I24" s="64">
        <f t="shared" ref="I24" si="31">SUM(I20:I23)</f>
        <v>0</v>
      </c>
      <c r="J24" s="64">
        <f t="shared" ref="J24" si="32">SUM(J20:J23)</f>
        <v>0</v>
      </c>
      <c r="K24" s="64">
        <f t="shared" ref="K24" si="33">SUM(K20:K23)</f>
        <v>0</v>
      </c>
      <c r="L24" s="64">
        <f t="shared" ref="L24" si="34">SUM(L20:L23)</f>
        <v>0</v>
      </c>
      <c r="M24" s="64">
        <f t="shared" ref="M24" si="35">SUM(M20:M23)</f>
        <v>0</v>
      </c>
      <c r="N24" s="64">
        <f t="shared" ref="N24" si="36">SUM(N20:N23)</f>
        <v>0</v>
      </c>
      <c r="O24" s="64">
        <f t="shared" ref="O24" si="37">SUM(O20:O23)</f>
        <v>0</v>
      </c>
      <c r="P24" s="64">
        <f t="shared" ref="P24" si="38">SUM(P20:P23)</f>
        <v>0</v>
      </c>
      <c r="Q24" s="64">
        <f t="shared" ref="Q24" si="39">SUM(Q20:Q23)</f>
        <v>0</v>
      </c>
      <c r="R24" s="22"/>
    </row>
    <row r="25" spans="2:18" x14ac:dyDescent="0.15">
      <c r="B25" s="62"/>
      <c r="C25" s="69" t="s">
        <v>235</v>
      </c>
      <c r="D25" s="65" t="s">
        <v>232</v>
      </c>
      <c r="E25" s="70">
        <f t="shared" si="18"/>
        <v>-64999</v>
      </c>
      <c r="F25" s="66">
        <f>F19-F24</f>
        <v>-64999</v>
      </c>
      <c r="G25" s="66">
        <f t="shared" ref="G25" si="40">G19-G24</f>
        <v>0</v>
      </c>
      <c r="H25" s="66">
        <f t="shared" ref="H25" si="41">H19-H24</f>
        <v>0</v>
      </c>
      <c r="I25" s="66">
        <f t="shared" ref="I25" si="42">I19-I24</f>
        <v>0</v>
      </c>
      <c r="J25" s="66">
        <f t="shared" ref="J25" si="43">J19-J24</f>
        <v>0</v>
      </c>
      <c r="K25" s="66">
        <f t="shared" ref="K25" si="44">K19-K24</f>
        <v>0</v>
      </c>
      <c r="L25" s="66">
        <f t="shared" ref="L25" si="45">L19-L24</f>
        <v>0</v>
      </c>
      <c r="M25" s="66">
        <f t="shared" ref="M25" si="46">M19-M24</f>
        <v>0</v>
      </c>
      <c r="N25" s="66">
        <f t="shared" ref="N25" si="47">N19-N24</f>
        <v>0</v>
      </c>
      <c r="O25" s="66">
        <f t="shared" ref="O25" si="48">O19-O24</f>
        <v>0</v>
      </c>
      <c r="P25" s="66">
        <f t="shared" ref="P25" si="49">P19-P24</f>
        <v>0</v>
      </c>
      <c r="Q25" s="66">
        <f t="shared" ref="Q25" si="50">Q19-Q24</f>
        <v>0</v>
      </c>
      <c r="R25" s="22"/>
    </row>
    <row r="26" spans="2:18" x14ac:dyDescent="0.15">
      <c r="B26" s="63"/>
      <c r="C26" s="69" t="s">
        <v>235</v>
      </c>
      <c r="D26" s="60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22"/>
    </row>
    <row r="27" spans="2:18" x14ac:dyDescent="0.15">
      <c r="B27" s="61">
        <v>4</v>
      </c>
      <c r="C27" s="69" t="s">
        <v>237</v>
      </c>
      <c r="D27" s="74" t="s">
        <v>230</v>
      </c>
      <c r="E27" s="75">
        <f t="shared" ref="E27:E41" si="51">SUM(F27:Q27)</f>
        <v>0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  <c r="N27" s="75">
        <v>0</v>
      </c>
      <c r="O27" s="75">
        <v>0</v>
      </c>
      <c r="P27" s="75">
        <v>0</v>
      </c>
      <c r="Q27" s="75">
        <v>0</v>
      </c>
      <c r="R27" s="22"/>
    </row>
    <row r="28" spans="2:18" x14ac:dyDescent="0.15">
      <c r="B28" s="62"/>
      <c r="C28" s="69" t="s">
        <v>237</v>
      </c>
      <c r="D28" s="60" t="s">
        <v>226</v>
      </c>
      <c r="E28" s="38">
        <f t="shared" si="51"/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22"/>
    </row>
    <row r="29" spans="2:18" x14ac:dyDescent="0.15">
      <c r="B29" s="62"/>
      <c r="C29" s="69" t="s">
        <v>237</v>
      </c>
      <c r="D29" s="60" t="s">
        <v>227</v>
      </c>
      <c r="E29" s="38">
        <f t="shared" si="51"/>
        <v>0</v>
      </c>
      <c r="F29" s="38">
        <v>0</v>
      </c>
      <c r="G29" s="38">
        <v>0</v>
      </c>
      <c r="H29" s="38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22"/>
    </row>
    <row r="30" spans="2:18" x14ac:dyDescent="0.15">
      <c r="B30" s="62"/>
      <c r="C30" s="69" t="s">
        <v>237</v>
      </c>
      <c r="D30" s="60" t="s">
        <v>228</v>
      </c>
      <c r="E30" s="38">
        <f t="shared" si="51"/>
        <v>0</v>
      </c>
      <c r="F30" s="38">
        <v>0</v>
      </c>
      <c r="G30" s="38">
        <v>0</v>
      </c>
      <c r="H30" s="38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22"/>
    </row>
    <row r="31" spans="2:18" x14ac:dyDescent="0.15">
      <c r="B31" s="62"/>
      <c r="C31" s="69" t="s">
        <v>237</v>
      </c>
      <c r="D31" s="72" t="s">
        <v>229</v>
      </c>
      <c r="E31" s="73">
        <f t="shared" si="51"/>
        <v>0</v>
      </c>
      <c r="F31" s="73">
        <f>IF(SUM(F27:F30)&lt;&gt;0, F$1, 0)</f>
        <v>0</v>
      </c>
      <c r="G31" s="73">
        <f t="shared" ref="G31" si="52">IF(SUM(G27:G30)&lt;&gt;0, G$1, 0)</f>
        <v>0</v>
      </c>
      <c r="H31" s="73">
        <f t="shared" ref="H31" si="53">IF(SUM(H27:H30)&lt;&gt;0, H$1, 0)</f>
        <v>0</v>
      </c>
      <c r="I31" s="73">
        <f t="shared" ref="I31" si="54">IF(SUM(I27:I30)&lt;&gt;0, I$1, 0)</f>
        <v>0</v>
      </c>
      <c r="J31" s="73">
        <f t="shared" ref="J31" si="55">IF(SUM(J27:J30)&lt;&gt;0, J$1, 0)</f>
        <v>0</v>
      </c>
      <c r="K31" s="73">
        <f t="shared" ref="K31" si="56">IF(SUM(K27:K30)&lt;&gt;0, K$1, 0)</f>
        <v>0</v>
      </c>
      <c r="L31" s="73">
        <f t="shared" ref="L31" si="57">IF(SUM(L27:L30)&lt;&gt;0, L$1, 0)</f>
        <v>0</v>
      </c>
      <c r="M31" s="73">
        <f t="shared" ref="M31" si="58">IF(SUM(M27:M30)&lt;&gt;0, M$1, 0)</f>
        <v>0</v>
      </c>
      <c r="N31" s="73">
        <f t="shared" ref="N31" si="59">IF(SUM(N27:N30)&lt;&gt;0, N$1, 0)</f>
        <v>0</v>
      </c>
      <c r="O31" s="73">
        <f t="shared" ref="O31" si="60">IF(SUM(O27:O30)&lt;&gt;0, O$1, 0)</f>
        <v>0</v>
      </c>
      <c r="P31" s="73">
        <f t="shared" ref="P31" si="61">IF(SUM(P27:P30)&lt;&gt;0, P$1, 0)</f>
        <v>0</v>
      </c>
      <c r="Q31" s="73">
        <f>IF(SUM(Q27:Q30)&lt;&gt;0, Q$1, 0)</f>
        <v>0</v>
      </c>
      <c r="R31" s="22"/>
    </row>
    <row r="32" spans="2:18" x14ac:dyDescent="0.15">
      <c r="B32" s="62"/>
      <c r="C32" s="69" t="s">
        <v>237</v>
      </c>
      <c r="D32" s="59" t="s">
        <v>231</v>
      </c>
      <c r="E32" s="64">
        <f t="shared" si="51"/>
        <v>0</v>
      </c>
      <c r="F32" s="64">
        <f>SUM(F28:F31)</f>
        <v>0</v>
      </c>
      <c r="G32" s="64">
        <f t="shared" ref="G32" si="62">SUM(G28:G31)</f>
        <v>0</v>
      </c>
      <c r="H32" s="64">
        <f t="shared" ref="H32" si="63">SUM(H28:H31)</f>
        <v>0</v>
      </c>
      <c r="I32" s="64">
        <f t="shared" ref="I32" si="64">SUM(I28:I31)</f>
        <v>0</v>
      </c>
      <c r="J32" s="64">
        <f t="shared" ref="J32" si="65">SUM(J28:J31)</f>
        <v>0</v>
      </c>
      <c r="K32" s="64">
        <f t="shared" ref="K32" si="66">SUM(K28:K31)</f>
        <v>0</v>
      </c>
      <c r="L32" s="64">
        <f t="shared" ref="L32" si="67">SUM(L28:L31)</f>
        <v>0</v>
      </c>
      <c r="M32" s="64">
        <f t="shared" ref="M32" si="68">SUM(M28:M31)</f>
        <v>0</v>
      </c>
      <c r="N32" s="64">
        <f t="shared" ref="N32" si="69">SUM(N28:N31)</f>
        <v>0</v>
      </c>
      <c r="O32" s="64">
        <f t="shared" ref="O32" si="70">SUM(O28:O31)</f>
        <v>0</v>
      </c>
      <c r="P32" s="64">
        <f t="shared" ref="P32" si="71">SUM(P28:P31)</f>
        <v>0</v>
      </c>
      <c r="Q32" s="64">
        <f t="shared" ref="Q32" si="72">SUM(Q28:Q31)</f>
        <v>0</v>
      </c>
      <c r="R32" s="22"/>
    </row>
    <row r="33" spans="2:18" x14ac:dyDescent="0.15">
      <c r="B33" s="62"/>
      <c r="C33" s="69" t="s">
        <v>237</v>
      </c>
      <c r="D33" s="65" t="s">
        <v>232</v>
      </c>
      <c r="E33" s="70">
        <f t="shared" si="51"/>
        <v>0</v>
      </c>
      <c r="F33" s="66">
        <f>F27-F32</f>
        <v>0</v>
      </c>
      <c r="G33" s="66">
        <f t="shared" ref="G33" si="73">G27-G32</f>
        <v>0</v>
      </c>
      <c r="H33" s="66">
        <f t="shared" ref="H33" si="74">H27-H32</f>
        <v>0</v>
      </c>
      <c r="I33" s="66">
        <f t="shared" ref="I33" si="75">I27-I32</f>
        <v>0</v>
      </c>
      <c r="J33" s="66">
        <f t="shared" ref="J33" si="76">J27-J32</f>
        <v>0</v>
      </c>
      <c r="K33" s="66">
        <f t="shared" ref="K33" si="77">K27-K32</f>
        <v>0</v>
      </c>
      <c r="L33" s="66">
        <f t="shared" ref="L33" si="78">L27-L32</f>
        <v>0</v>
      </c>
      <c r="M33" s="66">
        <f t="shared" ref="M33" si="79">M27-M32</f>
        <v>0</v>
      </c>
      <c r="N33" s="66">
        <f t="shared" ref="N33" si="80">N27-N32</f>
        <v>0</v>
      </c>
      <c r="O33" s="66">
        <f t="shared" ref="O33" si="81">O27-O32</f>
        <v>0</v>
      </c>
      <c r="P33" s="66">
        <f t="shared" ref="P33" si="82">P27-P32</f>
        <v>0</v>
      </c>
      <c r="Q33" s="66">
        <f t="shared" ref="Q33" si="83">Q27-Q32</f>
        <v>0</v>
      </c>
      <c r="R33" s="22"/>
    </row>
    <row r="34" spans="2:18" x14ac:dyDescent="0.15">
      <c r="B34" s="63"/>
      <c r="C34" s="69" t="s">
        <v>237</v>
      </c>
      <c r="D34" s="60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22"/>
    </row>
    <row r="35" spans="2:18" x14ac:dyDescent="0.15">
      <c r="B35" s="61">
        <v>5</v>
      </c>
      <c r="C35" s="69" t="s">
        <v>238</v>
      </c>
      <c r="D35" s="74" t="s">
        <v>230</v>
      </c>
      <c r="E35" s="75">
        <f t="shared" si="51"/>
        <v>0</v>
      </c>
      <c r="F35" s="75">
        <v>0</v>
      </c>
      <c r="G35" s="75">
        <v>0</v>
      </c>
      <c r="H35" s="75">
        <v>0</v>
      </c>
      <c r="I35" s="75">
        <v>0</v>
      </c>
      <c r="J35" s="75">
        <v>0</v>
      </c>
      <c r="K35" s="75">
        <v>0</v>
      </c>
      <c r="L35" s="75">
        <v>0</v>
      </c>
      <c r="M35" s="75">
        <v>0</v>
      </c>
      <c r="N35" s="75">
        <v>0</v>
      </c>
      <c r="O35" s="75">
        <v>0</v>
      </c>
      <c r="P35" s="75">
        <v>0</v>
      </c>
      <c r="Q35" s="75">
        <v>0</v>
      </c>
      <c r="R35" s="22"/>
    </row>
    <row r="36" spans="2:18" x14ac:dyDescent="0.15">
      <c r="B36" s="62"/>
      <c r="C36" s="69" t="s">
        <v>238</v>
      </c>
      <c r="D36" s="60" t="s">
        <v>226</v>
      </c>
      <c r="E36" s="38">
        <f t="shared" si="51"/>
        <v>0</v>
      </c>
      <c r="F36" s="38">
        <v>0</v>
      </c>
      <c r="G36" s="38">
        <v>0</v>
      </c>
      <c r="H36" s="38">
        <v>0</v>
      </c>
      <c r="I36" s="38">
        <v>0</v>
      </c>
      <c r="J36" s="38">
        <v>0</v>
      </c>
      <c r="K36" s="38">
        <v>0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22"/>
    </row>
    <row r="37" spans="2:18" x14ac:dyDescent="0.15">
      <c r="B37" s="62"/>
      <c r="C37" s="69" t="s">
        <v>238</v>
      </c>
      <c r="D37" s="60" t="s">
        <v>227</v>
      </c>
      <c r="E37" s="38">
        <f t="shared" si="51"/>
        <v>0</v>
      </c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v>0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22"/>
    </row>
    <row r="38" spans="2:18" x14ac:dyDescent="0.15">
      <c r="B38" s="62"/>
      <c r="C38" s="69" t="s">
        <v>238</v>
      </c>
      <c r="D38" s="60" t="s">
        <v>228</v>
      </c>
      <c r="E38" s="38">
        <f t="shared" si="51"/>
        <v>0</v>
      </c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22"/>
    </row>
    <row r="39" spans="2:18" x14ac:dyDescent="0.15">
      <c r="B39" s="62"/>
      <c r="C39" s="69" t="s">
        <v>238</v>
      </c>
      <c r="D39" s="72" t="s">
        <v>229</v>
      </c>
      <c r="E39" s="73">
        <f t="shared" si="51"/>
        <v>0</v>
      </c>
      <c r="F39" s="73">
        <f>IF(SUM(F35:F38)&lt;&gt;0, F$1, 0)</f>
        <v>0</v>
      </c>
      <c r="G39" s="73">
        <f t="shared" ref="G39" si="84">IF(SUM(G35:G38)&lt;&gt;0, G$1, 0)</f>
        <v>0</v>
      </c>
      <c r="H39" s="73">
        <f t="shared" ref="H39" si="85">IF(SUM(H35:H38)&lt;&gt;0, H$1, 0)</f>
        <v>0</v>
      </c>
      <c r="I39" s="73">
        <f t="shared" ref="I39" si="86">IF(SUM(I35:I38)&lt;&gt;0, I$1, 0)</f>
        <v>0</v>
      </c>
      <c r="J39" s="73">
        <f t="shared" ref="J39" si="87">IF(SUM(J35:J38)&lt;&gt;0, J$1, 0)</f>
        <v>0</v>
      </c>
      <c r="K39" s="73">
        <f t="shared" ref="K39" si="88">IF(SUM(K35:K38)&lt;&gt;0, K$1, 0)</f>
        <v>0</v>
      </c>
      <c r="L39" s="73">
        <f t="shared" ref="L39" si="89">IF(SUM(L35:L38)&lt;&gt;0, L$1, 0)</f>
        <v>0</v>
      </c>
      <c r="M39" s="73">
        <f t="shared" ref="M39" si="90">IF(SUM(M35:M38)&lt;&gt;0, M$1, 0)</f>
        <v>0</v>
      </c>
      <c r="N39" s="73">
        <f t="shared" ref="N39" si="91">IF(SUM(N35:N38)&lt;&gt;0, N$1, 0)</f>
        <v>0</v>
      </c>
      <c r="O39" s="73">
        <f t="shared" ref="O39" si="92">IF(SUM(O35:O38)&lt;&gt;0, O$1, 0)</f>
        <v>0</v>
      </c>
      <c r="P39" s="73">
        <f t="shared" ref="P39" si="93">IF(SUM(P35:P38)&lt;&gt;0, P$1, 0)</f>
        <v>0</v>
      </c>
      <c r="Q39" s="73">
        <f>IF(SUM(Q35:Q38)&lt;&gt;0, Q$1, 0)</f>
        <v>0</v>
      </c>
      <c r="R39" s="22"/>
    </row>
    <row r="40" spans="2:18" x14ac:dyDescent="0.15">
      <c r="B40" s="62"/>
      <c r="C40" s="69" t="s">
        <v>238</v>
      </c>
      <c r="D40" s="59" t="s">
        <v>231</v>
      </c>
      <c r="E40" s="64">
        <f t="shared" si="51"/>
        <v>0</v>
      </c>
      <c r="F40" s="64">
        <f>SUM(F36:F39)</f>
        <v>0</v>
      </c>
      <c r="G40" s="64">
        <f t="shared" ref="G40" si="94">SUM(G36:G39)</f>
        <v>0</v>
      </c>
      <c r="H40" s="64">
        <f t="shared" ref="H40" si="95">SUM(H36:H39)</f>
        <v>0</v>
      </c>
      <c r="I40" s="64">
        <f t="shared" ref="I40" si="96">SUM(I36:I39)</f>
        <v>0</v>
      </c>
      <c r="J40" s="64">
        <f t="shared" ref="J40" si="97">SUM(J36:J39)</f>
        <v>0</v>
      </c>
      <c r="K40" s="64">
        <f t="shared" ref="K40" si="98">SUM(K36:K39)</f>
        <v>0</v>
      </c>
      <c r="L40" s="64">
        <f t="shared" ref="L40" si="99">SUM(L36:L39)</f>
        <v>0</v>
      </c>
      <c r="M40" s="64">
        <f t="shared" ref="M40" si="100">SUM(M36:M39)</f>
        <v>0</v>
      </c>
      <c r="N40" s="64">
        <f t="shared" ref="N40" si="101">SUM(N36:N39)</f>
        <v>0</v>
      </c>
      <c r="O40" s="64">
        <f t="shared" ref="O40" si="102">SUM(O36:O39)</f>
        <v>0</v>
      </c>
      <c r="P40" s="64">
        <f t="shared" ref="P40" si="103">SUM(P36:P39)</f>
        <v>0</v>
      </c>
      <c r="Q40" s="64">
        <f t="shared" ref="Q40" si="104">SUM(Q36:Q39)</f>
        <v>0</v>
      </c>
      <c r="R40" s="22"/>
    </row>
    <row r="41" spans="2:18" x14ac:dyDescent="0.15">
      <c r="B41" s="62"/>
      <c r="C41" s="69" t="s">
        <v>238</v>
      </c>
      <c r="D41" s="65" t="s">
        <v>232</v>
      </c>
      <c r="E41" s="70">
        <f t="shared" si="51"/>
        <v>0</v>
      </c>
      <c r="F41" s="66">
        <f>F35-F40</f>
        <v>0</v>
      </c>
      <c r="G41" s="66">
        <f t="shared" ref="G41" si="105">G35-G40</f>
        <v>0</v>
      </c>
      <c r="H41" s="66">
        <f t="shared" ref="H41" si="106">H35-H40</f>
        <v>0</v>
      </c>
      <c r="I41" s="66">
        <f t="shared" ref="I41" si="107">I35-I40</f>
        <v>0</v>
      </c>
      <c r="J41" s="66">
        <f t="shared" ref="J41" si="108">J35-J40</f>
        <v>0</v>
      </c>
      <c r="K41" s="66">
        <f t="shared" ref="K41" si="109">K35-K40</f>
        <v>0</v>
      </c>
      <c r="L41" s="66">
        <f t="shared" ref="L41" si="110">L35-L40</f>
        <v>0</v>
      </c>
      <c r="M41" s="66">
        <f t="shared" ref="M41" si="111">M35-M40</f>
        <v>0</v>
      </c>
      <c r="N41" s="66">
        <f t="shared" ref="N41" si="112">N35-N40</f>
        <v>0</v>
      </c>
      <c r="O41" s="66">
        <f t="shared" ref="O41" si="113">O35-O40</f>
        <v>0</v>
      </c>
      <c r="P41" s="66">
        <f t="shared" ref="P41" si="114">P35-P40</f>
        <v>0</v>
      </c>
      <c r="Q41" s="66">
        <f t="shared" ref="Q41" si="115">Q35-Q40</f>
        <v>0</v>
      </c>
      <c r="R41" s="22"/>
    </row>
    <row r="42" spans="2:18" x14ac:dyDescent="0.15">
      <c r="B42" s="63"/>
      <c r="C42" s="69" t="s">
        <v>238</v>
      </c>
      <c r="D42" s="60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22"/>
    </row>
  </sheetData>
  <autoFilter ref="B2:R42" xr:uid="{37D43028-5B83-4D29-A1F8-02DBDE206F05}"/>
  <phoneticPr fontId="6"/>
  <dataValidations count="1">
    <dataValidation type="list" allowBlank="1" showInputMessage="1" showErrorMessage="1" sqref="D3:D42" xr:uid="{E1D197F4-8F00-447B-98B0-70322FC503BD}">
      <formula1>項目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コストデータ読み取り">
                <anchor moveWithCells="1" siz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2</xdr:col>
                    <xdr:colOff>1409700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コストデータクリア">
                <anchor moveWithCells="1" sizeWithCells="1">
                  <from>
                    <xdr:col>3</xdr:col>
                    <xdr:colOff>47625</xdr:colOff>
                    <xdr:row>0</xdr:row>
                    <xdr:rowOff>66675</xdr:rowOff>
                  </from>
                  <to>
                    <xdr:col>3</xdr:col>
                    <xdr:colOff>1400175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29D8-A1E2-4CDA-B1E4-803FBCCE41E8}">
  <sheetPr codeName="Sheet4"/>
  <dimension ref="B2:J21"/>
  <sheetViews>
    <sheetView showGridLines="0" workbookViewId="0"/>
  </sheetViews>
  <sheetFormatPr defaultRowHeight="13.5" x14ac:dyDescent="0.15"/>
  <cols>
    <col min="1" max="1" width="3.125" customWidth="1"/>
    <col min="2" max="2" width="13.125" bestFit="1" customWidth="1"/>
    <col min="3" max="3" width="10" customWidth="1"/>
    <col min="4" max="4" width="11.75" bestFit="1" customWidth="1"/>
    <col min="5" max="5" width="9" style="121" bestFit="1" customWidth="1"/>
    <col min="6" max="6" width="11.625" bestFit="1" customWidth="1"/>
    <col min="7" max="7" width="4.375" customWidth="1"/>
    <col min="8" max="9" width="22.375" customWidth="1"/>
  </cols>
  <sheetData>
    <row r="2" spans="2:10" x14ac:dyDescent="0.15">
      <c r="B2" s="25" t="s">
        <v>203</v>
      </c>
      <c r="C2" s="25" t="s">
        <v>197</v>
      </c>
      <c r="D2" s="25" t="s">
        <v>196</v>
      </c>
      <c r="E2" s="120" t="s">
        <v>425</v>
      </c>
      <c r="F2" s="41" t="s">
        <v>209</v>
      </c>
      <c r="G2" s="44" t="s">
        <v>219</v>
      </c>
      <c r="H2" s="41" t="s">
        <v>225</v>
      </c>
      <c r="I2" s="41" t="s">
        <v>242</v>
      </c>
    </row>
    <row r="3" spans="2:10" x14ac:dyDescent="0.15">
      <c r="B3" s="22" t="s">
        <v>386</v>
      </c>
      <c r="C3" s="36" t="s">
        <v>194</v>
      </c>
      <c r="D3" s="22" t="s">
        <v>395</v>
      </c>
      <c r="E3" s="22">
        <v>0.08</v>
      </c>
      <c r="F3" s="42" t="s">
        <v>210</v>
      </c>
      <c r="G3" s="45">
        <v>0</v>
      </c>
      <c r="H3" s="42" t="s">
        <v>230</v>
      </c>
      <c r="I3" s="42" t="s">
        <v>243</v>
      </c>
      <c r="J3" s="84" t="s">
        <v>405</v>
      </c>
    </row>
    <row r="4" spans="2:10" x14ac:dyDescent="0.15">
      <c r="B4" s="22" t="s">
        <v>387</v>
      </c>
      <c r="C4" s="36" t="s">
        <v>195</v>
      </c>
      <c r="D4" s="22" t="s">
        <v>396</v>
      </c>
      <c r="E4" s="22">
        <v>0.1</v>
      </c>
      <c r="F4" s="42" t="s">
        <v>211</v>
      </c>
      <c r="G4" s="45">
        <v>0.1</v>
      </c>
      <c r="H4" s="42" t="s">
        <v>226</v>
      </c>
      <c r="I4" s="22" t="s">
        <v>404</v>
      </c>
      <c r="J4" s="84" t="s">
        <v>406</v>
      </c>
    </row>
    <row r="5" spans="2:10" x14ac:dyDescent="0.15">
      <c r="B5" s="22" t="s">
        <v>388</v>
      </c>
      <c r="C5" s="22"/>
      <c r="D5" s="22" t="s">
        <v>397</v>
      </c>
      <c r="E5" s="43"/>
      <c r="F5" s="43"/>
      <c r="G5" s="45">
        <v>0.2</v>
      </c>
      <c r="H5" s="43" t="s">
        <v>227</v>
      </c>
      <c r="I5" s="22" t="s">
        <v>403</v>
      </c>
      <c r="J5" s="84" t="s">
        <v>407</v>
      </c>
    </row>
    <row r="6" spans="2:10" x14ac:dyDescent="0.15">
      <c r="B6" s="22" t="s">
        <v>389</v>
      </c>
      <c r="C6" s="22"/>
      <c r="D6" s="22" t="s">
        <v>398</v>
      </c>
      <c r="E6" s="43"/>
      <c r="F6" s="22"/>
      <c r="G6" s="45">
        <v>0.3</v>
      </c>
      <c r="H6" s="43" t="s">
        <v>228</v>
      </c>
      <c r="I6" s="22" t="s">
        <v>244</v>
      </c>
    </row>
    <row r="7" spans="2:10" x14ac:dyDescent="0.15">
      <c r="B7" s="22" t="s">
        <v>390</v>
      </c>
      <c r="C7" s="22"/>
      <c r="D7" s="22" t="s">
        <v>399</v>
      </c>
      <c r="E7" s="43"/>
      <c r="F7" s="22"/>
      <c r="G7" s="45">
        <v>0.4</v>
      </c>
      <c r="H7" s="43" t="s">
        <v>229</v>
      </c>
      <c r="I7" s="22" t="s">
        <v>412</v>
      </c>
    </row>
    <row r="8" spans="2:10" x14ac:dyDescent="0.15">
      <c r="B8" s="22" t="s">
        <v>391</v>
      </c>
      <c r="C8" s="22"/>
      <c r="D8" s="22" t="s">
        <v>400</v>
      </c>
      <c r="E8" s="43"/>
      <c r="F8" s="22"/>
      <c r="G8" s="45">
        <v>0.5</v>
      </c>
      <c r="H8" s="42" t="s">
        <v>231</v>
      </c>
      <c r="I8" s="22" t="s">
        <v>384</v>
      </c>
    </row>
    <row r="9" spans="2:10" x14ac:dyDescent="0.15">
      <c r="B9" s="22" t="s">
        <v>392</v>
      </c>
      <c r="C9" s="22"/>
      <c r="D9" s="22" t="s">
        <v>401</v>
      </c>
      <c r="E9" s="43"/>
      <c r="F9" s="22"/>
      <c r="G9" s="45">
        <v>0.6</v>
      </c>
      <c r="H9" s="42" t="s">
        <v>233</v>
      </c>
      <c r="I9" s="22" t="s">
        <v>245</v>
      </c>
    </row>
    <row r="10" spans="2:10" x14ac:dyDescent="0.15">
      <c r="B10" s="22" t="s">
        <v>393</v>
      </c>
      <c r="C10" s="22"/>
      <c r="D10" s="22" t="s">
        <v>410</v>
      </c>
      <c r="E10" s="43"/>
      <c r="F10" s="22"/>
      <c r="G10" s="45">
        <v>0.7</v>
      </c>
      <c r="H10" s="22"/>
      <c r="I10" s="22" t="s">
        <v>408</v>
      </c>
    </row>
    <row r="11" spans="2:10" x14ac:dyDescent="0.15">
      <c r="B11" s="22"/>
      <c r="C11" s="22"/>
      <c r="D11" s="22"/>
      <c r="E11" s="43"/>
      <c r="F11" s="22"/>
      <c r="G11" s="45">
        <v>0.8</v>
      </c>
      <c r="H11" s="22"/>
      <c r="I11" s="22" t="s">
        <v>382</v>
      </c>
    </row>
    <row r="12" spans="2:10" x14ac:dyDescent="0.15">
      <c r="B12" s="22"/>
      <c r="C12" s="22"/>
      <c r="D12" s="22"/>
      <c r="E12" s="43"/>
      <c r="F12" s="22"/>
      <c r="G12" s="45">
        <v>0.9</v>
      </c>
      <c r="H12" s="22"/>
      <c r="I12" s="22" t="s">
        <v>385</v>
      </c>
    </row>
    <row r="13" spans="2:10" x14ac:dyDescent="0.15">
      <c r="B13" s="22"/>
      <c r="C13" s="22"/>
      <c r="D13" s="22"/>
      <c r="E13" s="43"/>
      <c r="F13" s="22"/>
      <c r="G13" s="45">
        <v>1</v>
      </c>
      <c r="H13" s="22"/>
      <c r="I13" s="22"/>
    </row>
    <row r="14" spans="2:10" x14ac:dyDescent="0.15">
      <c r="B14" s="22"/>
      <c r="C14" s="22"/>
      <c r="D14" s="22"/>
      <c r="E14" s="43"/>
      <c r="F14" s="22"/>
      <c r="G14" s="22"/>
      <c r="H14" s="22"/>
      <c r="I14" s="22"/>
    </row>
    <row r="15" spans="2:10" x14ac:dyDescent="0.15">
      <c r="E15"/>
    </row>
    <row r="16" spans="2:10" x14ac:dyDescent="0.15">
      <c r="E16"/>
    </row>
    <row r="17" spans="5:5" x14ac:dyDescent="0.15">
      <c r="E17"/>
    </row>
    <row r="18" spans="5:5" x14ac:dyDescent="0.15">
      <c r="E18"/>
    </row>
    <row r="19" spans="5:5" x14ac:dyDescent="0.15">
      <c r="E19"/>
    </row>
    <row r="20" spans="5:5" x14ac:dyDescent="0.15">
      <c r="E20"/>
    </row>
    <row r="21" spans="5:5" x14ac:dyDescent="0.15">
      <c r="E21"/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55D6-2661-47A4-8906-7CF3F50B8980}">
  <sheetPr codeName="Sheet36">
    <tabColor rgb="FFFF0000"/>
  </sheetPr>
  <dimension ref="B1:AD19"/>
  <sheetViews>
    <sheetView showGridLines="0" tabSelected="1" view="pageBreakPreview" zoomScale="85" zoomScaleNormal="100" zoomScaleSheetLayoutView="85" workbookViewId="0">
      <pane xSplit="12" ySplit="2" topLeftCell="M3" activePane="bottomRight" state="frozen"/>
      <selection activeCell="F88" sqref="F88"/>
      <selection pane="topRight" activeCell="F88" sqref="F88"/>
      <selection pane="bottomLeft" activeCell="F88" sqref="F88"/>
      <selection pane="bottomRight" activeCell="J5" sqref="J5"/>
    </sheetView>
  </sheetViews>
  <sheetFormatPr defaultColWidth="10.5" defaultRowHeight="13.5" x14ac:dyDescent="0.15"/>
  <cols>
    <col min="1" max="1" width="1.5" style="8" customWidth="1"/>
    <col min="2" max="2" width="4.625" style="1" customWidth="1"/>
    <col min="3" max="3" width="11.875" style="2" bestFit="1" customWidth="1"/>
    <col min="4" max="4" width="10" style="3" bestFit="1" customWidth="1"/>
    <col min="5" max="5" width="11" style="3" bestFit="1" customWidth="1"/>
    <col min="6" max="6" width="27.625" style="3" customWidth="1"/>
    <col min="7" max="7" width="10.5" style="3" bestFit="1" customWidth="1"/>
    <col min="8" max="8" width="6.75" style="5" bestFit="1" customWidth="1"/>
    <col min="9" max="9" width="25.5" style="4" customWidth="1"/>
    <col min="10" max="10" width="12.375" style="5" bestFit="1" customWidth="1"/>
    <col min="11" max="11" width="7.125" style="5" bestFit="1" customWidth="1"/>
    <col min="12" max="12" width="10" style="5" customWidth="1"/>
    <col min="13" max="13" width="8.125" style="5" customWidth="1"/>
    <col min="14" max="14" width="11.75" style="5" bestFit="1" customWidth="1"/>
    <col min="15" max="15" width="4.5" style="5" bestFit="1" customWidth="1"/>
    <col min="16" max="16" width="10.375" style="5" bestFit="1" customWidth="1"/>
    <col min="17" max="17" width="11.5" style="32" bestFit="1" customWidth="1"/>
    <col min="18" max="18" width="19.25" style="129" bestFit="1" customWidth="1"/>
    <col min="19" max="19" width="13.5" style="6" bestFit="1" customWidth="1"/>
    <col min="20" max="20" width="11.125" style="2" bestFit="1" customWidth="1"/>
    <col min="21" max="21" width="11.625" style="2" bestFit="1" customWidth="1"/>
    <col min="22" max="22" width="8.125" style="3" bestFit="1" customWidth="1"/>
    <col min="23" max="23" width="11.625" style="2" bestFit="1" customWidth="1"/>
    <col min="24" max="24" width="8.125" style="3" bestFit="1" customWidth="1"/>
    <col min="25" max="25" width="11.625" style="2" bestFit="1" customWidth="1"/>
    <col min="26" max="26" width="11.75" style="3" bestFit="1" customWidth="1"/>
    <col min="27" max="27" width="5.5" style="19" customWidth="1"/>
    <col min="28" max="28" width="11.125" style="3" bestFit="1" customWidth="1"/>
    <col min="29" max="29" width="5.625" style="19" customWidth="1"/>
    <col min="30" max="30" width="36" style="7" customWidth="1"/>
    <col min="31" max="31" width="1.125" style="8" customWidth="1"/>
    <col min="32" max="16384" width="10.5" style="8"/>
  </cols>
  <sheetData>
    <row r="1" spans="2:30" ht="22.5" customHeight="1" x14ac:dyDescent="0.15">
      <c r="B1" s="28"/>
      <c r="C1" s="28"/>
      <c r="D1" s="28"/>
      <c r="E1" s="28"/>
      <c r="F1" s="28"/>
      <c r="G1" s="76">
        <f>COUNTIF(G3:G119,"待機")</f>
        <v>0</v>
      </c>
      <c r="H1" s="54">
        <f>SUM(H3:H119)</f>
        <v>0</v>
      </c>
      <c r="I1" s="28"/>
      <c r="J1" s="28"/>
      <c r="K1" s="28"/>
      <c r="L1" s="18"/>
      <c r="M1" s="18"/>
      <c r="N1" s="18">
        <f>SUM(N3:N119)</f>
        <v>90909</v>
      </c>
      <c r="O1" s="18"/>
      <c r="P1" s="18">
        <f>SUM(P3:P118)</f>
        <v>9090.9</v>
      </c>
      <c r="Q1" s="18">
        <f>SUM(Q3:Q119)</f>
        <v>99999.9</v>
      </c>
      <c r="R1" s="126">
        <f>SUM(R3:R119)</f>
        <v>100000</v>
      </c>
      <c r="S1" s="18">
        <f>SUM(S3:S119)</f>
        <v>0</v>
      </c>
    </row>
    <row r="2" spans="2:30" ht="27" x14ac:dyDescent="0.15">
      <c r="B2" s="9" t="s">
        <v>0</v>
      </c>
      <c r="C2" s="10" t="s">
        <v>6</v>
      </c>
      <c r="D2" s="11" t="s">
        <v>3</v>
      </c>
      <c r="E2" s="21" t="s">
        <v>41</v>
      </c>
      <c r="F2" s="21" t="s">
        <v>38</v>
      </c>
      <c r="G2" s="12" t="s">
        <v>1</v>
      </c>
      <c r="H2" s="30" t="s">
        <v>221</v>
      </c>
      <c r="I2" s="10" t="s">
        <v>2</v>
      </c>
      <c r="J2" s="13" t="s">
        <v>4</v>
      </c>
      <c r="K2" s="40" t="s">
        <v>208</v>
      </c>
      <c r="L2" s="30" t="s">
        <v>220</v>
      </c>
      <c r="M2" s="30" t="s">
        <v>409</v>
      </c>
      <c r="N2" s="29" t="s">
        <v>5</v>
      </c>
      <c r="O2" s="148" t="s">
        <v>426</v>
      </c>
      <c r="P2" s="149"/>
      <c r="Q2" s="30" t="s">
        <v>42</v>
      </c>
      <c r="R2" s="127" t="s">
        <v>214</v>
      </c>
      <c r="S2" s="30" t="s">
        <v>213</v>
      </c>
      <c r="T2" s="14" t="s">
        <v>8</v>
      </c>
      <c r="U2" s="30" t="s">
        <v>246</v>
      </c>
      <c r="V2" s="14" t="s">
        <v>12</v>
      </c>
      <c r="W2" s="14" t="s">
        <v>11</v>
      </c>
      <c r="X2" s="14" t="s">
        <v>14</v>
      </c>
      <c r="Y2" s="14" t="s">
        <v>13</v>
      </c>
      <c r="Z2" s="30" t="s">
        <v>215</v>
      </c>
      <c r="AA2" s="95" t="s">
        <v>216</v>
      </c>
      <c r="AB2" s="30" t="s">
        <v>217</v>
      </c>
      <c r="AC2" s="95" t="s">
        <v>218</v>
      </c>
      <c r="AD2" s="14" t="s">
        <v>7</v>
      </c>
    </row>
    <row r="3" spans="2:30" s="15" customFormat="1" ht="27" customHeight="1" x14ac:dyDescent="0.15">
      <c r="B3" s="134">
        <f t="shared" ref="B3:B19" si="0">ROW()-2</f>
        <v>1</v>
      </c>
      <c r="C3" s="135">
        <v>44013</v>
      </c>
      <c r="D3" s="136" t="s">
        <v>97</v>
      </c>
      <c r="E3" s="137" t="s">
        <v>402</v>
      </c>
      <c r="F3" s="137" t="s">
        <v>263</v>
      </c>
      <c r="G3" s="138" t="s">
        <v>411</v>
      </c>
      <c r="H3" s="139">
        <v>0</v>
      </c>
      <c r="I3" s="140" t="s">
        <v>261</v>
      </c>
      <c r="J3" s="141" t="s">
        <v>224</v>
      </c>
      <c r="K3" s="141" t="s">
        <v>212</v>
      </c>
      <c r="L3" s="142">
        <v>90909</v>
      </c>
      <c r="M3" s="139">
        <v>1</v>
      </c>
      <c r="N3" s="46">
        <f t="shared" ref="N3:N11" si="1">L3*M3</f>
        <v>90909</v>
      </c>
      <c r="O3" s="143">
        <v>0.1</v>
      </c>
      <c r="P3" s="123">
        <f>IF(K3="課税",N3*O3,0)</f>
        <v>9090.9</v>
      </c>
      <c r="Q3" s="123">
        <f t="shared" ref="Q3:Q11" si="2">N3+P3</f>
        <v>99999.9</v>
      </c>
      <c r="R3" s="144">
        <v>100000</v>
      </c>
      <c r="S3" s="47">
        <f>ROUND(R3-Q3,0)</f>
        <v>0</v>
      </c>
      <c r="T3" s="135">
        <v>44043</v>
      </c>
      <c r="U3" s="135">
        <v>44043</v>
      </c>
      <c r="V3" s="94" t="s">
        <v>195</v>
      </c>
      <c r="W3" s="135">
        <v>44043</v>
      </c>
      <c r="X3" s="124" t="s">
        <v>194</v>
      </c>
      <c r="Y3" s="77"/>
      <c r="Z3" s="94" t="s">
        <v>394</v>
      </c>
      <c r="AA3" s="96">
        <v>1</v>
      </c>
      <c r="AB3" s="94" t="s">
        <v>410</v>
      </c>
      <c r="AC3" s="96">
        <f>IF(AA3&lt;&gt;"", 1-AA3,0)</f>
        <v>0</v>
      </c>
      <c r="AD3" s="97"/>
    </row>
    <row r="4" spans="2:30" s="15" customFormat="1" ht="27" customHeight="1" x14ac:dyDescent="0.15">
      <c r="B4" s="85">
        <f t="shared" si="0"/>
        <v>2</v>
      </c>
      <c r="C4" s="86"/>
      <c r="D4" s="87"/>
      <c r="E4" s="88"/>
      <c r="F4" s="88"/>
      <c r="G4" s="89"/>
      <c r="H4" s="90"/>
      <c r="I4" s="91"/>
      <c r="J4" s="92"/>
      <c r="K4" s="92"/>
      <c r="L4" s="93"/>
      <c r="M4" s="90"/>
      <c r="N4" s="46">
        <f t="shared" si="1"/>
        <v>0</v>
      </c>
      <c r="O4" s="122">
        <v>0.1</v>
      </c>
      <c r="P4" s="123">
        <f t="shared" ref="P4:P11" si="3">IF(K4="課税",N4*O4,0)</f>
        <v>0</v>
      </c>
      <c r="Q4" s="123">
        <f t="shared" si="2"/>
        <v>0</v>
      </c>
      <c r="R4" s="128"/>
      <c r="S4" s="47">
        <f t="shared" ref="S4:S11" si="4">ROUND(R4-Q4,0)</f>
        <v>0</v>
      </c>
      <c r="T4" s="86"/>
      <c r="U4" s="77"/>
      <c r="V4" s="94"/>
      <c r="W4" s="77"/>
      <c r="X4" s="124"/>
      <c r="Y4" s="77"/>
      <c r="Z4" s="94"/>
      <c r="AA4" s="96"/>
      <c r="AB4" s="94"/>
      <c r="AC4" s="96">
        <f t="shared" ref="AC4:AC11" si="5">IF(AA4&lt;&gt;"", 1-AA4,0)</f>
        <v>0</v>
      </c>
      <c r="AD4" s="97"/>
    </row>
    <row r="5" spans="2:30" s="15" customFormat="1" ht="27" customHeight="1" x14ac:dyDescent="0.15">
      <c r="B5" s="85">
        <f t="shared" si="0"/>
        <v>3</v>
      </c>
      <c r="C5" s="86"/>
      <c r="D5" s="87"/>
      <c r="E5" s="88"/>
      <c r="F5" s="88"/>
      <c r="G5" s="89"/>
      <c r="H5" s="90"/>
      <c r="I5" s="91"/>
      <c r="J5" s="92"/>
      <c r="K5" s="92"/>
      <c r="L5" s="93"/>
      <c r="M5" s="90"/>
      <c r="N5" s="46">
        <f t="shared" si="1"/>
        <v>0</v>
      </c>
      <c r="O5" s="122">
        <v>0.1</v>
      </c>
      <c r="P5" s="123">
        <f t="shared" si="3"/>
        <v>0</v>
      </c>
      <c r="Q5" s="123">
        <f t="shared" si="2"/>
        <v>0</v>
      </c>
      <c r="R5" s="128"/>
      <c r="S5" s="47">
        <f t="shared" si="4"/>
        <v>0</v>
      </c>
      <c r="T5" s="86"/>
      <c r="U5" s="77"/>
      <c r="V5" s="94"/>
      <c r="W5" s="77"/>
      <c r="X5" s="124"/>
      <c r="Y5" s="77"/>
      <c r="Z5" s="94"/>
      <c r="AA5" s="96"/>
      <c r="AB5" s="94"/>
      <c r="AC5" s="96">
        <f t="shared" si="5"/>
        <v>0</v>
      </c>
      <c r="AD5" s="97"/>
    </row>
    <row r="6" spans="2:30" s="15" customFormat="1" ht="27" customHeight="1" x14ac:dyDescent="0.15">
      <c r="B6" s="85">
        <f t="shared" si="0"/>
        <v>4</v>
      </c>
      <c r="C6" s="86"/>
      <c r="D6" s="87"/>
      <c r="E6" s="88"/>
      <c r="F6" s="88"/>
      <c r="G6" s="89"/>
      <c r="H6" s="90"/>
      <c r="I6" s="91"/>
      <c r="J6" s="92"/>
      <c r="K6" s="92"/>
      <c r="L6" s="93"/>
      <c r="M6" s="90"/>
      <c r="N6" s="46">
        <f t="shared" si="1"/>
        <v>0</v>
      </c>
      <c r="O6" s="122">
        <v>0.1</v>
      </c>
      <c r="P6" s="123">
        <f t="shared" si="3"/>
        <v>0</v>
      </c>
      <c r="Q6" s="123">
        <f t="shared" si="2"/>
        <v>0</v>
      </c>
      <c r="R6" s="128"/>
      <c r="S6" s="47">
        <f t="shared" si="4"/>
        <v>0</v>
      </c>
      <c r="T6" s="86"/>
      <c r="U6" s="77"/>
      <c r="V6" s="94"/>
      <c r="W6" s="77"/>
      <c r="X6" s="124"/>
      <c r="Y6" s="77"/>
      <c r="Z6" s="94"/>
      <c r="AA6" s="96"/>
      <c r="AB6" s="94"/>
      <c r="AC6" s="96">
        <f t="shared" si="5"/>
        <v>0</v>
      </c>
      <c r="AD6" s="97"/>
    </row>
    <row r="7" spans="2:30" s="15" customFormat="1" ht="27" customHeight="1" x14ac:dyDescent="0.15">
      <c r="B7" s="85">
        <f t="shared" si="0"/>
        <v>5</v>
      </c>
      <c r="C7" s="86"/>
      <c r="D7" s="87"/>
      <c r="E7" s="88"/>
      <c r="F7" s="88"/>
      <c r="G7" s="89"/>
      <c r="H7" s="90"/>
      <c r="I7" s="91"/>
      <c r="J7" s="92"/>
      <c r="K7" s="92"/>
      <c r="L7" s="93"/>
      <c r="M7" s="90"/>
      <c r="N7" s="46">
        <f t="shared" si="1"/>
        <v>0</v>
      </c>
      <c r="O7" s="122">
        <v>0.1</v>
      </c>
      <c r="P7" s="123">
        <f t="shared" si="3"/>
        <v>0</v>
      </c>
      <c r="Q7" s="123">
        <f t="shared" si="2"/>
        <v>0</v>
      </c>
      <c r="R7" s="128"/>
      <c r="S7" s="47">
        <f t="shared" si="4"/>
        <v>0</v>
      </c>
      <c r="T7" s="86"/>
      <c r="U7" s="77"/>
      <c r="V7" s="94"/>
      <c r="W7" s="77"/>
      <c r="X7" s="124"/>
      <c r="Y7" s="77"/>
      <c r="Z7" s="94"/>
      <c r="AA7" s="96"/>
      <c r="AB7" s="94"/>
      <c r="AC7" s="96">
        <f t="shared" si="5"/>
        <v>0</v>
      </c>
      <c r="AD7" s="97"/>
    </row>
    <row r="8" spans="2:30" s="15" customFormat="1" ht="27" customHeight="1" x14ac:dyDescent="0.15">
      <c r="B8" s="85">
        <f t="shared" si="0"/>
        <v>6</v>
      </c>
      <c r="C8" s="86"/>
      <c r="D8" s="87"/>
      <c r="E8" s="88"/>
      <c r="F8" s="88"/>
      <c r="G8" s="89"/>
      <c r="H8" s="90"/>
      <c r="I8" s="91"/>
      <c r="J8" s="92"/>
      <c r="K8" s="92"/>
      <c r="L8" s="93"/>
      <c r="M8" s="90"/>
      <c r="N8" s="46">
        <f t="shared" si="1"/>
        <v>0</v>
      </c>
      <c r="O8" s="122">
        <v>0.1</v>
      </c>
      <c r="P8" s="123">
        <f t="shared" si="3"/>
        <v>0</v>
      </c>
      <c r="Q8" s="123">
        <f t="shared" si="2"/>
        <v>0</v>
      </c>
      <c r="R8" s="128"/>
      <c r="S8" s="47">
        <f t="shared" si="4"/>
        <v>0</v>
      </c>
      <c r="T8" s="86"/>
      <c r="U8" s="77"/>
      <c r="V8" s="94"/>
      <c r="W8" s="77"/>
      <c r="X8" s="124"/>
      <c r="Y8" s="77"/>
      <c r="Z8" s="94"/>
      <c r="AA8" s="96"/>
      <c r="AB8" s="94"/>
      <c r="AC8" s="96">
        <f t="shared" si="5"/>
        <v>0</v>
      </c>
      <c r="AD8" s="97"/>
    </row>
    <row r="9" spans="2:30" s="15" customFormat="1" ht="27" customHeight="1" x14ac:dyDescent="0.15">
      <c r="B9" s="85">
        <f t="shared" si="0"/>
        <v>7</v>
      </c>
      <c r="C9" s="86"/>
      <c r="D9" s="87"/>
      <c r="E9" s="88"/>
      <c r="F9" s="88"/>
      <c r="G9" s="89"/>
      <c r="H9" s="90"/>
      <c r="I9" s="91"/>
      <c r="J9" s="92"/>
      <c r="K9" s="92"/>
      <c r="L9" s="93"/>
      <c r="M9" s="90"/>
      <c r="N9" s="46">
        <f>L9*M9</f>
        <v>0</v>
      </c>
      <c r="O9" s="122">
        <v>0.1</v>
      </c>
      <c r="P9" s="123">
        <f t="shared" si="3"/>
        <v>0</v>
      </c>
      <c r="Q9" s="123">
        <f>N9+P9</f>
        <v>0</v>
      </c>
      <c r="R9" s="128"/>
      <c r="S9" s="47">
        <f t="shared" si="4"/>
        <v>0</v>
      </c>
      <c r="T9" s="86"/>
      <c r="U9" s="77"/>
      <c r="V9" s="94"/>
      <c r="W9" s="77"/>
      <c r="X9" s="124"/>
      <c r="Y9" s="77"/>
      <c r="Z9" s="94"/>
      <c r="AA9" s="96"/>
      <c r="AB9" s="94"/>
      <c r="AC9" s="96">
        <f t="shared" si="5"/>
        <v>0</v>
      </c>
      <c r="AD9" s="97"/>
    </row>
    <row r="10" spans="2:30" s="15" customFormat="1" ht="27" customHeight="1" x14ac:dyDescent="0.15">
      <c r="B10" s="85">
        <f t="shared" si="0"/>
        <v>8</v>
      </c>
      <c r="C10" s="86"/>
      <c r="D10" s="87"/>
      <c r="E10" s="88"/>
      <c r="F10" s="88"/>
      <c r="G10" s="89"/>
      <c r="H10" s="90"/>
      <c r="I10" s="91"/>
      <c r="J10" s="92"/>
      <c r="K10" s="92"/>
      <c r="L10" s="93"/>
      <c r="M10" s="90"/>
      <c r="N10" s="46">
        <f>L10*M10</f>
        <v>0</v>
      </c>
      <c r="O10" s="122">
        <v>0.1</v>
      </c>
      <c r="P10" s="123">
        <f t="shared" si="3"/>
        <v>0</v>
      </c>
      <c r="Q10" s="123">
        <f>N10+P10</f>
        <v>0</v>
      </c>
      <c r="R10" s="128"/>
      <c r="S10" s="47">
        <f t="shared" si="4"/>
        <v>0</v>
      </c>
      <c r="T10" s="86"/>
      <c r="U10" s="77"/>
      <c r="V10" s="94"/>
      <c r="W10" s="77"/>
      <c r="X10" s="124"/>
      <c r="Y10" s="77"/>
      <c r="Z10" s="94"/>
      <c r="AA10" s="96"/>
      <c r="AB10" s="94"/>
      <c r="AC10" s="96">
        <f t="shared" si="5"/>
        <v>0</v>
      </c>
      <c r="AD10" s="97"/>
    </row>
    <row r="11" spans="2:30" s="15" customFormat="1" ht="27" customHeight="1" x14ac:dyDescent="0.15">
      <c r="B11" s="85">
        <f t="shared" si="0"/>
        <v>9</v>
      </c>
      <c r="C11" s="86"/>
      <c r="D11" s="87"/>
      <c r="E11" s="88"/>
      <c r="F11" s="88"/>
      <c r="G11" s="89"/>
      <c r="H11" s="90"/>
      <c r="I11" s="91"/>
      <c r="J11" s="92"/>
      <c r="K11" s="92"/>
      <c r="L11" s="93"/>
      <c r="M11" s="90"/>
      <c r="N11" s="46">
        <f t="shared" si="1"/>
        <v>0</v>
      </c>
      <c r="O11" s="122">
        <v>0.1</v>
      </c>
      <c r="P11" s="123">
        <f t="shared" si="3"/>
        <v>0</v>
      </c>
      <c r="Q11" s="123">
        <f t="shared" si="2"/>
        <v>0</v>
      </c>
      <c r="R11" s="128"/>
      <c r="S11" s="47">
        <f t="shared" si="4"/>
        <v>0</v>
      </c>
      <c r="T11" s="86"/>
      <c r="U11" s="77"/>
      <c r="V11" s="94"/>
      <c r="W11" s="77"/>
      <c r="X11" s="124"/>
      <c r="Y11" s="77"/>
      <c r="Z11" s="94"/>
      <c r="AA11" s="96"/>
      <c r="AB11" s="94"/>
      <c r="AC11" s="96">
        <f t="shared" si="5"/>
        <v>0</v>
      </c>
      <c r="AD11" s="97"/>
    </row>
    <row r="12" spans="2:30" s="15" customFormat="1" ht="27" customHeight="1" x14ac:dyDescent="0.15">
      <c r="B12" s="130">
        <f t="shared" si="0"/>
        <v>10</v>
      </c>
      <c r="C12" s="131"/>
      <c r="D12" s="49"/>
      <c r="E12" s="49"/>
      <c r="F12" s="49"/>
      <c r="G12" s="50"/>
      <c r="H12" s="54"/>
      <c r="I12" s="125"/>
      <c r="J12" s="52"/>
      <c r="K12" s="52"/>
      <c r="L12" s="53"/>
      <c r="M12" s="54"/>
      <c r="N12" s="46">
        <f t="shared" ref="N12:N19" si="6">L12*M12</f>
        <v>0</v>
      </c>
      <c r="O12" s="122">
        <v>0.1</v>
      </c>
      <c r="P12" s="123">
        <f>IF(K12="課税",N12*O12,0)</f>
        <v>0</v>
      </c>
      <c r="Q12" s="123">
        <f>N12+P12</f>
        <v>0</v>
      </c>
      <c r="R12" s="128"/>
      <c r="S12" s="47">
        <f t="shared" ref="S12:S19" si="7">ROUND(R12-Q12,0)</f>
        <v>0</v>
      </c>
      <c r="T12" s="86"/>
      <c r="U12" s="77"/>
      <c r="V12" s="94"/>
      <c r="W12" s="77"/>
      <c r="X12" s="94"/>
      <c r="Y12" s="77"/>
      <c r="Z12" s="94"/>
      <c r="AA12" s="96"/>
      <c r="AB12" s="94"/>
      <c r="AC12" s="96">
        <f>IF(AA12&lt;&gt;"", 1-AA12,0)</f>
        <v>0</v>
      </c>
      <c r="AD12" s="97"/>
    </row>
    <row r="13" spans="2:30" s="15" customFormat="1" ht="27" customHeight="1" x14ac:dyDescent="0.15">
      <c r="B13" s="130">
        <f t="shared" si="0"/>
        <v>11</v>
      </c>
      <c r="C13" s="131"/>
      <c r="D13" s="49"/>
      <c r="E13" s="49"/>
      <c r="F13" s="49"/>
      <c r="G13" s="50"/>
      <c r="H13" s="54"/>
      <c r="I13" s="125"/>
      <c r="J13" s="52"/>
      <c r="K13" s="52"/>
      <c r="L13" s="53"/>
      <c r="M13" s="54"/>
      <c r="N13" s="46">
        <f t="shared" si="6"/>
        <v>0</v>
      </c>
      <c r="O13" s="122">
        <v>0.1</v>
      </c>
      <c r="P13" s="123">
        <f t="shared" ref="P13" si="8">IF(K13="課税",N13*O13,0)</f>
        <v>0</v>
      </c>
      <c r="Q13" s="123">
        <f t="shared" ref="Q13" si="9">N13+P13</f>
        <v>0</v>
      </c>
      <c r="R13" s="128"/>
      <c r="S13" s="47">
        <f t="shared" si="7"/>
        <v>0</v>
      </c>
      <c r="T13" s="86"/>
      <c r="U13" s="77"/>
      <c r="V13" s="94"/>
      <c r="W13" s="77"/>
      <c r="X13" s="94"/>
      <c r="Y13" s="77"/>
      <c r="Z13" s="94"/>
      <c r="AA13" s="96"/>
      <c r="AB13" s="94"/>
      <c r="AC13" s="96">
        <f t="shared" ref="AC13" si="10">IF(AA13&lt;&gt;"", 1-AA13,0)</f>
        <v>0</v>
      </c>
      <c r="AD13" s="97"/>
    </row>
    <row r="14" spans="2:30" s="15" customFormat="1" ht="27" customHeight="1" x14ac:dyDescent="0.15">
      <c r="B14" s="130">
        <f t="shared" si="0"/>
        <v>12</v>
      </c>
      <c r="C14" s="131"/>
      <c r="D14" s="48"/>
      <c r="E14" s="49"/>
      <c r="F14" s="49"/>
      <c r="G14" s="51"/>
      <c r="H14" s="54"/>
      <c r="I14" s="132"/>
      <c r="J14" s="52"/>
      <c r="K14" s="52"/>
      <c r="L14" s="53"/>
      <c r="M14" s="54"/>
      <c r="N14" s="46">
        <f t="shared" si="6"/>
        <v>0</v>
      </c>
      <c r="O14" s="122">
        <v>0.1</v>
      </c>
      <c r="P14" s="123">
        <f t="shared" ref="P14:P19" si="11">IF(K14="課税",N14*O14,0)</f>
        <v>0</v>
      </c>
      <c r="Q14" s="123">
        <f t="shared" ref="Q14:Q19" si="12">N14+P14</f>
        <v>0</v>
      </c>
      <c r="R14" s="128"/>
      <c r="S14" s="47">
        <f t="shared" si="7"/>
        <v>0</v>
      </c>
      <c r="T14" s="86"/>
      <c r="U14" s="77"/>
      <c r="V14" s="94"/>
      <c r="W14" s="77"/>
      <c r="X14" s="94"/>
      <c r="Y14" s="77"/>
      <c r="Z14" s="94"/>
      <c r="AA14" s="96"/>
      <c r="AB14" s="94"/>
      <c r="AC14" s="96">
        <f t="shared" ref="AC14:AC19" si="13">IF(AA14&lt;&gt;"", 1-AA14,0)</f>
        <v>0</v>
      </c>
      <c r="AD14" s="97"/>
    </row>
    <row r="15" spans="2:30" s="15" customFormat="1" ht="27" customHeight="1" x14ac:dyDescent="0.15">
      <c r="B15" s="133">
        <f t="shared" si="0"/>
        <v>13</v>
      </c>
      <c r="C15" s="131"/>
      <c r="D15" s="48"/>
      <c r="E15" s="49"/>
      <c r="F15" s="49"/>
      <c r="G15" s="51"/>
      <c r="H15" s="54"/>
      <c r="I15" s="132"/>
      <c r="J15" s="52"/>
      <c r="K15" s="52"/>
      <c r="L15" s="53"/>
      <c r="M15" s="54"/>
      <c r="N15" s="46">
        <f t="shared" si="6"/>
        <v>0</v>
      </c>
      <c r="O15" s="122">
        <v>0.1</v>
      </c>
      <c r="P15" s="123">
        <f t="shared" si="11"/>
        <v>0</v>
      </c>
      <c r="Q15" s="123">
        <f t="shared" si="12"/>
        <v>0</v>
      </c>
      <c r="R15" s="128"/>
      <c r="S15" s="47">
        <f t="shared" si="7"/>
        <v>0</v>
      </c>
      <c r="T15" s="86"/>
      <c r="U15" s="77"/>
      <c r="V15" s="94"/>
      <c r="W15" s="77"/>
      <c r="X15" s="94"/>
      <c r="Y15" s="77"/>
      <c r="Z15" s="94"/>
      <c r="AA15" s="96"/>
      <c r="AB15" s="94"/>
      <c r="AC15" s="96">
        <f t="shared" si="13"/>
        <v>0</v>
      </c>
      <c r="AD15" s="97"/>
    </row>
    <row r="16" spans="2:30" s="15" customFormat="1" ht="27" customHeight="1" x14ac:dyDescent="0.15">
      <c r="B16" s="133">
        <f t="shared" si="0"/>
        <v>14</v>
      </c>
      <c r="C16" s="131"/>
      <c r="D16" s="48"/>
      <c r="E16" s="49"/>
      <c r="F16" s="49"/>
      <c r="G16" s="51"/>
      <c r="H16" s="54"/>
      <c r="I16" s="132"/>
      <c r="J16" s="52"/>
      <c r="K16" s="52"/>
      <c r="L16" s="53"/>
      <c r="M16" s="54"/>
      <c r="N16" s="46">
        <f t="shared" si="6"/>
        <v>0</v>
      </c>
      <c r="O16" s="122">
        <v>0.1</v>
      </c>
      <c r="P16" s="123">
        <f t="shared" si="11"/>
        <v>0</v>
      </c>
      <c r="Q16" s="123">
        <f t="shared" si="12"/>
        <v>0</v>
      </c>
      <c r="R16" s="128"/>
      <c r="S16" s="47">
        <f t="shared" si="7"/>
        <v>0</v>
      </c>
      <c r="T16" s="86"/>
      <c r="U16" s="77"/>
      <c r="V16" s="94"/>
      <c r="W16" s="77"/>
      <c r="X16" s="94"/>
      <c r="Y16" s="77"/>
      <c r="Z16" s="94"/>
      <c r="AA16" s="96"/>
      <c r="AB16" s="94"/>
      <c r="AC16" s="96">
        <f t="shared" si="13"/>
        <v>0</v>
      </c>
      <c r="AD16" s="97"/>
    </row>
    <row r="17" spans="2:30" s="15" customFormat="1" ht="27" customHeight="1" x14ac:dyDescent="0.15">
      <c r="B17" s="133">
        <f t="shared" si="0"/>
        <v>15</v>
      </c>
      <c r="C17" s="131"/>
      <c r="D17" s="48"/>
      <c r="E17" s="49"/>
      <c r="F17" s="49"/>
      <c r="G17" s="51"/>
      <c r="H17" s="54"/>
      <c r="I17" s="132"/>
      <c r="J17" s="52"/>
      <c r="K17" s="52"/>
      <c r="L17" s="53"/>
      <c r="M17" s="54"/>
      <c r="N17" s="46">
        <f t="shared" si="6"/>
        <v>0</v>
      </c>
      <c r="O17" s="122">
        <v>0.1</v>
      </c>
      <c r="P17" s="123">
        <f t="shared" si="11"/>
        <v>0</v>
      </c>
      <c r="Q17" s="123">
        <f t="shared" si="12"/>
        <v>0</v>
      </c>
      <c r="R17" s="128"/>
      <c r="S17" s="47">
        <f t="shared" si="7"/>
        <v>0</v>
      </c>
      <c r="T17" s="86"/>
      <c r="U17" s="77"/>
      <c r="V17" s="94"/>
      <c r="W17" s="77"/>
      <c r="X17" s="94"/>
      <c r="Y17" s="77"/>
      <c r="Z17" s="94"/>
      <c r="AA17" s="96"/>
      <c r="AB17" s="94"/>
      <c r="AC17" s="96">
        <f t="shared" si="13"/>
        <v>0</v>
      </c>
      <c r="AD17" s="97"/>
    </row>
    <row r="18" spans="2:30" s="15" customFormat="1" ht="27" customHeight="1" x14ac:dyDescent="0.15">
      <c r="B18" s="133">
        <f t="shared" si="0"/>
        <v>16</v>
      </c>
      <c r="C18" s="131"/>
      <c r="D18" s="48"/>
      <c r="E18" s="49"/>
      <c r="F18" s="49"/>
      <c r="G18" s="51"/>
      <c r="H18" s="54"/>
      <c r="I18" s="132"/>
      <c r="J18" s="52"/>
      <c r="K18" s="52"/>
      <c r="L18" s="53"/>
      <c r="M18" s="54"/>
      <c r="N18" s="46">
        <f t="shared" si="6"/>
        <v>0</v>
      </c>
      <c r="O18" s="122">
        <v>0.1</v>
      </c>
      <c r="P18" s="123">
        <f t="shared" si="11"/>
        <v>0</v>
      </c>
      <c r="Q18" s="123">
        <f t="shared" si="12"/>
        <v>0</v>
      </c>
      <c r="R18" s="128"/>
      <c r="S18" s="47">
        <f t="shared" si="7"/>
        <v>0</v>
      </c>
      <c r="T18" s="86"/>
      <c r="U18" s="77"/>
      <c r="V18" s="94"/>
      <c r="W18" s="77"/>
      <c r="X18" s="94"/>
      <c r="Y18" s="77"/>
      <c r="Z18" s="94"/>
      <c r="AA18" s="96"/>
      <c r="AB18" s="94"/>
      <c r="AC18" s="96">
        <f t="shared" si="13"/>
        <v>0</v>
      </c>
      <c r="AD18" s="97"/>
    </row>
    <row r="19" spans="2:30" s="15" customFormat="1" ht="27" customHeight="1" x14ac:dyDescent="0.15">
      <c r="B19" s="133">
        <f t="shared" si="0"/>
        <v>17</v>
      </c>
      <c r="C19" s="131"/>
      <c r="D19" s="48"/>
      <c r="E19" s="49"/>
      <c r="F19" s="49"/>
      <c r="G19" s="51"/>
      <c r="H19" s="54"/>
      <c r="I19" s="132"/>
      <c r="J19" s="52"/>
      <c r="K19" s="52"/>
      <c r="L19" s="53"/>
      <c r="M19" s="54"/>
      <c r="N19" s="46">
        <f t="shared" si="6"/>
        <v>0</v>
      </c>
      <c r="O19" s="122">
        <v>0.1</v>
      </c>
      <c r="P19" s="123">
        <f t="shared" si="11"/>
        <v>0</v>
      </c>
      <c r="Q19" s="123">
        <f t="shared" si="12"/>
        <v>0</v>
      </c>
      <c r="R19" s="128"/>
      <c r="S19" s="47">
        <f t="shared" si="7"/>
        <v>0</v>
      </c>
      <c r="T19" s="86"/>
      <c r="U19" s="77"/>
      <c r="V19" s="94"/>
      <c r="W19" s="77"/>
      <c r="X19" s="94"/>
      <c r="Y19" s="77"/>
      <c r="Z19" s="94"/>
      <c r="AA19" s="96"/>
      <c r="AB19" s="94"/>
      <c r="AC19" s="96">
        <f t="shared" si="13"/>
        <v>0</v>
      </c>
      <c r="AD19" s="97"/>
    </row>
  </sheetData>
  <autoFilter ref="A2:AE19" xr:uid="{F56C0F23-E4E8-403F-8712-0B66603EE262}">
    <filterColumn colId="14" showButton="0"/>
  </autoFilter>
  <mergeCells count="1">
    <mergeCell ref="O2:P2"/>
  </mergeCells>
  <phoneticPr fontId="6"/>
  <conditionalFormatting sqref="V12:W18">
    <cfRule type="timePeriod" dxfId="1" priority="8" timePeriod="lastWeek">
      <formula>AND(TODAY()-ROUNDDOWN(V12,0)&gt;=(WEEKDAY(TODAY())),TODAY()-ROUNDDOWN(V12,0)&lt;(WEEKDAY(TODAY())+7))</formula>
    </cfRule>
  </conditionalFormatting>
  <conditionalFormatting sqref="V19:W19">
    <cfRule type="timePeriod" dxfId="0" priority="3" timePeriod="lastWeek">
      <formula>AND(TODAY()-ROUNDDOWN(V19,0)&gt;=(WEEKDAY(TODAY())),TODAY()-ROUNDDOWN(V19,0)&lt;(WEEKDAY(TODAY())+7))</formula>
    </cfRule>
  </conditionalFormatting>
  <dataValidations count="8">
    <dataValidation type="list" allowBlank="1" showInputMessage="1" showErrorMessage="1" sqref="AB3:AB19 Z3:Z19" xr:uid="{0E0B537B-09A2-4CC3-B391-485143E3992F}">
      <formula1>営業担当</formula1>
    </dataValidation>
    <dataValidation type="list" allowBlank="1" showInputMessage="1" showErrorMessage="1" sqref="F3:F19" xr:uid="{2A01DEC2-51C9-474A-B829-61EC6DC8718B}">
      <formula1>会社名</formula1>
    </dataValidation>
    <dataValidation type="list" allowBlank="1" showInputMessage="1" showErrorMessage="1" sqref="X3:X19 V3:V19" xr:uid="{66204663-7E40-4F56-B58E-C715705ECAD1}">
      <formula1>確認担当</formula1>
    </dataValidation>
    <dataValidation type="list" allowBlank="1" showInputMessage="1" showErrorMessage="1" sqref="E3:E19" xr:uid="{0E124D76-884E-41E2-99DA-E82CCAE0AFE5}">
      <formula1>社員区分</formula1>
    </dataValidation>
    <dataValidation type="list" allowBlank="1" showInputMessage="1" showErrorMessage="1" sqref="K3:K19" xr:uid="{44766306-41D5-4FA5-AB45-05EEA9CFFCCB}">
      <formula1>課税_非課税</formula1>
    </dataValidation>
    <dataValidation type="list" allowBlank="1" showInputMessage="1" showErrorMessage="1" sqref="AA3:AA19" xr:uid="{7F907F0E-F2DA-4ECC-B267-F6397431ED09}">
      <formula1>割合</formula1>
    </dataValidation>
    <dataValidation type="list" allowBlank="1" showInputMessage="1" showErrorMessage="1" sqref="G3:G19" xr:uid="{CFA95B71-8182-46C6-A989-936487896801}">
      <formula1>分類</formula1>
    </dataValidation>
    <dataValidation type="list" allowBlank="1" showInputMessage="1" showErrorMessage="1" sqref="O3:O19" xr:uid="{76FB7604-5795-4CF7-8CD5-B309A849D8A7}">
      <formula1>消費税率</formula1>
    </dataValidation>
  </dataValidations>
  <printOptions horizontalCentered="1"/>
  <pageMargins left="0.31496062992125984" right="0.31496062992125984" top="0.55118110236220474" bottom="0.55118110236220474" header="0.31496062992125984" footer="0.31496062992125984"/>
  <pageSetup paperSize="8" scale="60" orientation="landscape" horizontalDpi="300" verticalDpi="300" r:id="rId1"/>
  <headerFooter>
    <oddHeader>&amp;C&amp;"-,太字"&amp;16&amp;A　外注費&amp;R&amp;"-,太字"社外秘</oddHeader>
    <oddFooter>&amp;A&amp;R&amp;P ページ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E50626-772C-40DD-B6DB-BC3FABB44EBA}">
          <x14:formula1>
            <xm:f>▲!$B$3:$B$6</xm:f>
          </x14:formula1>
          <xm:sqref>E20:E1048576 E1</xm:sqref>
        </x14:dataValidation>
        <x14:dataValidation type="list" allowBlank="1" showInputMessage="1" showErrorMessage="1" xr:uid="{101C4AC8-A9FE-4B3A-B731-1D8D1E2FACC1}">
          <x14:formula1>
            <xm:f>'10取引先'!$C$3:$C$100</xm:f>
          </x14:formula1>
          <xm:sqref>F20:F1048576</xm:sqref>
        </x14:dataValidation>
        <x14:dataValidation type="list" allowBlank="1" showInputMessage="1" showErrorMessage="1" xr:uid="{C45D2267-6475-40A2-9890-A86C51D6A384}">
          <x14:formula1>
            <xm:f>'20社員'!$C$105</xm:f>
          </x14:formula1>
          <xm:sqref>D1</xm:sqref>
        </x14:dataValidation>
        <x14:dataValidation type="list" allowBlank="1" showInputMessage="1" showErrorMessage="1" xr:uid="{29519D93-9360-4090-9ABA-C4568BEA738C}">
          <x14:formula1>
            <xm:f>'20社員'!$C$3:$C$299</xm:f>
          </x14:formula1>
          <xm:sqref>D3:D1048576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13</vt:i4>
      </vt:variant>
    </vt:vector>
  </HeadingPairs>
  <TitlesOfParts>
    <vt:vector size="20" baseType="lpstr">
      <vt:lpstr>目次</vt:lpstr>
      <vt:lpstr>10取引先</vt:lpstr>
      <vt:lpstr>20社員</vt:lpstr>
      <vt:lpstr>30営業</vt:lpstr>
      <vt:lpstr>40コスト</vt:lpstr>
      <vt:lpstr>▲</vt:lpstr>
      <vt:lpstr>202007</vt:lpstr>
      <vt:lpstr>'202007'!Print_Area</vt:lpstr>
      <vt:lpstr>目次!Print_Area</vt:lpstr>
      <vt:lpstr>'10取引先'!Print_Titles</vt:lpstr>
      <vt:lpstr>'202007'!Print_Titles</vt:lpstr>
      <vt:lpstr>営業担当</vt:lpstr>
      <vt:lpstr>課税_非課税</vt:lpstr>
      <vt:lpstr>会社名</vt:lpstr>
      <vt:lpstr>確認担当</vt:lpstr>
      <vt:lpstr>割合</vt:lpstr>
      <vt:lpstr>項目</vt:lpstr>
      <vt:lpstr>社員区分</vt:lpstr>
      <vt:lpstr>消費税率</vt:lpstr>
      <vt:lpstr>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sxrsing</cp:lastModifiedBy>
  <cp:lastPrinted>2020-06-08T09:10:11Z</cp:lastPrinted>
  <dcterms:created xsi:type="dcterms:W3CDTF">2006-09-13T11:12:02Z</dcterms:created>
  <dcterms:modified xsi:type="dcterms:W3CDTF">2020-08-26T10:44:25Z</dcterms:modified>
</cp:coreProperties>
</file>