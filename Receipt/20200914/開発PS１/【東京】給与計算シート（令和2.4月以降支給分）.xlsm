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xrsing\Google ドライブ\TLZS Inc\70 TLZSサービス\00 社内システム開発\開発PS１\"/>
    </mc:Choice>
  </mc:AlternateContent>
  <xr:revisionPtr revIDLastSave="0" documentId="13_ncr:1_{A4E15A3D-9654-4C95-99D1-E689C3829FF3}" xr6:coauthVersionLast="45" xr6:coauthVersionMax="45" xr10:uidLastSave="{00000000-0000-0000-0000-000000000000}"/>
  <bookViews>
    <workbookView xWindow="-120" yWindow="-120" windowWidth="29040" windowHeight="15840" tabRatio="770" activeTab="3" xr2:uid="{00000000-000D-0000-FFFF-FFFF00000000}"/>
  </bookViews>
  <sheets>
    <sheet name="年金DB" sheetId="5" r:id="rId1"/>
    <sheet name="源泉DB" sheetId="4" r:id="rId2"/>
    <sheet name="記入例" sheetId="22" r:id="rId3"/>
    <sheet name="202103" sheetId="37" r:id="rId4"/>
  </sheets>
  <definedNames>
    <definedName name="_xlnm._FilterDatabase" localSheetId="1" hidden="1">源泉DB!$A$9:$M$261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16" i="5" l="1"/>
  <c r="AC282" i="37"/>
  <c r="AB282" i="37"/>
  <c r="AA282" i="37"/>
  <c r="Z282" i="37"/>
  <c r="T282" i="37" a="1"/>
  <c r="T282" i="37" s="1"/>
  <c r="Q282" i="37"/>
  <c r="AC281" i="37"/>
  <c r="AB281" i="37"/>
  <c r="AA281" i="37"/>
  <c r="Z281" i="37"/>
  <c r="T281" i="37" a="1"/>
  <c r="T281" i="37" s="1"/>
  <c r="Q281" i="37"/>
  <c r="S281" i="37" s="1"/>
  <c r="AC280" i="37"/>
  <c r="AB280" i="37"/>
  <c r="AA280" i="37"/>
  <c r="Z280" i="37"/>
  <c r="T280" i="37" a="1"/>
  <c r="T280" i="37" s="1"/>
  <c r="Q280" i="37"/>
  <c r="S280" i="37" s="1"/>
  <c r="AC279" i="37"/>
  <c r="AB279" i="37"/>
  <c r="AA279" i="37"/>
  <c r="Z279" i="37"/>
  <c r="T279" i="37" a="1"/>
  <c r="T279" i="37" s="1"/>
  <c r="Q279" i="37"/>
  <c r="S279" i="37" s="1"/>
  <c r="AC278" i="37"/>
  <c r="AB278" i="37"/>
  <c r="AA278" i="37"/>
  <c r="Z278" i="37"/>
  <c r="T278" i="37" a="1"/>
  <c r="T278" i="37" s="1"/>
  <c r="Q278" i="37"/>
  <c r="AC277" i="37"/>
  <c r="AB277" i="37"/>
  <c r="AA277" i="37"/>
  <c r="Z277" i="37"/>
  <c r="T277" i="37" a="1"/>
  <c r="T277" i="37" s="1"/>
  <c r="Q277" i="37"/>
  <c r="S277" i="37" s="1"/>
  <c r="AC276" i="37"/>
  <c r="AB276" i="37"/>
  <c r="AA276" i="37"/>
  <c r="Z276" i="37"/>
  <c r="T276" i="37" a="1"/>
  <c r="T276" i="37" s="1"/>
  <c r="Q276" i="37"/>
  <c r="S276" i="37" s="1"/>
  <c r="AC275" i="37"/>
  <c r="AB275" i="37"/>
  <c r="AA275" i="37"/>
  <c r="Z275" i="37"/>
  <c r="T275" i="37" a="1"/>
  <c r="T275" i="37" s="1"/>
  <c r="Q275" i="37"/>
  <c r="S275" i="37" s="1"/>
  <c r="AC274" i="37"/>
  <c r="AB274" i="37"/>
  <c r="AA274" i="37"/>
  <c r="Z274" i="37"/>
  <c r="T274" i="37" a="1"/>
  <c r="T274" i="37" s="1"/>
  <c r="Q274" i="37"/>
  <c r="AC273" i="37"/>
  <c r="AB273" i="37"/>
  <c r="AA273" i="37"/>
  <c r="Z273" i="37"/>
  <c r="T273" i="37" a="1"/>
  <c r="T273" i="37" s="1"/>
  <c r="Q273" i="37"/>
  <c r="S273" i="37" s="1"/>
  <c r="AC272" i="37"/>
  <c r="AB272" i="37"/>
  <c r="AA272" i="37"/>
  <c r="Z272" i="37"/>
  <c r="T272" i="37" a="1"/>
  <c r="T272" i="37" s="1"/>
  <c r="Q272" i="37"/>
  <c r="S272" i="37" s="1"/>
  <c r="AC271" i="37"/>
  <c r="AB271" i="37"/>
  <c r="AA271" i="37"/>
  <c r="Z271" i="37"/>
  <c r="T271" i="37" a="1"/>
  <c r="T271" i="37" s="1"/>
  <c r="Q271" i="37"/>
  <c r="S271" i="37" s="1"/>
  <c r="AC270" i="37"/>
  <c r="AB270" i="37"/>
  <c r="AA270" i="37"/>
  <c r="Z270" i="37"/>
  <c r="T270" i="37" a="1"/>
  <c r="T270" i="37" s="1"/>
  <c r="Q270" i="37"/>
  <c r="AC269" i="37"/>
  <c r="AB269" i="37"/>
  <c r="AA269" i="37"/>
  <c r="Z269" i="37"/>
  <c r="T269" i="37" a="1"/>
  <c r="T269" i="37" s="1"/>
  <c r="Q269" i="37"/>
  <c r="S269" i="37" s="1"/>
  <c r="AC268" i="37"/>
  <c r="AB268" i="37"/>
  <c r="AA268" i="37"/>
  <c r="Z268" i="37"/>
  <c r="T268" i="37" a="1"/>
  <c r="T268" i="37" s="1"/>
  <c r="Q268" i="37"/>
  <c r="S268" i="37" s="1"/>
  <c r="AC267" i="37"/>
  <c r="AB267" i="37"/>
  <c r="AA267" i="37"/>
  <c r="Z267" i="37"/>
  <c r="T267" i="37" a="1"/>
  <c r="T267" i="37" s="1"/>
  <c r="Q267" i="37"/>
  <c r="S267" i="37" s="1"/>
  <c r="AC266" i="37"/>
  <c r="AB266" i="37"/>
  <c r="AA266" i="37"/>
  <c r="Z266" i="37"/>
  <c r="T266" i="37" a="1"/>
  <c r="T266" i="37" s="1"/>
  <c r="Q266" i="37"/>
  <c r="AC265" i="37"/>
  <c r="AB265" i="37"/>
  <c r="AA265" i="37"/>
  <c r="Z265" i="37"/>
  <c r="T265" i="37" a="1"/>
  <c r="T265" i="37" s="1"/>
  <c r="Q265" i="37"/>
  <c r="S265" i="37" s="1"/>
  <c r="AC264" i="37"/>
  <c r="AB264" i="37"/>
  <c r="AA264" i="37"/>
  <c r="Z264" i="37"/>
  <c r="T264" i="37" a="1"/>
  <c r="T264" i="37" s="1"/>
  <c r="Q264" i="37"/>
  <c r="S264" i="37" s="1"/>
  <c r="AC263" i="37"/>
  <c r="AB263" i="37"/>
  <c r="AA263" i="37"/>
  <c r="Z263" i="37"/>
  <c r="T263" i="37" a="1"/>
  <c r="T263" i="37" s="1"/>
  <c r="Q263" i="37"/>
  <c r="S263" i="37" s="1"/>
  <c r="AC262" i="37"/>
  <c r="AB262" i="37"/>
  <c r="AA262" i="37"/>
  <c r="Z262" i="37"/>
  <c r="T262" i="37" a="1"/>
  <c r="T262" i="37" s="1"/>
  <c r="Q262" i="37"/>
  <c r="AC261" i="37"/>
  <c r="AB261" i="37"/>
  <c r="AA261" i="37"/>
  <c r="Z261" i="37"/>
  <c r="T261" i="37" a="1"/>
  <c r="T261" i="37" s="1"/>
  <c r="Q261" i="37"/>
  <c r="S261" i="37" s="1"/>
  <c r="AC260" i="37"/>
  <c r="AB260" i="37"/>
  <c r="AA260" i="37"/>
  <c r="Z260" i="37"/>
  <c r="T260" i="37" a="1"/>
  <c r="T260" i="37" s="1"/>
  <c r="Q260" i="37"/>
  <c r="S260" i="37" s="1"/>
  <c r="AC259" i="37"/>
  <c r="AB259" i="37"/>
  <c r="AA259" i="37"/>
  <c r="Z259" i="37"/>
  <c r="T259" i="37" a="1"/>
  <c r="T259" i="37" s="1"/>
  <c r="Q259" i="37"/>
  <c r="S259" i="37" s="1"/>
  <c r="AC258" i="37"/>
  <c r="AB258" i="37"/>
  <c r="AA258" i="37"/>
  <c r="Z258" i="37"/>
  <c r="T258" i="37" a="1"/>
  <c r="T258" i="37" s="1"/>
  <c r="Q258" i="37"/>
  <c r="AC257" i="37"/>
  <c r="AB257" i="37"/>
  <c r="AA257" i="37"/>
  <c r="Z257" i="37"/>
  <c r="T257" i="37" a="1"/>
  <c r="T257" i="37" s="1"/>
  <c r="Q257" i="37"/>
  <c r="S257" i="37" s="1"/>
  <c r="AC256" i="37"/>
  <c r="AB256" i="37"/>
  <c r="AA256" i="37"/>
  <c r="Z256" i="37"/>
  <c r="T256" i="37" a="1"/>
  <c r="T256" i="37" s="1"/>
  <c r="Q256" i="37"/>
  <c r="S256" i="37" s="1"/>
  <c r="AC255" i="37"/>
  <c r="AB255" i="37"/>
  <c r="AA255" i="37"/>
  <c r="Z255" i="37"/>
  <c r="T255" i="37" a="1"/>
  <c r="T255" i="37" s="1"/>
  <c r="Q255" i="37"/>
  <c r="S255" i="37" s="1"/>
  <c r="AC254" i="37"/>
  <c r="AB254" i="37"/>
  <c r="AA254" i="37"/>
  <c r="Z254" i="37"/>
  <c r="T254" i="37" a="1"/>
  <c r="T254" i="37" s="1"/>
  <c r="Q254" i="37"/>
  <c r="AC253" i="37"/>
  <c r="AB253" i="37"/>
  <c r="AA253" i="37"/>
  <c r="Z253" i="37"/>
  <c r="T253" i="37" a="1"/>
  <c r="T253" i="37" s="1"/>
  <c r="Q253" i="37"/>
  <c r="S253" i="37" s="1"/>
  <c r="AC252" i="37"/>
  <c r="AB252" i="37"/>
  <c r="AA252" i="37"/>
  <c r="Z252" i="37"/>
  <c r="T252" i="37" a="1"/>
  <c r="T252" i="37" s="1"/>
  <c r="Q252" i="37"/>
  <c r="S252" i="37" s="1"/>
  <c r="AC251" i="37"/>
  <c r="AB251" i="37"/>
  <c r="AA251" i="37"/>
  <c r="Z251" i="37"/>
  <c r="T251" i="37" a="1"/>
  <c r="T251" i="37" s="1"/>
  <c r="Q251" i="37"/>
  <c r="S251" i="37" s="1"/>
  <c r="AC250" i="37"/>
  <c r="AB250" i="37"/>
  <c r="AA250" i="37"/>
  <c r="Z250" i="37"/>
  <c r="T250" i="37" a="1"/>
  <c r="T250" i="37" s="1"/>
  <c r="Q250" i="37"/>
  <c r="S250" i="37" s="1"/>
  <c r="AC249" i="37"/>
  <c r="AB249" i="37"/>
  <c r="AA249" i="37"/>
  <c r="Z249" i="37"/>
  <c r="T249" i="37" a="1"/>
  <c r="T249" i="37" s="1"/>
  <c r="Q249" i="37"/>
  <c r="S249" i="37" s="1"/>
  <c r="AC248" i="37"/>
  <c r="AB248" i="37"/>
  <c r="AA248" i="37"/>
  <c r="Z248" i="37"/>
  <c r="T248" i="37" a="1"/>
  <c r="T248" i="37" s="1"/>
  <c r="Q248" i="37"/>
  <c r="S248" i="37" s="1"/>
  <c r="AC247" i="37"/>
  <c r="AB247" i="37"/>
  <c r="AA247" i="37"/>
  <c r="Z247" i="37"/>
  <c r="T247" i="37" a="1"/>
  <c r="T247" i="37" s="1"/>
  <c r="Q247" i="37"/>
  <c r="S247" i="37" s="1"/>
  <c r="AC246" i="37"/>
  <c r="AB246" i="37"/>
  <c r="AA246" i="37"/>
  <c r="Z246" i="37"/>
  <c r="T246" i="37" a="1"/>
  <c r="T246" i="37" s="1"/>
  <c r="Q246" i="37"/>
  <c r="S246" i="37" s="1"/>
  <c r="AC245" i="37"/>
  <c r="AB245" i="37"/>
  <c r="AA245" i="37"/>
  <c r="Z245" i="37"/>
  <c r="T245" i="37" a="1"/>
  <c r="T245" i="37" s="1"/>
  <c r="Q245" i="37"/>
  <c r="S245" i="37" s="1"/>
  <c r="AC244" i="37"/>
  <c r="AB244" i="37"/>
  <c r="AA244" i="37"/>
  <c r="Z244" i="37"/>
  <c r="T244" i="37" a="1"/>
  <c r="T244" i="37" s="1"/>
  <c r="Q244" i="37"/>
  <c r="S244" i="37" s="1"/>
  <c r="AC243" i="37"/>
  <c r="AB243" i="37"/>
  <c r="AA243" i="37"/>
  <c r="Z243" i="37"/>
  <c r="T243" i="37" a="1"/>
  <c r="T243" i="37" s="1"/>
  <c r="Q243" i="37"/>
  <c r="S243" i="37" s="1"/>
  <c r="AC242" i="37"/>
  <c r="AB242" i="37"/>
  <c r="AA242" i="37"/>
  <c r="Z242" i="37"/>
  <c r="T242" i="37" a="1"/>
  <c r="T242" i="37" s="1"/>
  <c r="Q242" i="37"/>
  <c r="S242" i="37" s="1"/>
  <c r="AC241" i="37"/>
  <c r="AB241" i="37"/>
  <c r="AA241" i="37"/>
  <c r="Z241" i="37"/>
  <c r="T241" i="37" a="1"/>
  <c r="T241" i="37" s="1"/>
  <c r="Q241" i="37"/>
  <c r="S241" i="37" s="1"/>
  <c r="AC240" i="37"/>
  <c r="AB240" i="37"/>
  <c r="AA240" i="37"/>
  <c r="Z240" i="37"/>
  <c r="T240" i="37" a="1"/>
  <c r="T240" i="37" s="1"/>
  <c r="Q240" i="37"/>
  <c r="AC239" i="37"/>
  <c r="AB239" i="37"/>
  <c r="AA239" i="37"/>
  <c r="Z239" i="37"/>
  <c r="T239" i="37" a="1"/>
  <c r="T239" i="37" s="1"/>
  <c r="Q239" i="37"/>
  <c r="S239" i="37" s="1"/>
  <c r="AC238" i="37"/>
  <c r="AB238" i="37"/>
  <c r="AA238" i="37"/>
  <c r="Z238" i="37"/>
  <c r="T238" i="37" a="1"/>
  <c r="T238" i="37" s="1"/>
  <c r="Q238" i="37"/>
  <c r="AC237" i="37"/>
  <c r="AB237" i="37"/>
  <c r="AA237" i="37"/>
  <c r="Z237" i="37"/>
  <c r="T237" i="37" a="1"/>
  <c r="T237" i="37" s="1"/>
  <c r="Q237" i="37"/>
  <c r="AC236" i="37"/>
  <c r="AB236" i="37"/>
  <c r="AA236" i="37"/>
  <c r="Z236" i="37"/>
  <c r="T236" i="37" a="1"/>
  <c r="T236" i="37" s="1"/>
  <c r="S236" i="37"/>
  <c r="Q236" i="37"/>
  <c r="AC235" i="37"/>
  <c r="AB235" i="37"/>
  <c r="AA235" i="37"/>
  <c r="Z235" i="37"/>
  <c r="T235" i="37" a="1"/>
  <c r="T235" i="37" s="1"/>
  <c r="Q235" i="37"/>
  <c r="AC234" i="37"/>
  <c r="AB234" i="37"/>
  <c r="AA234" i="37"/>
  <c r="Z234" i="37"/>
  <c r="T234" i="37" a="1"/>
  <c r="T234" i="37" s="1"/>
  <c r="Q234" i="37"/>
  <c r="S234" i="37" s="1"/>
  <c r="AC233" i="37"/>
  <c r="AB233" i="37"/>
  <c r="AA233" i="37"/>
  <c r="Z233" i="37"/>
  <c r="T233" i="37" a="1"/>
  <c r="T233" i="37" s="1"/>
  <c r="Q233" i="37"/>
  <c r="AC232" i="37"/>
  <c r="AB232" i="37"/>
  <c r="AA232" i="37"/>
  <c r="Z232" i="37"/>
  <c r="T232" i="37" a="1"/>
  <c r="T232" i="37" s="1"/>
  <c r="Q232" i="37"/>
  <c r="S232" i="37" s="1"/>
  <c r="AC231" i="37"/>
  <c r="AB231" i="37"/>
  <c r="AA231" i="37"/>
  <c r="Z231" i="37"/>
  <c r="T231" i="37" a="1"/>
  <c r="T231" i="37" s="1"/>
  <c r="Q231" i="37"/>
  <c r="AC230" i="37"/>
  <c r="AB230" i="37"/>
  <c r="AA230" i="37"/>
  <c r="Z230" i="37"/>
  <c r="T230" i="37" a="1"/>
  <c r="T230" i="37" s="1"/>
  <c r="Q230" i="37"/>
  <c r="S230" i="37" s="1"/>
  <c r="AC229" i="37"/>
  <c r="AB229" i="37"/>
  <c r="AA229" i="37"/>
  <c r="Z229" i="37"/>
  <c r="T229" i="37" a="1"/>
  <c r="T229" i="37" s="1"/>
  <c r="Q229" i="37"/>
  <c r="AC228" i="37"/>
  <c r="AB228" i="37"/>
  <c r="AA228" i="37"/>
  <c r="Z228" i="37"/>
  <c r="T228" i="37" a="1"/>
  <c r="T228" i="37" s="1"/>
  <c r="Q228" i="37"/>
  <c r="S228" i="37" s="1"/>
  <c r="AC227" i="37"/>
  <c r="AB227" i="37"/>
  <c r="AA227" i="37"/>
  <c r="Z227" i="37"/>
  <c r="T227" i="37" a="1"/>
  <c r="T227" i="37" s="1"/>
  <c r="Q227" i="37"/>
  <c r="AC226" i="37"/>
  <c r="AB226" i="37"/>
  <c r="AA226" i="37"/>
  <c r="Z226" i="37"/>
  <c r="T226" i="37" a="1"/>
  <c r="T226" i="37" s="1"/>
  <c r="Q226" i="37"/>
  <c r="S226" i="37" s="1"/>
  <c r="AC225" i="37"/>
  <c r="AB225" i="37"/>
  <c r="AA225" i="37"/>
  <c r="Z225" i="37"/>
  <c r="T225" i="37" a="1"/>
  <c r="T225" i="37" s="1"/>
  <c r="Q225" i="37"/>
  <c r="AC224" i="37"/>
  <c r="AB224" i="37"/>
  <c r="AA224" i="37"/>
  <c r="Z224" i="37"/>
  <c r="T224" i="37" a="1"/>
  <c r="T224" i="37" s="1"/>
  <c r="Q224" i="37"/>
  <c r="S224" i="37" s="1"/>
  <c r="AC223" i="37"/>
  <c r="AB223" i="37"/>
  <c r="AA223" i="37"/>
  <c r="Z223" i="37"/>
  <c r="T223" i="37" a="1"/>
  <c r="T223" i="37" s="1"/>
  <c r="Q223" i="37"/>
  <c r="AC222" i="37"/>
  <c r="AB222" i="37"/>
  <c r="AA222" i="37"/>
  <c r="Z222" i="37"/>
  <c r="T222" i="37" a="1"/>
  <c r="T222" i="37" s="1"/>
  <c r="S222" i="37"/>
  <c r="Q222" i="37"/>
  <c r="AC221" i="37"/>
  <c r="AB221" i="37"/>
  <c r="AA221" i="37"/>
  <c r="Z221" i="37"/>
  <c r="T221" i="37" a="1"/>
  <c r="T221" i="37" s="1"/>
  <c r="Q221" i="37"/>
  <c r="AC220" i="37"/>
  <c r="AB220" i="37"/>
  <c r="AA220" i="37"/>
  <c r="Z220" i="37"/>
  <c r="T220" i="37" a="1"/>
  <c r="T220" i="37" s="1"/>
  <c r="Q220" i="37"/>
  <c r="S220" i="37" s="1"/>
  <c r="AC219" i="37"/>
  <c r="AB219" i="37"/>
  <c r="AA219" i="37"/>
  <c r="Z219" i="37"/>
  <c r="T219" i="37" a="1"/>
  <c r="T219" i="37" s="1"/>
  <c r="Q219" i="37"/>
  <c r="AC218" i="37"/>
  <c r="AB218" i="37"/>
  <c r="AA218" i="37"/>
  <c r="Z218" i="37"/>
  <c r="T218" i="37" a="1"/>
  <c r="T218" i="37" s="1"/>
  <c r="Q218" i="37"/>
  <c r="S218" i="37" s="1"/>
  <c r="AC217" i="37"/>
  <c r="AB217" i="37"/>
  <c r="AA217" i="37"/>
  <c r="Z217" i="37"/>
  <c r="T217" i="37" a="1"/>
  <c r="T217" i="37" s="1"/>
  <c r="Q217" i="37"/>
  <c r="S217" i="37" s="1"/>
  <c r="AC216" i="37"/>
  <c r="AB216" i="37"/>
  <c r="AA216" i="37"/>
  <c r="Z216" i="37"/>
  <c r="T216" i="37" a="1"/>
  <c r="T216" i="37" s="1"/>
  <c r="Q216" i="37"/>
  <c r="S216" i="37" s="1"/>
  <c r="AC215" i="37"/>
  <c r="AB215" i="37"/>
  <c r="AA215" i="37"/>
  <c r="Z215" i="37"/>
  <c r="T215" i="37" a="1"/>
  <c r="T215" i="37" s="1"/>
  <c r="Q215" i="37"/>
  <c r="S215" i="37" s="1"/>
  <c r="AC214" i="37"/>
  <c r="AB214" i="37"/>
  <c r="AA214" i="37"/>
  <c r="Z214" i="37"/>
  <c r="T214" i="37" a="1"/>
  <c r="T214" i="37" s="1"/>
  <c r="Q214" i="37"/>
  <c r="S214" i="37" s="1"/>
  <c r="AC213" i="37"/>
  <c r="AB213" i="37"/>
  <c r="AA213" i="37"/>
  <c r="Z213" i="37"/>
  <c r="T213" i="37" a="1"/>
  <c r="T213" i="37" s="1"/>
  <c r="S213" i="37"/>
  <c r="Q213" i="37"/>
  <c r="AC212" i="37"/>
  <c r="AB212" i="37"/>
  <c r="AA212" i="37"/>
  <c r="Z212" i="37"/>
  <c r="T212" i="37" a="1"/>
  <c r="T212" i="37" s="1"/>
  <c r="Q212" i="37"/>
  <c r="S212" i="37" s="1"/>
  <c r="AC211" i="37"/>
  <c r="AB211" i="37"/>
  <c r="AA211" i="37"/>
  <c r="Z211" i="37"/>
  <c r="T211" i="37" a="1"/>
  <c r="T211" i="37" s="1"/>
  <c r="Q211" i="37"/>
  <c r="S211" i="37" s="1"/>
  <c r="AC210" i="37"/>
  <c r="AB210" i="37"/>
  <c r="AA210" i="37"/>
  <c r="Z210" i="37"/>
  <c r="T210" i="37" a="1"/>
  <c r="T210" i="37" s="1"/>
  <c r="Q210" i="37"/>
  <c r="S210" i="37" s="1"/>
  <c r="AC209" i="37"/>
  <c r="AB209" i="37"/>
  <c r="AA209" i="37"/>
  <c r="Z209" i="37"/>
  <c r="T209" i="37" a="1"/>
  <c r="T209" i="37" s="1"/>
  <c r="S209" i="37"/>
  <c r="Q209" i="37"/>
  <c r="AC208" i="37"/>
  <c r="AB208" i="37"/>
  <c r="AA208" i="37"/>
  <c r="Z208" i="37"/>
  <c r="T208" i="37" a="1"/>
  <c r="T208" i="37" s="1"/>
  <c r="Q208" i="37"/>
  <c r="S208" i="37" s="1"/>
  <c r="AC207" i="37"/>
  <c r="AB207" i="37"/>
  <c r="AA207" i="37"/>
  <c r="Z207" i="37"/>
  <c r="T207" i="37" a="1"/>
  <c r="T207" i="37" s="1"/>
  <c r="Q207" i="37"/>
  <c r="S207" i="37" s="1"/>
  <c r="AC206" i="37"/>
  <c r="AB206" i="37"/>
  <c r="AA206" i="37"/>
  <c r="Z206" i="37"/>
  <c r="T206" i="37" a="1"/>
  <c r="T206" i="37" s="1"/>
  <c r="S206" i="37"/>
  <c r="Q206" i="37"/>
  <c r="AC205" i="37"/>
  <c r="AB205" i="37"/>
  <c r="AA205" i="37"/>
  <c r="Z205" i="37"/>
  <c r="T205" i="37" a="1"/>
  <c r="T205" i="37" s="1"/>
  <c r="Q205" i="37"/>
  <c r="S205" i="37" s="1"/>
  <c r="AC204" i="37"/>
  <c r="AB204" i="37"/>
  <c r="AA204" i="37"/>
  <c r="Z204" i="37"/>
  <c r="T204" i="37" a="1"/>
  <c r="T204" i="37" s="1"/>
  <c r="Q204" i="37"/>
  <c r="S204" i="37" s="1"/>
  <c r="AC203" i="37"/>
  <c r="AB203" i="37"/>
  <c r="AA203" i="37"/>
  <c r="Z203" i="37"/>
  <c r="T203" i="37" a="1"/>
  <c r="T203" i="37" s="1"/>
  <c r="Q203" i="37"/>
  <c r="S203" i="37" s="1"/>
  <c r="AC202" i="37"/>
  <c r="AB202" i="37"/>
  <c r="AA202" i="37"/>
  <c r="Z202" i="37"/>
  <c r="T202" i="37" a="1"/>
  <c r="T202" i="37" s="1"/>
  <c r="Q202" i="37"/>
  <c r="S202" i="37" s="1"/>
  <c r="AC201" i="37"/>
  <c r="AB201" i="37"/>
  <c r="AA201" i="37"/>
  <c r="Z201" i="37"/>
  <c r="T201" i="37" a="1"/>
  <c r="T201" i="37" s="1"/>
  <c r="S201" i="37"/>
  <c r="Q201" i="37"/>
  <c r="AC200" i="37"/>
  <c r="AB200" i="37"/>
  <c r="AA200" i="37"/>
  <c r="Z200" i="37"/>
  <c r="T200" i="37" a="1"/>
  <c r="T200" i="37" s="1"/>
  <c r="Q200" i="37"/>
  <c r="S200" i="37" s="1"/>
  <c r="AC199" i="37"/>
  <c r="AB199" i="37"/>
  <c r="AA199" i="37"/>
  <c r="Z199" i="37"/>
  <c r="T199" i="37" a="1"/>
  <c r="T199" i="37" s="1"/>
  <c r="Q199" i="37"/>
  <c r="S199" i="37" s="1"/>
  <c r="AC198" i="37"/>
  <c r="AB198" i="37"/>
  <c r="AA198" i="37"/>
  <c r="Z198" i="37"/>
  <c r="T198" i="37" a="1"/>
  <c r="T198" i="37" s="1"/>
  <c r="Q198" i="37"/>
  <c r="AC197" i="37"/>
  <c r="AB197" i="37"/>
  <c r="AA197" i="37"/>
  <c r="Z197" i="37"/>
  <c r="T197" i="37" a="1"/>
  <c r="T197" i="37" s="1"/>
  <c r="Q197" i="37"/>
  <c r="S197" i="37" s="1"/>
  <c r="AC196" i="37"/>
  <c r="AB196" i="37"/>
  <c r="AA196" i="37"/>
  <c r="Z196" i="37"/>
  <c r="T196" i="37" a="1"/>
  <c r="T196" i="37" s="1"/>
  <c r="Q196" i="37"/>
  <c r="AC195" i="37"/>
  <c r="AB195" i="37"/>
  <c r="AA195" i="37"/>
  <c r="Z195" i="37"/>
  <c r="T195" i="37" a="1"/>
  <c r="T195" i="37" s="1"/>
  <c r="Q195" i="37"/>
  <c r="S195" i="37" s="1"/>
  <c r="AC194" i="37"/>
  <c r="AB194" i="37"/>
  <c r="AA194" i="37"/>
  <c r="Z194" i="37"/>
  <c r="T194" i="37" a="1"/>
  <c r="T194" i="37" s="1"/>
  <c r="Q194" i="37"/>
  <c r="AC193" i="37"/>
  <c r="AB193" i="37"/>
  <c r="AA193" i="37"/>
  <c r="Z193" i="37"/>
  <c r="T193" i="37" a="1"/>
  <c r="T193" i="37" s="1"/>
  <c r="S193" i="37"/>
  <c r="Q193" i="37"/>
  <c r="AC192" i="37"/>
  <c r="AB192" i="37"/>
  <c r="AA192" i="37"/>
  <c r="Z192" i="37"/>
  <c r="T192" i="37" a="1"/>
  <c r="T192" i="37" s="1"/>
  <c r="Q192" i="37"/>
  <c r="AC191" i="37"/>
  <c r="AB191" i="37"/>
  <c r="AA191" i="37"/>
  <c r="Z191" i="37"/>
  <c r="T191" i="37" a="1"/>
  <c r="T191" i="37" s="1"/>
  <c r="Q191" i="37"/>
  <c r="S191" i="37" s="1"/>
  <c r="AC190" i="37"/>
  <c r="AB190" i="37"/>
  <c r="AA190" i="37"/>
  <c r="Z190" i="37"/>
  <c r="T190" i="37" a="1"/>
  <c r="T190" i="37" s="1"/>
  <c r="Q190" i="37"/>
  <c r="AC189" i="37"/>
  <c r="AB189" i="37"/>
  <c r="AA189" i="37"/>
  <c r="Z189" i="37"/>
  <c r="T189" i="37" a="1"/>
  <c r="T189" i="37" s="1"/>
  <c r="S189" i="37"/>
  <c r="Q189" i="37"/>
  <c r="AC188" i="37"/>
  <c r="AB188" i="37"/>
  <c r="AA188" i="37"/>
  <c r="Z188" i="37"/>
  <c r="T188" i="37" a="1"/>
  <c r="T188" i="37" s="1"/>
  <c r="Q188" i="37"/>
  <c r="AC187" i="37"/>
  <c r="AB187" i="37"/>
  <c r="AA187" i="37"/>
  <c r="Z187" i="37"/>
  <c r="T187" i="37" a="1"/>
  <c r="T187" i="37" s="1"/>
  <c r="Q187" i="37"/>
  <c r="S187" i="37" s="1"/>
  <c r="AC186" i="37"/>
  <c r="AB186" i="37"/>
  <c r="AA186" i="37"/>
  <c r="Z186" i="37"/>
  <c r="T186" i="37" a="1"/>
  <c r="T186" i="37" s="1"/>
  <c r="Q186" i="37"/>
  <c r="AC185" i="37"/>
  <c r="AB185" i="37"/>
  <c r="AA185" i="37"/>
  <c r="Z185" i="37"/>
  <c r="T185" i="37" a="1"/>
  <c r="T185" i="37" s="1"/>
  <c r="Q185" i="37"/>
  <c r="S185" i="37" s="1"/>
  <c r="AC184" i="37"/>
  <c r="AB184" i="37"/>
  <c r="AA184" i="37"/>
  <c r="Z184" i="37"/>
  <c r="T184" i="37" a="1"/>
  <c r="T184" i="37" s="1"/>
  <c r="Q184" i="37"/>
  <c r="AC183" i="37"/>
  <c r="AB183" i="37"/>
  <c r="AA183" i="37"/>
  <c r="Z183" i="37"/>
  <c r="T183" i="37" a="1"/>
  <c r="T183" i="37" s="1"/>
  <c r="Q183" i="37"/>
  <c r="S183" i="37" s="1"/>
  <c r="AC182" i="37"/>
  <c r="AB182" i="37"/>
  <c r="AA182" i="37"/>
  <c r="Z182" i="37"/>
  <c r="T182" i="37" a="1"/>
  <c r="T182" i="37" s="1"/>
  <c r="Q182" i="37"/>
  <c r="AC181" i="37"/>
  <c r="AB181" i="37"/>
  <c r="AA181" i="37"/>
  <c r="Z181" i="37"/>
  <c r="T181" i="37" a="1"/>
  <c r="T181" i="37" s="1"/>
  <c r="Q181" i="37"/>
  <c r="S181" i="37" s="1"/>
  <c r="AC180" i="37"/>
  <c r="AB180" i="37"/>
  <c r="AA180" i="37"/>
  <c r="Z180" i="37"/>
  <c r="T180" i="37" a="1"/>
  <c r="T180" i="37" s="1"/>
  <c r="Q180" i="37"/>
  <c r="AC179" i="37"/>
  <c r="AB179" i="37"/>
  <c r="AA179" i="37"/>
  <c r="Z179" i="37"/>
  <c r="T179" i="37" a="1"/>
  <c r="T179" i="37" s="1"/>
  <c r="Q179" i="37"/>
  <c r="S179" i="37" s="1"/>
  <c r="AC178" i="37"/>
  <c r="AB178" i="37"/>
  <c r="AA178" i="37"/>
  <c r="Z178" i="37"/>
  <c r="T178" i="37" a="1"/>
  <c r="T178" i="37" s="1"/>
  <c r="Q178" i="37"/>
  <c r="AC177" i="37"/>
  <c r="AB177" i="37"/>
  <c r="AA177" i="37"/>
  <c r="Z177" i="37"/>
  <c r="T177" i="37" a="1"/>
  <c r="T177" i="37" s="1"/>
  <c r="S177" i="37"/>
  <c r="Q177" i="37"/>
  <c r="AC176" i="37"/>
  <c r="AB176" i="37"/>
  <c r="AA176" i="37"/>
  <c r="Z176" i="37"/>
  <c r="T176" i="37" a="1"/>
  <c r="T176" i="37" s="1"/>
  <c r="Q176" i="37"/>
  <c r="AC175" i="37"/>
  <c r="AB175" i="37"/>
  <c r="AA175" i="37"/>
  <c r="Z175" i="37"/>
  <c r="T175" i="37" a="1"/>
  <c r="T175" i="37" s="1"/>
  <c r="S175" i="37"/>
  <c r="Q175" i="37"/>
  <c r="AC174" i="37"/>
  <c r="AB174" i="37"/>
  <c r="AA174" i="37"/>
  <c r="Z174" i="37"/>
  <c r="T174" i="37" a="1"/>
  <c r="T174" i="37" s="1"/>
  <c r="Q174" i="37"/>
  <c r="AC173" i="37"/>
  <c r="AB173" i="37"/>
  <c r="AA173" i="37"/>
  <c r="Z173" i="37"/>
  <c r="T173" i="37" a="1"/>
  <c r="T173" i="37" s="1"/>
  <c r="Q173" i="37"/>
  <c r="S173" i="37" s="1"/>
  <c r="AC172" i="37"/>
  <c r="AB172" i="37"/>
  <c r="AA172" i="37"/>
  <c r="Z172" i="37"/>
  <c r="T172" i="37" a="1"/>
  <c r="T172" i="37" s="1"/>
  <c r="Q172" i="37"/>
  <c r="AC171" i="37"/>
  <c r="AB171" i="37"/>
  <c r="AA171" i="37"/>
  <c r="Z171" i="37"/>
  <c r="T171" i="37" a="1"/>
  <c r="T171" i="37" s="1"/>
  <c r="Q171" i="37"/>
  <c r="S171" i="37" s="1"/>
  <c r="AC170" i="37"/>
  <c r="AB170" i="37"/>
  <c r="AA170" i="37"/>
  <c r="Z170" i="37"/>
  <c r="T170" i="37" a="1"/>
  <c r="T170" i="37" s="1"/>
  <c r="Q170" i="37"/>
  <c r="AC169" i="37"/>
  <c r="AB169" i="37"/>
  <c r="AA169" i="37"/>
  <c r="Z169" i="37"/>
  <c r="T169" i="37" a="1"/>
  <c r="T169" i="37" s="1"/>
  <c r="Q169" i="37"/>
  <c r="S169" i="37" s="1"/>
  <c r="AC168" i="37"/>
  <c r="AB168" i="37"/>
  <c r="AA168" i="37"/>
  <c r="Z168" i="37"/>
  <c r="T168" i="37" a="1"/>
  <c r="T168" i="37" s="1"/>
  <c r="Q168" i="37"/>
  <c r="AC167" i="37"/>
  <c r="AB167" i="37"/>
  <c r="AA167" i="37"/>
  <c r="Z167" i="37"/>
  <c r="T167" i="37" a="1"/>
  <c r="T167" i="37" s="1"/>
  <c r="Q167" i="37"/>
  <c r="S167" i="37" s="1"/>
  <c r="AC166" i="37"/>
  <c r="AB166" i="37"/>
  <c r="AA166" i="37"/>
  <c r="Z166" i="37"/>
  <c r="T166" i="37" a="1"/>
  <c r="T166" i="37" s="1"/>
  <c r="Q166" i="37"/>
  <c r="AC165" i="37"/>
  <c r="AB165" i="37"/>
  <c r="AA165" i="37"/>
  <c r="Z165" i="37"/>
  <c r="T165" i="37" a="1"/>
  <c r="T165" i="37" s="1"/>
  <c r="Q165" i="37"/>
  <c r="S165" i="37" s="1"/>
  <c r="AC164" i="37"/>
  <c r="AB164" i="37"/>
  <c r="AA164" i="37"/>
  <c r="Z164" i="37"/>
  <c r="T164" i="37" a="1"/>
  <c r="T164" i="37" s="1"/>
  <c r="Q164" i="37"/>
  <c r="AC163" i="37"/>
  <c r="AB163" i="37"/>
  <c r="AA163" i="37"/>
  <c r="Z163" i="37"/>
  <c r="T163" i="37" a="1"/>
  <c r="T163" i="37" s="1"/>
  <c r="Q163" i="37"/>
  <c r="S163" i="37" s="1"/>
  <c r="AC162" i="37"/>
  <c r="AB162" i="37"/>
  <c r="AA162" i="37"/>
  <c r="Z162" i="37"/>
  <c r="T162" i="37" a="1"/>
  <c r="T162" i="37" s="1"/>
  <c r="Q162" i="37"/>
  <c r="AC161" i="37"/>
  <c r="AB161" i="37"/>
  <c r="AA161" i="37"/>
  <c r="Z161" i="37"/>
  <c r="T161" i="37" a="1"/>
  <c r="T161" i="37" s="1"/>
  <c r="Q161" i="37"/>
  <c r="S161" i="37" s="1"/>
  <c r="AC160" i="37"/>
  <c r="AB160" i="37"/>
  <c r="AA160" i="37"/>
  <c r="Z160" i="37"/>
  <c r="T160" i="37" a="1"/>
  <c r="T160" i="37" s="1"/>
  <c r="Q160" i="37"/>
  <c r="AC159" i="37"/>
  <c r="AB159" i="37"/>
  <c r="AA159" i="37"/>
  <c r="Z159" i="37"/>
  <c r="T159" i="37" a="1"/>
  <c r="T159" i="37" s="1"/>
  <c r="S159" i="37"/>
  <c r="Q159" i="37"/>
  <c r="AC158" i="37"/>
  <c r="AB158" i="37"/>
  <c r="AA158" i="37"/>
  <c r="Z158" i="37"/>
  <c r="T158" i="37" a="1"/>
  <c r="T158" i="37" s="1"/>
  <c r="Q158" i="37"/>
  <c r="AC157" i="37"/>
  <c r="AB157" i="37"/>
  <c r="AA157" i="37"/>
  <c r="Z157" i="37"/>
  <c r="T157" i="37" a="1"/>
  <c r="T157" i="37" s="1"/>
  <c r="Q157" i="37"/>
  <c r="S157" i="37" s="1"/>
  <c r="AC156" i="37"/>
  <c r="AB156" i="37"/>
  <c r="AA156" i="37"/>
  <c r="Z156" i="37"/>
  <c r="T156" i="37" a="1"/>
  <c r="T156" i="37" s="1"/>
  <c r="Q156" i="37"/>
  <c r="AC155" i="37"/>
  <c r="AB155" i="37"/>
  <c r="AA155" i="37"/>
  <c r="Z155" i="37"/>
  <c r="T155" i="37" a="1"/>
  <c r="T155" i="37" s="1"/>
  <c r="Q155" i="37"/>
  <c r="S155" i="37" s="1"/>
  <c r="AC154" i="37"/>
  <c r="AB154" i="37"/>
  <c r="AA154" i="37"/>
  <c r="Z154" i="37"/>
  <c r="T154" i="37" a="1"/>
  <c r="T154" i="37" s="1"/>
  <c r="Q154" i="37"/>
  <c r="AC153" i="37"/>
  <c r="AB153" i="37"/>
  <c r="AA153" i="37"/>
  <c r="Z153" i="37"/>
  <c r="T153" i="37" a="1"/>
  <c r="T153" i="37" s="1"/>
  <c r="Q153" i="37"/>
  <c r="S153" i="37" s="1"/>
  <c r="AC152" i="37"/>
  <c r="AB152" i="37"/>
  <c r="AA152" i="37"/>
  <c r="Z152" i="37"/>
  <c r="T152" i="37" a="1"/>
  <c r="T152" i="37" s="1"/>
  <c r="Q152" i="37"/>
  <c r="AC151" i="37"/>
  <c r="AB151" i="37"/>
  <c r="AA151" i="37"/>
  <c r="Z151" i="37"/>
  <c r="T151" i="37" a="1"/>
  <c r="T151" i="37" s="1"/>
  <c r="Q151" i="37"/>
  <c r="S151" i="37" s="1"/>
  <c r="AC150" i="37"/>
  <c r="AB150" i="37"/>
  <c r="AA150" i="37"/>
  <c r="Z150" i="37"/>
  <c r="T150" i="37" a="1"/>
  <c r="T150" i="37" s="1"/>
  <c r="Q150" i="37"/>
  <c r="AC149" i="37"/>
  <c r="AB149" i="37"/>
  <c r="AA149" i="37"/>
  <c r="Z149" i="37"/>
  <c r="T149" i="37" a="1"/>
  <c r="T149" i="37" s="1"/>
  <c r="Q149" i="37"/>
  <c r="S149" i="37" s="1"/>
  <c r="AC148" i="37"/>
  <c r="AB148" i="37"/>
  <c r="AA148" i="37"/>
  <c r="Z148" i="37"/>
  <c r="T148" i="37" a="1"/>
  <c r="T148" i="37" s="1"/>
  <c r="Q148" i="37"/>
  <c r="AC147" i="37"/>
  <c r="AB147" i="37"/>
  <c r="AA147" i="37"/>
  <c r="Z147" i="37"/>
  <c r="T147" i="37" a="1"/>
  <c r="T147" i="37" s="1"/>
  <c r="Q147" i="37"/>
  <c r="S147" i="37" s="1"/>
  <c r="AC146" i="37"/>
  <c r="AB146" i="37"/>
  <c r="AA146" i="37"/>
  <c r="Z146" i="37"/>
  <c r="T146" i="37" a="1"/>
  <c r="T146" i="37" s="1"/>
  <c r="Q146" i="37"/>
  <c r="AC145" i="37"/>
  <c r="AB145" i="37"/>
  <c r="AA145" i="37"/>
  <c r="Z145" i="37"/>
  <c r="T145" i="37" a="1"/>
  <c r="T145" i="37" s="1"/>
  <c r="S145" i="37"/>
  <c r="Q145" i="37"/>
  <c r="AC144" i="37"/>
  <c r="AB144" i="37"/>
  <c r="AA144" i="37"/>
  <c r="Z144" i="37"/>
  <c r="T144" i="37" a="1"/>
  <c r="T144" i="37" s="1"/>
  <c r="Q144" i="37"/>
  <c r="S144" i="37" s="1"/>
  <c r="AC143" i="37"/>
  <c r="AB143" i="37"/>
  <c r="AA143" i="37"/>
  <c r="Z143" i="37"/>
  <c r="T143" i="37" a="1"/>
  <c r="T143" i="37" s="1"/>
  <c r="Q143" i="37"/>
  <c r="S143" i="37" s="1"/>
  <c r="AC142" i="37"/>
  <c r="AB142" i="37"/>
  <c r="AA142" i="37"/>
  <c r="Z142" i="37"/>
  <c r="T142" i="37" a="1"/>
  <c r="T142" i="37" s="1"/>
  <c r="Q142" i="37"/>
  <c r="S142" i="37" s="1"/>
  <c r="AC141" i="37"/>
  <c r="AB141" i="37"/>
  <c r="AA141" i="37"/>
  <c r="Z141" i="37"/>
  <c r="T141" i="37" a="1"/>
  <c r="T141" i="37" s="1"/>
  <c r="Q141" i="37"/>
  <c r="S141" i="37" s="1"/>
  <c r="AC140" i="37"/>
  <c r="AB140" i="37"/>
  <c r="AA140" i="37"/>
  <c r="Z140" i="37"/>
  <c r="T140" i="37" a="1"/>
  <c r="T140" i="37" s="1"/>
  <c r="Q140" i="37"/>
  <c r="AC139" i="37"/>
  <c r="AB139" i="37"/>
  <c r="AA139" i="37"/>
  <c r="Z139" i="37"/>
  <c r="T139" i="37" a="1"/>
  <c r="T139" i="37" s="1"/>
  <c r="Q139" i="37"/>
  <c r="S139" i="37" s="1"/>
  <c r="AC138" i="37"/>
  <c r="AB138" i="37"/>
  <c r="AA138" i="37"/>
  <c r="Z138" i="37"/>
  <c r="T138" i="37" a="1"/>
  <c r="T138" i="37" s="1"/>
  <c r="Q138" i="37"/>
  <c r="AC137" i="37"/>
  <c r="AB137" i="37"/>
  <c r="AA137" i="37"/>
  <c r="Z137" i="37"/>
  <c r="T137" i="37" a="1"/>
  <c r="T137" i="37" s="1"/>
  <c r="Q137" i="37"/>
  <c r="S137" i="37" s="1"/>
  <c r="AC136" i="37"/>
  <c r="AB136" i="37"/>
  <c r="AA136" i="37"/>
  <c r="Z136" i="37"/>
  <c r="T136" i="37" a="1"/>
  <c r="T136" i="37" s="1"/>
  <c r="Q136" i="37"/>
  <c r="AC135" i="37"/>
  <c r="AB135" i="37"/>
  <c r="AA135" i="37"/>
  <c r="Z135" i="37"/>
  <c r="T135" i="37" a="1"/>
  <c r="T135" i="37" s="1"/>
  <c r="Q135" i="37"/>
  <c r="S135" i="37" s="1"/>
  <c r="AC134" i="37"/>
  <c r="AB134" i="37"/>
  <c r="AA134" i="37"/>
  <c r="Z134" i="37"/>
  <c r="T134" i="37" a="1"/>
  <c r="T134" i="37" s="1"/>
  <c r="Q134" i="37"/>
  <c r="S134" i="37" s="1"/>
  <c r="AC133" i="37"/>
  <c r="AB133" i="37"/>
  <c r="AA133" i="37"/>
  <c r="Z133" i="37"/>
  <c r="T133" i="37" a="1"/>
  <c r="T133" i="37" s="1"/>
  <c r="Q133" i="37"/>
  <c r="S133" i="37" s="1"/>
  <c r="AC132" i="37"/>
  <c r="AB132" i="37"/>
  <c r="AA132" i="37"/>
  <c r="Z132" i="37"/>
  <c r="T132" i="37" a="1"/>
  <c r="T132" i="37" s="1"/>
  <c r="S132" i="37"/>
  <c r="Q132" i="37"/>
  <c r="AC131" i="37"/>
  <c r="AB131" i="37"/>
  <c r="AA131" i="37"/>
  <c r="Z131" i="37"/>
  <c r="T131" i="37" a="1"/>
  <c r="T131" i="37" s="1"/>
  <c r="Q131" i="37"/>
  <c r="S131" i="37" s="1"/>
  <c r="AC130" i="37"/>
  <c r="AB130" i="37"/>
  <c r="AA130" i="37"/>
  <c r="Z130" i="37"/>
  <c r="T130" i="37" a="1"/>
  <c r="T130" i="37" s="1"/>
  <c r="Q130" i="37"/>
  <c r="S130" i="37" s="1"/>
  <c r="AC129" i="37"/>
  <c r="AB129" i="37"/>
  <c r="AA129" i="37"/>
  <c r="Z129" i="37"/>
  <c r="T129" i="37" a="1"/>
  <c r="T129" i="37" s="1"/>
  <c r="S129" i="37"/>
  <c r="Q129" i="37"/>
  <c r="AC128" i="37"/>
  <c r="AB128" i="37"/>
  <c r="AA128" i="37"/>
  <c r="Z128" i="37"/>
  <c r="T128" i="37" a="1"/>
  <c r="T128" i="37" s="1"/>
  <c r="Q128" i="37"/>
  <c r="S128" i="37" s="1"/>
  <c r="AC127" i="37"/>
  <c r="AB127" i="37"/>
  <c r="AA127" i="37"/>
  <c r="Z127" i="37"/>
  <c r="T127" i="37" a="1"/>
  <c r="T127" i="37" s="1"/>
  <c r="Q127" i="37"/>
  <c r="S127" i="37" s="1"/>
  <c r="AC126" i="37"/>
  <c r="AB126" i="37"/>
  <c r="AA126" i="37"/>
  <c r="Z126" i="37"/>
  <c r="T126" i="37" a="1"/>
  <c r="T126" i="37" s="1"/>
  <c r="Q126" i="37"/>
  <c r="S126" i="37" s="1"/>
  <c r="AC125" i="37"/>
  <c r="AB125" i="37"/>
  <c r="AA125" i="37"/>
  <c r="Z125" i="37"/>
  <c r="T125" i="37" a="1"/>
  <c r="T125" i="37" s="1"/>
  <c r="Q125" i="37"/>
  <c r="S125" i="37" s="1"/>
  <c r="AC124" i="37"/>
  <c r="AB124" i="37"/>
  <c r="AA124" i="37"/>
  <c r="Z124" i="37"/>
  <c r="T124" i="37" a="1"/>
  <c r="T124" i="37" s="1"/>
  <c r="S124" i="37"/>
  <c r="Q124" i="37"/>
  <c r="AC123" i="37"/>
  <c r="AB123" i="37"/>
  <c r="AA123" i="37"/>
  <c r="Z123" i="37"/>
  <c r="T123" i="37" a="1"/>
  <c r="T123" i="37" s="1"/>
  <c r="Q123" i="37"/>
  <c r="S123" i="37" s="1"/>
  <c r="AC122" i="37"/>
  <c r="AB122" i="37"/>
  <c r="AA122" i="37"/>
  <c r="Z122" i="37"/>
  <c r="T122" i="37" a="1"/>
  <c r="T122" i="37" s="1"/>
  <c r="S122" i="37"/>
  <c r="Q122" i="37"/>
  <c r="AC121" i="37"/>
  <c r="AB121" i="37"/>
  <c r="AA121" i="37"/>
  <c r="Z121" i="37"/>
  <c r="T121" i="37" a="1"/>
  <c r="T121" i="37" s="1"/>
  <c r="S121" i="37"/>
  <c r="Q121" i="37"/>
  <c r="AC120" i="37"/>
  <c r="AB120" i="37"/>
  <c r="AA120" i="37"/>
  <c r="Z120" i="37"/>
  <c r="T120" i="37" a="1"/>
  <c r="T120" i="37" s="1"/>
  <c r="Q120" i="37"/>
  <c r="AC119" i="37"/>
  <c r="AB119" i="37"/>
  <c r="AA119" i="37"/>
  <c r="Z119" i="37"/>
  <c r="T119" i="37" a="1"/>
  <c r="T119" i="37" s="1"/>
  <c r="Q119" i="37"/>
  <c r="S119" i="37" s="1"/>
  <c r="AC118" i="37"/>
  <c r="AB118" i="37"/>
  <c r="AA118" i="37"/>
  <c r="Z118" i="37"/>
  <c r="T118" i="37" a="1"/>
  <c r="T118" i="37" s="1"/>
  <c r="Q118" i="37"/>
  <c r="AC117" i="37"/>
  <c r="AB117" i="37"/>
  <c r="AA117" i="37"/>
  <c r="Z117" i="37"/>
  <c r="T117" i="37" a="1"/>
  <c r="T117" i="37" s="1"/>
  <c r="Q117" i="37"/>
  <c r="S117" i="37" s="1"/>
  <c r="AC116" i="37"/>
  <c r="AB116" i="37"/>
  <c r="AA116" i="37"/>
  <c r="Z116" i="37"/>
  <c r="T116" i="37" a="1"/>
  <c r="T116" i="37" s="1"/>
  <c r="S116" i="37"/>
  <c r="Q116" i="37"/>
  <c r="AC115" i="37"/>
  <c r="AB115" i="37"/>
  <c r="AA115" i="37"/>
  <c r="Z115" i="37"/>
  <c r="T115" i="37" a="1"/>
  <c r="T115" i="37" s="1"/>
  <c r="Q115" i="37"/>
  <c r="S115" i="37" s="1"/>
  <c r="AC114" i="37"/>
  <c r="AB114" i="37"/>
  <c r="AA114" i="37"/>
  <c r="Z114" i="37"/>
  <c r="T114" i="37" a="1"/>
  <c r="T114" i="37" s="1"/>
  <c r="Q114" i="37"/>
  <c r="AC113" i="37"/>
  <c r="AB113" i="37"/>
  <c r="AA113" i="37"/>
  <c r="Z113" i="37"/>
  <c r="T113" i="37" a="1"/>
  <c r="T113" i="37" s="1"/>
  <c r="S113" i="37"/>
  <c r="Q113" i="37"/>
  <c r="AC112" i="37"/>
  <c r="AB112" i="37"/>
  <c r="AA112" i="37"/>
  <c r="Z112" i="37"/>
  <c r="T112" i="37" a="1"/>
  <c r="T112" i="37" s="1"/>
  <c r="Q112" i="37"/>
  <c r="S112" i="37" s="1"/>
  <c r="AC111" i="37"/>
  <c r="AB111" i="37"/>
  <c r="AA111" i="37"/>
  <c r="Z111" i="37"/>
  <c r="T111" i="37" a="1"/>
  <c r="T111" i="37" s="1"/>
  <c r="S111" i="37"/>
  <c r="Q111" i="37"/>
  <c r="AC110" i="37"/>
  <c r="AB110" i="37"/>
  <c r="AA110" i="37"/>
  <c r="Z110" i="37"/>
  <c r="T110" i="37" a="1"/>
  <c r="T110" i="37" s="1"/>
  <c r="Q110" i="37"/>
  <c r="AC109" i="37"/>
  <c r="AB109" i="37"/>
  <c r="AA109" i="37"/>
  <c r="Z109" i="37"/>
  <c r="T109" i="37" a="1"/>
  <c r="T109" i="37" s="1"/>
  <c r="S109" i="37"/>
  <c r="Q109" i="37"/>
  <c r="AC108" i="37"/>
  <c r="AB108" i="37"/>
  <c r="AA108" i="37"/>
  <c r="Z108" i="37"/>
  <c r="T108" i="37" a="1"/>
  <c r="T108" i="37" s="1"/>
  <c r="Q108" i="37"/>
  <c r="S108" i="37" s="1"/>
  <c r="AC107" i="37"/>
  <c r="AB107" i="37"/>
  <c r="AA107" i="37"/>
  <c r="Z107" i="37"/>
  <c r="T107" i="37" a="1"/>
  <c r="T107" i="37" s="1"/>
  <c r="Q107" i="37"/>
  <c r="S107" i="37" s="1"/>
  <c r="AC106" i="37"/>
  <c r="AB106" i="37"/>
  <c r="AA106" i="37"/>
  <c r="Z106" i="37"/>
  <c r="T106" i="37" a="1"/>
  <c r="T106" i="37" s="1"/>
  <c r="Q106" i="37"/>
  <c r="AC105" i="37"/>
  <c r="AB105" i="37"/>
  <c r="AA105" i="37"/>
  <c r="Z105" i="37"/>
  <c r="T105" i="37" a="1"/>
  <c r="T105" i="37" s="1"/>
  <c r="Q105" i="37"/>
  <c r="S105" i="37" s="1"/>
  <c r="AC104" i="37"/>
  <c r="AB104" i="37"/>
  <c r="AA104" i="37"/>
  <c r="Z104" i="37"/>
  <c r="T104" i="37" a="1"/>
  <c r="T104" i="37" s="1"/>
  <c r="Q104" i="37"/>
  <c r="AC103" i="37"/>
  <c r="AB103" i="37"/>
  <c r="AA103" i="37"/>
  <c r="Z103" i="37"/>
  <c r="T103" i="37" a="1"/>
  <c r="T103" i="37" s="1"/>
  <c r="S103" i="37"/>
  <c r="Q103" i="37"/>
  <c r="AC102" i="37"/>
  <c r="AB102" i="37"/>
  <c r="AA102" i="37"/>
  <c r="Z102" i="37"/>
  <c r="T102" i="37" a="1"/>
  <c r="T102" i="37" s="1"/>
  <c r="Q102" i="37"/>
  <c r="S102" i="37" s="1"/>
  <c r="AC101" i="37"/>
  <c r="AB101" i="37"/>
  <c r="AA101" i="37"/>
  <c r="Z101" i="37"/>
  <c r="T101" i="37" a="1"/>
  <c r="T101" i="37" s="1"/>
  <c r="Q101" i="37"/>
  <c r="S101" i="37" s="1"/>
  <c r="AC100" i="37"/>
  <c r="AB100" i="37"/>
  <c r="AA100" i="37"/>
  <c r="Z100" i="37"/>
  <c r="T100" i="37" a="1"/>
  <c r="T100" i="37" s="1"/>
  <c r="Q100" i="37"/>
  <c r="S100" i="37" s="1"/>
  <c r="AC99" i="37"/>
  <c r="AB99" i="37"/>
  <c r="AA99" i="37"/>
  <c r="Z99" i="37"/>
  <c r="T99" i="37" a="1"/>
  <c r="T99" i="37" s="1"/>
  <c r="Q99" i="37"/>
  <c r="S99" i="37" s="1"/>
  <c r="AC98" i="37"/>
  <c r="AB98" i="37"/>
  <c r="AA98" i="37"/>
  <c r="Z98" i="37"/>
  <c r="T98" i="37" a="1"/>
  <c r="T98" i="37" s="1"/>
  <c r="Q98" i="37"/>
  <c r="AC97" i="37"/>
  <c r="AB97" i="37"/>
  <c r="AA97" i="37"/>
  <c r="Z97" i="37"/>
  <c r="T97" i="37" a="1"/>
  <c r="T97" i="37" s="1"/>
  <c r="Q97" i="37"/>
  <c r="AC96" i="37"/>
  <c r="AB96" i="37"/>
  <c r="AA96" i="37"/>
  <c r="Z96" i="37"/>
  <c r="T96" i="37" a="1"/>
  <c r="T96" i="37" s="1"/>
  <c r="Q96" i="37"/>
  <c r="S96" i="37" s="1"/>
  <c r="AC95" i="37"/>
  <c r="AB95" i="37"/>
  <c r="AA95" i="37"/>
  <c r="Z95" i="37"/>
  <c r="T95" i="37" a="1"/>
  <c r="T95" i="37" s="1"/>
  <c r="Q95" i="37"/>
  <c r="AC94" i="37"/>
  <c r="AB94" i="37"/>
  <c r="AA94" i="37"/>
  <c r="Z94" i="37"/>
  <c r="T94" i="37" a="1"/>
  <c r="T94" i="37" s="1"/>
  <c r="Q94" i="37"/>
  <c r="AC93" i="37"/>
  <c r="AB93" i="37"/>
  <c r="AA93" i="37"/>
  <c r="Z93" i="37"/>
  <c r="T93" i="37" a="1"/>
  <c r="T93" i="37" s="1"/>
  <c r="Q93" i="37"/>
  <c r="AC92" i="37"/>
  <c r="AB92" i="37"/>
  <c r="AA92" i="37"/>
  <c r="Z92" i="37"/>
  <c r="T92" i="37" a="1"/>
  <c r="T92" i="37" s="1"/>
  <c r="Q92" i="37"/>
  <c r="AC91" i="37"/>
  <c r="AB91" i="37"/>
  <c r="AA91" i="37"/>
  <c r="Z91" i="37"/>
  <c r="T91" i="37" a="1"/>
  <c r="T91" i="37" s="1"/>
  <c r="Q91" i="37"/>
  <c r="AC90" i="37"/>
  <c r="AB90" i="37"/>
  <c r="AA90" i="37"/>
  <c r="Z90" i="37"/>
  <c r="T90" i="37" a="1"/>
  <c r="T90" i="37" s="1"/>
  <c r="Q90" i="37"/>
  <c r="AC89" i="37"/>
  <c r="AB89" i="37"/>
  <c r="AA89" i="37"/>
  <c r="Z89" i="37"/>
  <c r="T89" i="37" a="1"/>
  <c r="T89" i="37" s="1"/>
  <c r="Q89" i="37"/>
  <c r="AC88" i="37"/>
  <c r="AB88" i="37"/>
  <c r="AA88" i="37"/>
  <c r="Z88" i="37"/>
  <c r="T88" i="37" a="1"/>
  <c r="T88" i="37" s="1"/>
  <c r="Q88" i="37"/>
  <c r="AC87" i="37"/>
  <c r="AB87" i="37"/>
  <c r="AA87" i="37"/>
  <c r="Z87" i="37"/>
  <c r="T87" i="37" a="1"/>
  <c r="T87" i="37" s="1"/>
  <c r="Q87" i="37"/>
  <c r="AC86" i="37"/>
  <c r="AB86" i="37"/>
  <c r="AA86" i="37"/>
  <c r="Z86" i="37"/>
  <c r="T86" i="37" a="1"/>
  <c r="T86" i="37" s="1"/>
  <c r="Q86" i="37"/>
  <c r="AC85" i="37"/>
  <c r="AB85" i="37"/>
  <c r="AA85" i="37"/>
  <c r="Z85" i="37"/>
  <c r="T85" i="37" a="1"/>
  <c r="T85" i="37" s="1"/>
  <c r="Q85" i="37"/>
  <c r="AC84" i="37"/>
  <c r="AB84" i="37"/>
  <c r="AA84" i="37"/>
  <c r="Z84" i="37"/>
  <c r="T84" i="37" a="1"/>
  <c r="T84" i="37" s="1"/>
  <c r="S84" i="37"/>
  <c r="Q84" i="37"/>
  <c r="AC83" i="37"/>
  <c r="AB83" i="37"/>
  <c r="AA83" i="37"/>
  <c r="Z83" i="37"/>
  <c r="T83" i="37" a="1"/>
  <c r="T83" i="37" s="1"/>
  <c r="Q83" i="37"/>
  <c r="AC82" i="37"/>
  <c r="AB82" i="37"/>
  <c r="AA82" i="37"/>
  <c r="Z82" i="37"/>
  <c r="T82" i="37" a="1"/>
  <c r="T82" i="37" s="1"/>
  <c r="Q82" i="37"/>
  <c r="S82" i="37" s="1"/>
  <c r="AC81" i="37"/>
  <c r="AB81" i="37"/>
  <c r="AA81" i="37"/>
  <c r="Z81" i="37"/>
  <c r="T81" i="37" a="1"/>
  <c r="T81" i="37" s="1"/>
  <c r="Q81" i="37"/>
  <c r="AC80" i="37"/>
  <c r="AB80" i="37"/>
  <c r="AA80" i="37"/>
  <c r="Z80" i="37"/>
  <c r="T80" i="37" a="1"/>
  <c r="T80" i="37" s="1"/>
  <c r="Q80" i="37"/>
  <c r="S80" i="37" s="1"/>
  <c r="AC79" i="37"/>
  <c r="AB79" i="37"/>
  <c r="AA79" i="37"/>
  <c r="Z79" i="37"/>
  <c r="T79" i="37" a="1"/>
  <c r="T79" i="37" s="1"/>
  <c r="Q79" i="37"/>
  <c r="AC78" i="37"/>
  <c r="AB78" i="37"/>
  <c r="AA78" i="37"/>
  <c r="Z78" i="37"/>
  <c r="T78" i="37" a="1"/>
  <c r="T78" i="37" s="1"/>
  <c r="Q78" i="37"/>
  <c r="AC77" i="37"/>
  <c r="AB77" i="37"/>
  <c r="AA77" i="37"/>
  <c r="Z77" i="37"/>
  <c r="T77" i="37" a="1"/>
  <c r="T77" i="37" s="1"/>
  <c r="Q77" i="37"/>
  <c r="AC76" i="37"/>
  <c r="AB76" i="37"/>
  <c r="AA76" i="37"/>
  <c r="Z76" i="37"/>
  <c r="T76" i="37" a="1"/>
  <c r="T76" i="37" s="1"/>
  <c r="Q76" i="37"/>
  <c r="AC75" i="37"/>
  <c r="AB75" i="37"/>
  <c r="AA75" i="37"/>
  <c r="Z75" i="37"/>
  <c r="T75" i="37" a="1"/>
  <c r="T75" i="37" s="1"/>
  <c r="Q75" i="37"/>
  <c r="AC74" i="37"/>
  <c r="AB74" i="37"/>
  <c r="AA74" i="37"/>
  <c r="Z74" i="37"/>
  <c r="T74" i="37" a="1"/>
  <c r="T74" i="37" s="1"/>
  <c r="Q74" i="37"/>
  <c r="AC73" i="37"/>
  <c r="AB73" i="37"/>
  <c r="AA73" i="37"/>
  <c r="Z73" i="37"/>
  <c r="T73" i="37" a="1"/>
  <c r="T73" i="37" s="1"/>
  <c r="S73" i="37"/>
  <c r="Q73" i="37"/>
  <c r="AC72" i="37"/>
  <c r="AB72" i="37"/>
  <c r="AA72" i="37"/>
  <c r="Z72" i="37"/>
  <c r="T72" i="37" a="1"/>
  <c r="T72" i="37" s="1"/>
  <c r="Q72" i="37"/>
  <c r="S72" i="37" s="1"/>
  <c r="AC71" i="37"/>
  <c r="AB71" i="37"/>
  <c r="AA71" i="37"/>
  <c r="Z71" i="37"/>
  <c r="T71" i="37" a="1"/>
  <c r="T71" i="37" s="1"/>
  <c r="S71" i="37"/>
  <c r="Q71" i="37"/>
  <c r="AC70" i="37"/>
  <c r="AB70" i="37"/>
  <c r="AA70" i="37"/>
  <c r="Z70" i="37"/>
  <c r="T70" i="37" a="1"/>
  <c r="T70" i="37" s="1"/>
  <c r="Q70" i="37"/>
  <c r="S70" i="37" s="1"/>
  <c r="AC69" i="37"/>
  <c r="AB69" i="37"/>
  <c r="AA69" i="37"/>
  <c r="Z69" i="37"/>
  <c r="T69" i="37" a="1"/>
  <c r="T69" i="37" s="1"/>
  <c r="S69" i="37"/>
  <c r="Q69" i="37"/>
  <c r="AC68" i="37"/>
  <c r="AB68" i="37"/>
  <c r="AA68" i="37"/>
  <c r="Z68" i="37"/>
  <c r="T68" i="37" a="1"/>
  <c r="T68" i="37" s="1"/>
  <c r="Q68" i="37"/>
  <c r="S68" i="37" s="1"/>
  <c r="AC67" i="37"/>
  <c r="AB67" i="37"/>
  <c r="AA67" i="37"/>
  <c r="Z67" i="37"/>
  <c r="T67" i="37" a="1"/>
  <c r="T67" i="37" s="1"/>
  <c r="Q67" i="37"/>
  <c r="AC66" i="37"/>
  <c r="AB66" i="37"/>
  <c r="AA66" i="37"/>
  <c r="Z66" i="37"/>
  <c r="T66" i="37" a="1"/>
  <c r="T66" i="37" s="1"/>
  <c r="Q66" i="37"/>
  <c r="S66" i="37" s="1"/>
  <c r="AC65" i="37"/>
  <c r="AB65" i="37"/>
  <c r="AA65" i="37"/>
  <c r="Z65" i="37"/>
  <c r="T65" i="37" a="1"/>
  <c r="T65" i="37" s="1"/>
  <c r="Q65" i="37"/>
  <c r="AC64" i="37"/>
  <c r="AB64" i="37"/>
  <c r="AA64" i="37"/>
  <c r="Z64" i="37"/>
  <c r="T64" i="37" a="1"/>
  <c r="T64" i="37" s="1"/>
  <c r="Q64" i="37"/>
  <c r="S64" i="37" s="1"/>
  <c r="AC63" i="37"/>
  <c r="AB63" i="37"/>
  <c r="AA63" i="37"/>
  <c r="Z63" i="37"/>
  <c r="T63" i="37" a="1"/>
  <c r="T63" i="37" s="1"/>
  <c r="Q63" i="37"/>
  <c r="S63" i="37" s="1"/>
  <c r="AC62" i="37"/>
  <c r="AB62" i="37"/>
  <c r="AA62" i="37"/>
  <c r="Z62" i="37"/>
  <c r="T62" i="37" a="1"/>
  <c r="T62" i="37" s="1"/>
  <c r="Q62" i="37"/>
  <c r="AC61" i="37"/>
  <c r="AB61" i="37"/>
  <c r="AA61" i="37"/>
  <c r="Z61" i="37"/>
  <c r="T61" i="37" a="1"/>
  <c r="T61" i="37" s="1"/>
  <c r="Q61" i="37"/>
  <c r="S61" i="37" s="1"/>
  <c r="AC60" i="37"/>
  <c r="AB60" i="37"/>
  <c r="AA60" i="37"/>
  <c r="Z60" i="37"/>
  <c r="T60" i="37" a="1"/>
  <c r="T60" i="37" s="1"/>
  <c r="S60" i="37"/>
  <c r="Q60" i="37"/>
  <c r="AC59" i="37"/>
  <c r="AB59" i="37"/>
  <c r="AA59" i="37"/>
  <c r="Z59" i="37"/>
  <c r="T59" i="37" a="1"/>
  <c r="T59" i="37" s="1"/>
  <c r="Q59" i="37"/>
  <c r="S59" i="37" s="1"/>
  <c r="AC58" i="37"/>
  <c r="AB58" i="37"/>
  <c r="AA58" i="37"/>
  <c r="Z58" i="37"/>
  <c r="T58" i="37" a="1"/>
  <c r="T58" i="37" s="1"/>
  <c r="Q58" i="37"/>
  <c r="S58" i="37" s="1"/>
  <c r="AC57" i="37"/>
  <c r="AB57" i="37"/>
  <c r="AA57" i="37"/>
  <c r="Z57" i="37"/>
  <c r="T57" i="37" a="1"/>
  <c r="T57" i="37" s="1"/>
  <c r="Q57" i="37"/>
  <c r="AC56" i="37"/>
  <c r="AB56" i="37"/>
  <c r="AA56" i="37"/>
  <c r="Z56" i="37"/>
  <c r="T56" i="37" a="1"/>
  <c r="T56" i="37" s="1"/>
  <c r="Q56" i="37"/>
  <c r="S56" i="37" s="1"/>
  <c r="AC55" i="37"/>
  <c r="AB55" i="37"/>
  <c r="AA55" i="37"/>
  <c r="Z55" i="37"/>
  <c r="T55" i="37" a="1"/>
  <c r="T55" i="37" s="1"/>
  <c r="Q55" i="37"/>
  <c r="S55" i="37" s="1"/>
  <c r="AC54" i="37"/>
  <c r="AB54" i="37"/>
  <c r="AA54" i="37"/>
  <c r="Z54" i="37"/>
  <c r="T54" i="37" a="1"/>
  <c r="T54" i="37" s="1"/>
  <c r="Q54" i="37"/>
  <c r="S54" i="37" s="1"/>
  <c r="AC53" i="37"/>
  <c r="AB53" i="37"/>
  <c r="AA53" i="37"/>
  <c r="Z53" i="37"/>
  <c r="T53" i="37" a="1"/>
  <c r="T53" i="37" s="1"/>
  <c r="Q53" i="37"/>
  <c r="S53" i="37" s="1"/>
  <c r="AC52" i="37"/>
  <c r="AB52" i="37"/>
  <c r="AA52" i="37"/>
  <c r="Z52" i="37"/>
  <c r="T52" i="37" a="1"/>
  <c r="T52" i="37" s="1"/>
  <c r="Q52" i="37"/>
  <c r="S52" i="37" s="1"/>
  <c r="AC51" i="37"/>
  <c r="AB51" i="37"/>
  <c r="AA51" i="37"/>
  <c r="Z51" i="37"/>
  <c r="T51" i="37" a="1"/>
  <c r="T51" i="37" s="1"/>
  <c r="Q51" i="37"/>
  <c r="AC50" i="37"/>
  <c r="AB50" i="37"/>
  <c r="AA50" i="37"/>
  <c r="Z50" i="37"/>
  <c r="T50" i="37" a="1"/>
  <c r="T50" i="37" s="1"/>
  <c r="Q50" i="37"/>
  <c r="S50" i="37" s="1"/>
  <c r="AC49" i="37"/>
  <c r="AB49" i="37"/>
  <c r="AA49" i="37"/>
  <c r="Z49" i="37"/>
  <c r="T49" i="37" a="1"/>
  <c r="T49" i="37" s="1"/>
  <c r="Q49" i="37"/>
  <c r="S49" i="37" s="1"/>
  <c r="AC48" i="37"/>
  <c r="AB48" i="37"/>
  <c r="AA48" i="37"/>
  <c r="Z48" i="37"/>
  <c r="T48" i="37" a="1"/>
  <c r="T48" i="37" s="1"/>
  <c r="Q48" i="37"/>
  <c r="S48" i="37" s="1"/>
  <c r="AC47" i="37"/>
  <c r="AB47" i="37"/>
  <c r="AA47" i="37"/>
  <c r="Z47" i="37"/>
  <c r="T47" i="37" a="1"/>
  <c r="T47" i="37" s="1"/>
  <c r="Q47" i="37"/>
  <c r="AC46" i="37"/>
  <c r="AB46" i="37"/>
  <c r="AA46" i="37"/>
  <c r="Z46" i="37"/>
  <c r="T46" i="37" a="1"/>
  <c r="T46" i="37" s="1"/>
  <c r="S46" i="37"/>
  <c r="Q46" i="37"/>
  <c r="AC45" i="37"/>
  <c r="AB45" i="37"/>
  <c r="AA45" i="37"/>
  <c r="Z45" i="37"/>
  <c r="T45" i="37" a="1"/>
  <c r="T45" i="37" s="1"/>
  <c r="Q45" i="37"/>
  <c r="S45" i="37" s="1"/>
  <c r="AC44" i="37"/>
  <c r="AB44" i="37"/>
  <c r="AA44" i="37"/>
  <c r="Z44" i="37"/>
  <c r="T44" i="37" a="1"/>
  <c r="T44" i="37" s="1"/>
  <c r="Q44" i="37"/>
  <c r="S44" i="37" s="1"/>
  <c r="AC43" i="37"/>
  <c r="AB43" i="37"/>
  <c r="AA43" i="37"/>
  <c r="Z43" i="37"/>
  <c r="T43" i="37" a="1"/>
  <c r="T43" i="37" s="1"/>
  <c r="Q43" i="37"/>
  <c r="S43" i="37" s="1"/>
  <c r="AC42" i="37"/>
  <c r="AB42" i="37"/>
  <c r="AA42" i="37"/>
  <c r="Z42" i="37"/>
  <c r="T42" i="37" a="1"/>
  <c r="T42" i="37" s="1"/>
  <c r="Q42" i="37"/>
  <c r="AC41" i="37"/>
  <c r="AB41" i="37"/>
  <c r="AA41" i="37"/>
  <c r="Z41" i="37"/>
  <c r="T41" i="37" a="1"/>
  <c r="T41" i="37" s="1"/>
  <c r="Q41" i="37"/>
  <c r="S41" i="37" s="1"/>
  <c r="AC40" i="37"/>
  <c r="AB40" i="37"/>
  <c r="AA40" i="37"/>
  <c r="Z40" i="37"/>
  <c r="T40" i="37" a="1"/>
  <c r="T40" i="37" s="1"/>
  <c r="Q40" i="37"/>
  <c r="S40" i="37" s="1"/>
  <c r="AC39" i="37"/>
  <c r="AB39" i="37"/>
  <c r="AA39" i="37"/>
  <c r="Z39" i="37"/>
  <c r="T39" i="37" a="1"/>
  <c r="T39" i="37" s="1"/>
  <c r="Q39" i="37"/>
  <c r="AC38" i="37"/>
  <c r="AB38" i="37"/>
  <c r="AA38" i="37"/>
  <c r="Z38" i="37"/>
  <c r="T38" i="37" a="1"/>
  <c r="T38" i="37" s="1"/>
  <c r="Q38" i="37"/>
  <c r="S38" i="37" s="1"/>
  <c r="AC37" i="37"/>
  <c r="AB37" i="37"/>
  <c r="AA37" i="37"/>
  <c r="Z37" i="37"/>
  <c r="T37" i="37" a="1"/>
  <c r="T37" i="37" s="1"/>
  <c r="Q37" i="37"/>
  <c r="S37" i="37" s="1"/>
  <c r="AC36" i="37"/>
  <c r="AB36" i="37"/>
  <c r="AA36" i="37"/>
  <c r="Z36" i="37"/>
  <c r="T36" i="37" a="1"/>
  <c r="T36" i="37" s="1"/>
  <c r="Q36" i="37"/>
  <c r="S36" i="37" s="1"/>
  <c r="AC35" i="37"/>
  <c r="AB35" i="37"/>
  <c r="AA35" i="37"/>
  <c r="Z35" i="37"/>
  <c r="T35" i="37" a="1"/>
  <c r="T35" i="37" s="1"/>
  <c r="Q35" i="37"/>
  <c r="AC34" i="37"/>
  <c r="AB34" i="37"/>
  <c r="AA34" i="37"/>
  <c r="Z34" i="37"/>
  <c r="T34" i="37" a="1"/>
  <c r="T34" i="37" s="1"/>
  <c r="Q34" i="37"/>
  <c r="S34" i="37" s="1"/>
  <c r="AC33" i="37"/>
  <c r="AB33" i="37"/>
  <c r="AA33" i="37"/>
  <c r="Z33" i="37"/>
  <c r="T33" i="37" a="1"/>
  <c r="T33" i="37" s="1"/>
  <c r="Q33" i="37"/>
  <c r="S33" i="37" s="1"/>
  <c r="AC32" i="37"/>
  <c r="AB32" i="37"/>
  <c r="AA32" i="37"/>
  <c r="Z32" i="37"/>
  <c r="T32" i="37" a="1"/>
  <c r="T32" i="37" s="1"/>
  <c r="Q32" i="37"/>
  <c r="S32" i="37" s="1"/>
  <c r="AC31" i="37"/>
  <c r="AB31" i="37"/>
  <c r="AA31" i="37"/>
  <c r="Z31" i="37"/>
  <c r="T31" i="37" a="1"/>
  <c r="T31" i="37" s="1"/>
  <c r="Q31" i="37"/>
  <c r="AC30" i="37"/>
  <c r="AB30" i="37"/>
  <c r="AA30" i="37"/>
  <c r="Z30" i="37"/>
  <c r="T30" i="37" a="1"/>
  <c r="T30" i="37" s="1"/>
  <c r="Q30" i="37"/>
  <c r="S30" i="37" s="1"/>
  <c r="AC29" i="37"/>
  <c r="AB29" i="37"/>
  <c r="AA29" i="37"/>
  <c r="Z29" i="37"/>
  <c r="T29" i="37" a="1"/>
  <c r="T29" i="37" s="1"/>
  <c r="Q29" i="37"/>
  <c r="S29" i="37" s="1"/>
  <c r="AC28" i="37"/>
  <c r="AB28" i="37"/>
  <c r="AA28" i="37"/>
  <c r="Z28" i="37"/>
  <c r="T28" i="37" a="1"/>
  <c r="T28" i="37" s="1"/>
  <c r="Q28" i="37"/>
  <c r="S28" i="37" s="1"/>
  <c r="AC27" i="37"/>
  <c r="AB27" i="37"/>
  <c r="AA27" i="37"/>
  <c r="Z27" i="37"/>
  <c r="T27" i="37" a="1"/>
  <c r="T27" i="37" s="1"/>
  <c r="Q27" i="37"/>
  <c r="S27" i="37" s="1"/>
  <c r="AC26" i="37"/>
  <c r="AB26" i="37"/>
  <c r="AA26" i="37"/>
  <c r="Z26" i="37"/>
  <c r="T26" i="37" a="1"/>
  <c r="T26" i="37" s="1"/>
  <c r="Q26" i="37"/>
  <c r="AC25" i="37"/>
  <c r="AB25" i="37"/>
  <c r="AA25" i="37"/>
  <c r="Z25" i="37"/>
  <c r="T25" i="37" a="1"/>
  <c r="T25" i="37" s="1"/>
  <c r="Q25" i="37"/>
  <c r="S25" i="37" s="1"/>
  <c r="AC24" i="37"/>
  <c r="AB24" i="37"/>
  <c r="AA24" i="37"/>
  <c r="Z24" i="37"/>
  <c r="T24" i="37" a="1"/>
  <c r="T24" i="37" s="1"/>
  <c r="Q24" i="37"/>
  <c r="S24" i="37" s="1"/>
  <c r="AC23" i="37"/>
  <c r="AB23" i="37"/>
  <c r="AA23" i="37"/>
  <c r="Z23" i="37"/>
  <c r="T23" i="37" a="1"/>
  <c r="T23" i="37" s="1"/>
  <c r="Q23" i="37"/>
  <c r="S23" i="37" s="1"/>
  <c r="AC22" i="37"/>
  <c r="AB22" i="37"/>
  <c r="AA22" i="37"/>
  <c r="Z22" i="37"/>
  <c r="T22" i="37" a="1"/>
  <c r="T22" i="37" s="1"/>
  <c r="Q22" i="37"/>
  <c r="AC21" i="37"/>
  <c r="AB21" i="37"/>
  <c r="AA21" i="37"/>
  <c r="Z21" i="37"/>
  <c r="T21" i="37" a="1"/>
  <c r="T21" i="37" s="1"/>
  <c r="Q21" i="37"/>
  <c r="S21" i="37" s="1"/>
  <c r="AC20" i="37"/>
  <c r="AB20" i="37"/>
  <c r="AA20" i="37"/>
  <c r="Z20" i="37"/>
  <c r="T20" i="37" a="1"/>
  <c r="T20" i="37" s="1"/>
  <c r="Q20" i="37"/>
  <c r="S20" i="37" s="1"/>
  <c r="AC19" i="37"/>
  <c r="AB19" i="37"/>
  <c r="AA19" i="37"/>
  <c r="Z19" i="37"/>
  <c r="T19" i="37" a="1"/>
  <c r="T19" i="37" s="1"/>
  <c r="S19" i="37"/>
  <c r="Q19" i="37"/>
  <c r="AC18" i="37"/>
  <c r="AB18" i="37"/>
  <c r="AA18" i="37"/>
  <c r="Z18" i="37"/>
  <c r="T18" i="37" a="1"/>
  <c r="T18" i="37" s="1"/>
  <c r="Q18" i="37"/>
  <c r="AC17" i="37"/>
  <c r="AB17" i="37"/>
  <c r="AA17" i="37"/>
  <c r="Z17" i="37"/>
  <c r="T17" i="37" a="1"/>
  <c r="T17" i="37" s="1"/>
  <c r="Q17" i="37"/>
  <c r="S17" i="37" s="1"/>
  <c r="AC16" i="37"/>
  <c r="AB16" i="37"/>
  <c r="AA16" i="37"/>
  <c r="Z16" i="37"/>
  <c r="T16" i="37" a="1"/>
  <c r="T16" i="37" s="1"/>
  <c r="Q16" i="37"/>
  <c r="S16" i="37" s="1"/>
  <c r="AC15" i="37"/>
  <c r="AB15" i="37"/>
  <c r="AA15" i="37"/>
  <c r="Z15" i="37"/>
  <c r="T15" i="37" a="1"/>
  <c r="T15" i="37" s="1"/>
  <c r="Q15" i="37"/>
  <c r="S15" i="37" s="1"/>
  <c r="AC14" i="37"/>
  <c r="AB14" i="37"/>
  <c r="AA14" i="37"/>
  <c r="Z14" i="37"/>
  <c r="T14" i="37" a="1"/>
  <c r="T14" i="37" s="1"/>
  <c r="Q14" i="37"/>
  <c r="AC13" i="37"/>
  <c r="AB13" i="37"/>
  <c r="AA13" i="37"/>
  <c r="Z13" i="37"/>
  <c r="T13" i="37" a="1"/>
  <c r="T13" i="37" s="1"/>
  <c r="Q13" i="37"/>
  <c r="S13" i="37" s="1"/>
  <c r="AC12" i="37"/>
  <c r="AB12" i="37"/>
  <c r="AA12" i="37"/>
  <c r="Z12" i="37"/>
  <c r="T12" i="37" a="1"/>
  <c r="T12" i="37" s="1"/>
  <c r="Q12" i="37"/>
  <c r="S12" i="37" s="1"/>
  <c r="AC11" i="37"/>
  <c r="AB11" i="37"/>
  <c r="AA11" i="37"/>
  <c r="Z11" i="37"/>
  <c r="T11" i="37" a="1"/>
  <c r="T11" i="37" s="1"/>
  <c r="Q11" i="37"/>
  <c r="S11" i="37" s="1"/>
  <c r="AC10" i="37"/>
  <c r="AB10" i="37"/>
  <c r="AA10" i="37"/>
  <c r="Z10" i="37"/>
  <c r="T10" i="37" a="1"/>
  <c r="T10" i="37" s="1"/>
  <c r="Q10" i="37"/>
  <c r="AC9" i="37"/>
  <c r="AB9" i="37"/>
  <c r="AA9" i="37"/>
  <c r="Z9" i="37"/>
  <c r="T9" i="37" a="1"/>
  <c r="T9" i="37" s="1"/>
  <c r="Q9" i="37"/>
  <c r="S9" i="37" s="1"/>
  <c r="AC8" i="37"/>
  <c r="AB8" i="37"/>
  <c r="AA8" i="37"/>
  <c r="Z8" i="37"/>
  <c r="T8" i="37" a="1"/>
  <c r="T8" i="37" s="1"/>
  <c r="Q8" i="37"/>
  <c r="S8" i="37" s="1"/>
  <c r="AC7" i="37"/>
  <c r="AB7" i="37"/>
  <c r="AA7" i="37"/>
  <c r="Z7" i="37"/>
  <c r="T7" i="37" a="1"/>
  <c r="T7" i="37" s="1"/>
  <c r="Q7" i="37"/>
  <c r="S7" i="37" s="1"/>
  <c r="AC6" i="37"/>
  <c r="AB6" i="37"/>
  <c r="AA6" i="37"/>
  <c r="Z6" i="37"/>
  <c r="T6" i="37" a="1"/>
  <c r="T6" i="37" s="1"/>
  <c r="Q6" i="37"/>
  <c r="S6" i="37" s="1"/>
  <c r="AD265" i="37" l="1"/>
  <c r="AE265" i="37" s="1"/>
  <c r="AF265" i="37" s="1"/>
  <c r="AD269" i="37"/>
  <c r="AD9" i="37"/>
  <c r="AE9" i="37" s="1"/>
  <c r="AF9" i="37" s="1"/>
  <c r="K17" i="37"/>
  <c r="K52" i="37"/>
  <c r="K267" i="37"/>
  <c r="K13" i="37"/>
  <c r="K16" i="37"/>
  <c r="AD29" i="37"/>
  <c r="K48" i="37"/>
  <c r="AD16" i="37"/>
  <c r="K25" i="37"/>
  <c r="K33" i="37"/>
  <c r="AD41" i="37"/>
  <c r="K77" i="37"/>
  <c r="K252" i="37"/>
  <c r="K8" i="37"/>
  <c r="K12" i="37"/>
  <c r="AD25" i="37"/>
  <c r="AE25" i="37" s="1"/>
  <c r="AF25" i="37" s="1"/>
  <c r="AD66" i="37"/>
  <c r="K67" i="37"/>
  <c r="AD266" i="37"/>
  <c r="K271" i="37"/>
  <c r="AD272" i="37"/>
  <c r="AD37" i="37"/>
  <c r="K38" i="37"/>
  <c r="AD46" i="37"/>
  <c r="AE46" i="37" s="1"/>
  <c r="AF46" i="37" s="1"/>
  <c r="AD65" i="37"/>
  <c r="K66" i="37"/>
  <c r="AD94" i="37"/>
  <c r="K95" i="37"/>
  <c r="K213" i="37"/>
  <c r="K236" i="37"/>
  <c r="K241" i="37"/>
  <c r="K243" i="37"/>
  <c r="K244" i="37"/>
  <c r="K248" i="37"/>
  <c r="K279" i="37"/>
  <c r="AD24" i="37"/>
  <c r="AE24" i="37" s="1"/>
  <c r="AF24" i="37" s="1"/>
  <c r="AD47" i="37"/>
  <c r="AD76" i="37"/>
  <c r="AD31" i="37"/>
  <c r="K34" i="37"/>
  <c r="K43" i="37"/>
  <c r="AD260" i="37"/>
  <c r="AE260" i="37" s="1"/>
  <c r="AF260" i="37" s="1"/>
  <c r="AD270" i="37"/>
  <c r="AD6" i="37"/>
  <c r="AE6" i="37" s="1"/>
  <c r="AF6" i="37" s="1"/>
  <c r="AD8" i="37"/>
  <c r="AE8" i="37" s="1"/>
  <c r="AF8" i="37" s="1"/>
  <c r="AD11" i="37"/>
  <c r="AE11" i="37" s="1"/>
  <c r="AF11" i="37" s="1"/>
  <c r="AD19" i="37"/>
  <c r="AE19" i="37" s="1"/>
  <c r="AF19" i="37" s="1"/>
  <c r="K20" i="37"/>
  <c r="AD21" i="37"/>
  <c r="AE21" i="37" s="1"/>
  <c r="AF21" i="37" s="1"/>
  <c r="AD26" i="37"/>
  <c r="AD39" i="37"/>
  <c r="K40" i="37"/>
  <c r="AD54" i="37"/>
  <c r="AE54" i="37" s="1"/>
  <c r="AF54" i="37" s="1"/>
  <c r="K208" i="37"/>
  <c r="AD210" i="37"/>
  <c r="AE210" i="37" s="1"/>
  <c r="AF210" i="37" s="1"/>
  <c r="AD231" i="37"/>
  <c r="AD234" i="37"/>
  <c r="AE234" i="37" s="1"/>
  <c r="AF234" i="37" s="1"/>
  <c r="K259" i="37"/>
  <c r="K260" i="37"/>
  <c r="AD274" i="37"/>
  <c r="AD276" i="37"/>
  <c r="AE276" i="37" s="1"/>
  <c r="AF276" i="37" s="1"/>
  <c r="AD278" i="37"/>
  <c r="AD281" i="37"/>
  <c r="AE281" i="37" s="1"/>
  <c r="AF281" i="37" s="1"/>
  <c r="K7" i="37"/>
  <c r="AD10" i="37"/>
  <c r="AD81" i="37"/>
  <c r="AD82" i="37"/>
  <c r="AE82" i="37" s="1"/>
  <c r="AF82" i="37" s="1"/>
  <c r="K83" i="37"/>
  <c r="K138" i="37"/>
  <c r="AD220" i="37"/>
  <c r="AE220" i="37" s="1"/>
  <c r="AF220" i="37" s="1"/>
  <c r="AD252" i="37"/>
  <c r="AE252" i="37" s="1"/>
  <c r="AF252" i="37" s="1"/>
  <c r="K275" i="37"/>
  <c r="AD279" i="37"/>
  <c r="K14" i="37"/>
  <c r="K21" i="37"/>
  <c r="AD30" i="37"/>
  <c r="AE30" i="37" s="1"/>
  <c r="AF30" i="37" s="1"/>
  <c r="AD40" i="37"/>
  <c r="AE40" i="37" s="1"/>
  <c r="AF40" i="37" s="1"/>
  <c r="AD44" i="37"/>
  <c r="AE44" i="37" s="1"/>
  <c r="AF44" i="37" s="1"/>
  <c r="AD48" i="37"/>
  <c r="AE48" i="37" s="1"/>
  <c r="AF48" i="37" s="1"/>
  <c r="AD49" i="37"/>
  <c r="K51" i="37"/>
  <c r="K54" i="37"/>
  <c r="AD87" i="37"/>
  <c r="K88" i="37"/>
  <c r="AD98" i="37"/>
  <c r="K99" i="37"/>
  <c r="AD99" i="37"/>
  <c r="AE99" i="37" s="1"/>
  <c r="AF99" i="37" s="1"/>
  <c r="K100" i="37"/>
  <c r="AD100" i="37"/>
  <c r="AD101" i="37"/>
  <c r="AE101" i="37" s="1"/>
  <c r="AF101" i="37" s="1"/>
  <c r="K102" i="37"/>
  <c r="AD102" i="37"/>
  <c r="AD103" i="37"/>
  <c r="K104" i="37"/>
  <c r="K116" i="37"/>
  <c r="AD149" i="37"/>
  <c r="AD152" i="37"/>
  <c r="AD157" i="37"/>
  <c r="AE157" i="37" s="1"/>
  <c r="AF157" i="37" s="1"/>
  <c r="AD160" i="37"/>
  <c r="AD165" i="37"/>
  <c r="AE165" i="37" s="1"/>
  <c r="AF165" i="37" s="1"/>
  <c r="AD168" i="37"/>
  <c r="AD173" i="37"/>
  <c r="AE173" i="37" s="1"/>
  <c r="AF173" i="37" s="1"/>
  <c r="AD176" i="37"/>
  <c r="AD181" i="37"/>
  <c r="AD184" i="37"/>
  <c r="AD189" i="37"/>
  <c r="AE189" i="37" s="1"/>
  <c r="AF189" i="37" s="1"/>
  <c r="AD192" i="37"/>
  <c r="AD197" i="37"/>
  <c r="AE197" i="37" s="1"/>
  <c r="AF197" i="37" s="1"/>
  <c r="AD244" i="37"/>
  <c r="AE244" i="37" s="1"/>
  <c r="AF244" i="37" s="1"/>
  <c r="AD246" i="37"/>
  <c r="AE246" i="37" s="1"/>
  <c r="AF246" i="37" s="1"/>
  <c r="AD253" i="37"/>
  <c r="AE253" i="37" s="1"/>
  <c r="AF253" i="37" s="1"/>
  <c r="K255" i="37"/>
  <c r="AD256" i="37"/>
  <c r="AE256" i="37" s="1"/>
  <c r="AF256" i="37" s="1"/>
  <c r="AD261" i="37"/>
  <c r="AE261" i="37" s="1"/>
  <c r="AF261" i="37" s="1"/>
  <c r="K263" i="37"/>
  <c r="AD264" i="37"/>
  <c r="AE264" i="37" s="1"/>
  <c r="AF264" i="37" s="1"/>
  <c r="AD277" i="37"/>
  <c r="AE277" i="37" s="1"/>
  <c r="AF277" i="37" s="1"/>
  <c r="AD280" i="37"/>
  <c r="AE280" i="37" s="1"/>
  <c r="AF280" i="37" s="1"/>
  <c r="AD282" i="37"/>
  <c r="K18" i="37"/>
  <c r="AD7" i="37"/>
  <c r="AE7" i="37" s="1"/>
  <c r="AF7" i="37" s="1"/>
  <c r="K11" i="37"/>
  <c r="AD13" i="37"/>
  <c r="AE13" i="37" s="1"/>
  <c r="AF13" i="37" s="1"/>
  <c r="AD23" i="37"/>
  <c r="AE23" i="37" s="1"/>
  <c r="AF23" i="37" s="1"/>
  <c r="AD28" i="37"/>
  <c r="AE28" i="37" s="1"/>
  <c r="AF28" i="37" s="1"/>
  <c r="K35" i="37"/>
  <c r="AD36" i="37"/>
  <c r="AE36" i="37" s="1"/>
  <c r="AF36" i="37" s="1"/>
  <c r="AD12" i="37"/>
  <c r="AE12" i="37" s="1"/>
  <c r="AF12" i="37" s="1"/>
  <c r="AD20" i="37"/>
  <c r="AE20" i="37" s="1"/>
  <c r="AF20" i="37" s="1"/>
  <c r="AD38" i="37"/>
  <c r="AE38" i="37" s="1"/>
  <c r="AF38" i="37" s="1"/>
  <c r="K10" i="37"/>
  <c r="K26" i="37"/>
  <c r="K27" i="37"/>
  <c r="K42" i="37"/>
  <c r="K50" i="37"/>
  <c r="AD62" i="37"/>
  <c r="AD63" i="37"/>
  <c r="AE63" i="37" s="1"/>
  <c r="AF63" i="37" s="1"/>
  <c r="AD64" i="37"/>
  <c r="AE64" i="37" s="1"/>
  <c r="AF64" i="37" s="1"/>
  <c r="K65" i="37"/>
  <c r="AE66" i="37"/>
  <c r="AF66" i="37" s="1"/>
  <c r="AD75" i="37"/>
  <c r="K76" i="37"/>
  <c r="AD79" i="37"/>
  <c r="AD80" i="37"/>
  <c r="AE80" i="37" s="1"/>
  <c r="AF80" i="37" s="1"/>
  <c r="K81" i="37"/>
  <c r="AD86" i="37"/>
  <c r="K87" i="37"/>
  <c r="AD90" i="37"/>
  <c r="K91" i="37"/>
  <c r="AD93" i="37"/>
  <c r="K94" i="37"/>
  <c r="AD118" i="37"/>
  <c r="K120" i="37"/>
  <c r="AD15" i="37"/>
  <c r="AE15" i="37" s="1"/>
  <c r="AF15" i="37" s="1"/>
  <c r="AD22" i="37"/>
  <c r="K23" i="37"/>
  <c r="K30" i="37"/>
  <c r="K31" i="37"/>
  <c r="AE41" i="37"/>
  <c r="AF41" i="37" s="1"/>
  <c r="AD45" i="37"/>
  <c r="AE45" i="37" s="1"/>
  <c r="AF45" i="37" s="1"/>
  <c r="K47" i="37"/>
  <c r="AD57" i="37"/>
  <c r="AD58" i="37"/>
  <c r="AE58" i="37" s="1"/>
  <c r="AF58" i="37" s="1"/>
  <c r="K59" i="37"/>
  <c r="AD59" i="37"/>
  <c r="AE59" i="37" s="1"/>
  <c r="AF59" i="37" s="1"/>
  <c r="AD60" i="37"/>
  <c r="AD61" i="37"/>
  <c r="AE61" i="37" s="1"/>
  <c r="AF61" i="37" s="1"/>
  <c r="K62" i="37"/>
  <c r="AD74" i="37"/>
  <c r="K75" i="37"/>
  <c r="AD78" i="37"/>
  <c r="K79" i="37"/>
  <c r="AD85" i="37"/>
  <c r="K86" i="37"/>
  <c r="AD89" i="37"/>
  <c r="K90" i="37"/>
  <c r="AD104" i="37"/>
  <c r="K106" i="37"/>
  <c r="K6" i="37"/>
  <c r="AD14" i="37"/>
  <c r="K15" i="37"/>
  <c r="AD17" i="37"/>
  <c r="AE17" i="37" s="1"/>
  <c r="AF17" i="37" s="1"/>
  <c r="AD18" i="37"/>
  <c r="K19" i="37"/>
  <c r="K22" i="37"/>
  <c r="AD27" i="37"/>
  <c r="AE27" i="37" s="1"/>
  <c r="AF27" i="37" s="1"/>
  <c r="AD32" i="37"/>
  <c r="AE32" i="37" s="1"/>
  <c r="AF32" i="37" s="1"/>
  <c r="AD33" i="37"/>
  <c r="AE33" i="37" s="1"/>
  <c r="AF33" i="37" s="1"/>
  <c r="AD34" i="37"/>
  <c r="AE34" i="37" s="1"/>
  <c r="AF34" i="37" s="1"/>
  <c r="AD35" i="37"/>
  <c r="K36" i="37"/>
  <c r="K39" i="37"/>
  <c r="AD42" i="37"/>
  <c r="AD43" i="37"/>
  <c r="AE43" i="37" s="1"/>
  <c r="AF43" i="37" s="1"/>
  <c r="K46" i="37"/>
  <c r="AD50" i="37"/>
  <c r="AE50" i="37" s="1"/>
  <c r="AF50" i="37" s="1"/>
  <c r="AD51" i="37"/>
  <c r="AD52" i="37"/>
  <c r="AE52" i="37" s="1"/>
  <c r="AF52" i="37" s="1"/>
  <c r="AD53" i="37"/>
  <c r="AE53" i="37" s="1"/>
  <c r="AF53" i="37" s="1"/>
  <c r="AD55" i="37"/>
  <c r="AE55" i="37" s="1"/>
  <c r="AF55" i="37" s="1"/>
  <c r="AE60" i="37"/>
  <c r="AF60" i="37" s="1"/>
  <c r="AD67" i="37"/>
  <c r="AD68" i="37"/>
  <c r="K69" i="37"/>
  <c r="AD69" i="37"/>
  <c r="AE69" i="37" s="1"/>
  <c r="AF69" i="37" s="1"/>
  <c r="K70" i="37"/>
  <c r="AD70" i="37"/>
  <c r="AE70" i="37" s="1"/>
  <c r="AF70" i="37" s="1"/>
  <c r="K71" i="37"/>
  <c r="AD71" i="37"/>
  <c r="AE71" i="37" s="1"/>
  <c r="AF71" i="37" s="1"/>
  <c r="AD72" i="37"/>
  <c r="AE72" i="37" s="1"/>
  <c r="AF72" i="37" s="1"/>
  <c r="K73" i="37"/>
  <c r="AD73" i="37"/>
  <c r="AE73" i="37" s="1"/>
  <c r="AF73" i="37" s="1"/>
  <c r="K74" i="37"/>
  <c r="AD77" i="37"/>
  <c r="K78" i="37"/>
  <c r="AD83" i="37"/>
  <c r="AD84" i="37"/>
  <c r="AE84" i="37" s="1"/>
  <c r="AF84" i="37" s="1"/>
  <c r="K85" i="37"/>
  <c r="AD91" i="37"/>
  <c r="AD114" i="37"/>
  <c r="AD116" i="37"/>
  <c r="AE116" i="37" s="1"/>
  <c r="AF116" i="37" s="1"/>
  <c r="AD117" i="37"/>
  <c r="AE117" i="37" s="1"/>
  <c r="AF117" i="37" s="1"/>
  <c r="K118" i="37"/>
  <c r="AD138" i="37"/>
  <c r="AD139" i="37"/>
  <c r="AE139" i="37" s="1"/>
  <c r="AF139" i="37" s="1"/>
  <c r="K140" i="37"/>
  <c r="AD146" i="37"/>
  <c r="AD151" i="37"/>
  <c r="AE151" i="37" s="1"/>
  <c r="AF151" i="37" s="1"/>
  <c r="AD159" i="37"/>
  <c r="AE159" i="37" s="1"/>
  <c r="AF159" i="37" s="1"/>
  <c r="AD167" i="37"/>
  <c r="AE167" i="37" s="1"/>
  <c r="AF167" i="37" s="1"/>
  <c r="AD175" i="37"/>
  <c r="AE175" i="37" s="1"/>
  <c r="AF175" i="37" s="1"/>
  <c r="AD183" i="37"/>
  <c r="AE183" i="37" s="1"/>
  <c r="AF183" i="37" s="1"/>
  <c r="AD191" i="37"/>
  <c r="AE191" i="37" s="1"/>
  <c r="AF191" i="37" s="1"/>
  <c r="AD199" i="37"/>
  <c r="AE199" i="37" s="1"/>
  <c r="AF199" i="37" s="1"/>
  <c r="K201" i="37"/>
  <c r="K212" i="37"/>
  <c r="AD214" i="37"/>
  <c r="AE214" i="37" s="1"/>
  <c r="AF214" i="37" s="1"/>
  <c r="K217" i="37"/>
  <c r="AD219" i="37"/>
  <c r="AD222" i="37"/>
  <c r="AE222" i="37" s="1"/>
  <c r="AF222" i="37" s="1"/>
  <c r="AD225" i="37"/>
  <c r="AD228" i="37"/>
  <c r="AE228" i="37" s="1"/>
  <c r="AF228" i="37" s="1"/>
  <c r="AD237" i="37"/>
  <c r="AD239" i="37"/>
  <c r="AE239" i="37" s="1"/>
  <c r="AF239" i="37" s="1"/>
  <c r="AD241" i="37"/>
  <c r="AE241" i="37" s="1"/>
  <c r="AF241" i="37" s="1"/>
  <c r="AD243" i="37"/>
  <c r="AE243" i="37" s="1"/>
  <c r="AF243" i="37" s="1"/>
  <c r="K245" i="37"/>
  <c r="K247" i="37"/>
  <c r="AD248" i="37"/>
  <c r="AE248" i="37" s="1"/>
  <c r="AF248" i="37" s="1"/>
  <c r="AD250" i="37"/>
  <c r="AD267" i="37"/>
  <c r="AE267" i="37" s="1"/>
  <c r="AF267" i="37" s="1"/>
  <c r="K276" i="37"/>
  <c r="K281" i="37"/>
  <c r="AD88" i="37"/>
  <c r="K89" i="37"/>
  <c r="AD92" i="37"/>
  <c r="K93" i="37"/>
  <c r="AD97" i="37"/>
  <c r="K98" i="37"/>
  <c r="AE100" i="37"/>
  <c r="AF100" i="37" s="1"/>
  <c r="AE102" i="37"/>
  <c r="AF102" i="37" s="1"/>
  <c r="AE103" i="37"/>
  <c r="AF103" i="37" s="1"/>
  <c r="AD110" i="37"/>
  <c r="AD112" i="37"/>
  <c r="AE112" i="37" s="1"/>
  <c r="AF112" i="37" s="1"/>
  <c r="K114" i="37"/>
  <c r="AD136" i="37"/>
  <c r="AD137" i="37"/>
  <c r="AE137" i="37" s="1"/>
  <c r="AF137" i="37" s="1"/>
  <c r="AD145" i="37"/>
  <c r="AE145" i="37" s="1"/>
  <c r="AF145" i="37" s="1"/>
  <c r="AD148" i="37"/>
  <c r="AD153" i="37"/>
  <c r="AE153" i="37" s="1"/>
  <c r="AF153" i="37" s="1"/>
  <c r="AD161" i="37"/>
  <c r="AE161" i="37" s="1"/>
  <c r="AF161" i="37" s="1"/>
  <c r="AD164" i="37"/>
  <c r="AD169" i="37"/>
  <c r="AD177" i="37"/>
  <c r="AE177" i="37" s="1"/>
  <c r="AF177" i="37" s="1"/>
  <c r="AD185" i="37"/>
  <c r="AE185" i="37" s="1"/>
  <c r="AF185" i="37" s="1"/>
  <c r="AD193" i="37"/>
  <c r="AE193" i="37" s="1"/>
  <c r="AF193" i="37" s="1"/>
  <c r="K200" i="37"/>
  <c r="AD202" i="37"/>
  <c r="AE202" i="37" s="1"/>
  <c r="AF202" i="37" s="1"/>
  <c r="AD203" i="37"/>
  <c r="AE203" i="37" s="1"/>
  <c r="AF203" i="37" s="1"/>
  <c r="K205" i="37"/>
  <c r="K216" i="37"/>
  <c r="AD218" i="37"/>
  <c r="AE218" i="37" s="1"/>
  <c r="AF218" i="37" s="1"/>
  <c r="AD221" i="37"/>
  <c r="AD224" i="37"/>
  <c r="AE224" i="37" s="1"/>
  <c r="AF224" i="37" s="1"/>
  <c r="AD227" i="37"/>
  <c r="AD230" i="37"/>
  <c r="AE230" i="37" s="1"/>
  <c r="AF230" i="37" s="1"/>
  <c r="AD233" i="37"/>
  <c r="AD236" i="37"/>
  <c r="AE236" i="37" s="1"/>
  <c r="AF236" i="37" s="1"/>
  <c r="K240" i="37"/>
  <c r="AD245" i="37"/>
  <c r="AE245" i="37" s="1"/>
  <c r="AF245" i="37" s="1"/>
  <c r="AD247" i="37"/>
  <c r="AE247" i="37" s="1"/>
  <c r="AF247" i="37" s="1"/>
  <c r="K249" i="37"/>
  <c r="K251" i="37"/>
  <c r="AD254" i="37"/>
  <c r="AD255" i="37"/>
  <c r="AE255" i="37" s="1"/>
  <c r="AF255" i="37" s="1"/>
  <c r="K264" i="37"/>
  <c r="K269" i="37"/>
  <c r="AD271" i="37"/>
  <c r="AE271" i="37" s="1"/>
  <c r="AF271" i="37" s="1"/>
  <c r="K280" i="37"/>
  <c r="K92" i="37"/>
  <c r="AD95" i="37"/>
  <c r="K96" i="37"/>
  <c r="AD96" i="37"/>
  <c r="AE96" i="37" s="1"/>
  <c r="AF96" i="37" s="1"/>
  <c r="K97" i="37"/>
  <c r="AD106" i="37"/>
  <c r="AD107" i="37"/>
  <c r="AE107" i="37" s="1"/>
  <c r="AF107" i="37" s="1"/>
  <c r="K108" i="37"/>
  <c r="AD108" i="37"/>
  <c r="AE108" i="37" s="1"/>
  <c r="AF108" i="37" s="1"/>
  <c r="K110" i="37"/>
  <c r="AD120" i="37"/>
  <c r="AD121" i="37"/>
  <c r="AE121" i="37" s="1"/>
  <c r="AF121" i="37" s="1"/>
  <c r="AD122" i="37"/>
  <c r="AE122" i="37" s="1"/>
  <c r="AF122" i="37" s="1"/>
  <c r="AD123" i="37"/>
  <c r="AE123" i="37" s="1"/>
  <c r="AF123" i="37" s="1"/>
  <c r="AD124" i="37"/>
  <c r="AE124" i="37" s="1"/>
  <c r="AF124" i="37" s="1"/>
  <c r="AD125" i="37"/>
  <c r="AE125" i="37" s="1"/>
  <c r="AF125" i="37" s="1"/>
  <c r="AD126" i="37"/>
  <c r="AE126" i="37" s="1"/>
  <c r="AF126" i="37" s="1"/>
  <c r="AD127" i="37"/>
  <c r="AE127" i="37" s="1"/>
  <c r="AF127" i="37" s="1"/>
  <c r="AD128" i="37"/>
  <c r="AE128" i="37" s="1"/>
  <c r="AF128" i="37" s="1"/>
  <c r="AD129" i="37"/>
  <c r="AE129" i="37" s="1"/>
  <c r="AF129" i="37" s="1"/>
  <c r="AD130" i="37"/>
  <c r="AE130" i="37" s="1"/>
  <c r="AF130" i="37" s="1"/>
  <c r="AD131" i="37"/>
  <c r="AE131" i="37" s="1"/>
  <c r="AF131" i="37" s="1"/>
  <c r="K132" i="37"/>
  <c r="AD132" i="37"/>
  <c r="AE132" i="37" s="1"/>
  <c r="AF132" i="37" s="1"/>
  <c r="AD133" i="37"/>
  <c r="AE133" i="37" s="1"/>
  <c r="AF133" i="37" s="1"/>
  <c r="K134" i="37"/>
  <c r="AD134" i="37"/>
  <c r="AE134" i="37" s="1"/>
  <c r="AF134" i="37" s="1"/>
  <c r="AD135" i="37"/>
  <c r="AE135" i="37" s="1"/>
  <c r="AF135" i="37" s="1"/>
  <c r="K136" i="37"/>
  <c r="AD147" i="37"/>
  <c r="AE147" i="37" s="1"/>
  <c r="AF147" i="37" s="1"/>
  <c r="AD155" i="37"/>
  <c r="AE155" i="37" s="1"/>
  <c r="AF155" i="37" s="1"/>
  <c r="AD158" i="37"/>
  <c r="AD163" i="37"/>
  <c r="AE163" i="37" s="1"/>
  <c r="AF163" i="37" s="1"/>
  <c r="AD166" i="37"/>
  <c r="AD171" i="37"/>
  <c r="AE171" i="37" s="1"/>
  <c r="AF171" i="37" s="1"/>
  <c r="AD174" i="37"/>
  <c r="AD179" i="37"/>
  <c r="AE179" i="37" s="1"/>
  <c r="AF179" i="37" s="1"/>
  <c r="AD182" i="37"/>
  <c r="AD187" i="37"/>
  <c r="AE187" i="37" s="1"/>
  <c r="AF187" i="37" s="1"/>
  <c r="AD190" i="37"/>
  <c r="AD195" i="37"/>
  <c r="AE195" i="37" s="1"/>
  <c r="AF195" i="37" s="1"/>
  <c r="AD198" i="37"/>
  <c r="K204" i="37"/>
  <c r="AD206" i="37"/>
  <c r="AE206" i="37" s="1"/>
  <c r="AF206" i="37" s="1"/>
  <c r="AD207" i="37"/>
  <c r="AE207" i="37" s="1"/>
  <c r="AF207" i="37" s="1"/>
  <c r="K209" i="37"/>
  <c r="AD223" i="37"/>
  <c r="AD226" i="37"/>
  <c r="AE226" i="37" s="1"/>
  <c r="AF226" i="37" s="1"/>
  <c r="AD229" i="37"/>
  <c r="AD232" i="37"/>
  <c r="AE232" i="37" s="1"/>
  <c r="AF232" i="37" s="1"/>
  <c r="AD235" i="37"/>
  <c r="AD238" i="37"/>
  <c r="AD242" i="37"/>
  <c r="AE242" i="37" s="1"/>
  <c r="AF242" i="37" s="1"/>
  <c r="AD249" i="37"/>
  <c r="AE249" i="37" s="1"/>
  <c r="AF249" i="37" s="1"/>
  <c r="AD251" i="37"/>
  <c r="AE251" i="37" s="1"/>
  <c r="AF251" i="37" s="1"/>
  <c r="AD257" i="37"/>
  <c r="AE257" i="37" s="1"/>
  <c r="AF257" i="37" s="1"/>
  <c r="AD258" i="37"/>
  <c r="AD259" i="37"/>
  <c r="AE259" i="37" s="1"/>
  <c r="AF259" i="37" s="1"/>
  <c r="AD268" i="37"/>
  <c r="AE268" i="37" s="1"/>
  <c r="AF268" i="37" s="1"/>
  <c r="K268" i="37"/>
  <c r="AD273" i="37"/>
  <c r="AE273" i="37" s="1"/>
  <c r="AF273" i="37" s="1"/>
  <c r="K273" i="37"/>
  <c r="AD275" i="37"/>
  <c r="AE275" i="37" s="1"/>
  <c r="AF275" i="37" s="1"/>
  <c r="AD140" i="37"/>
  <c r="AD141" i="37"/>
  <c r="AE141" i="37" s="1"/>
  <c r="AF141" i="37" s="1"/>
  <c r="AD143" i="37"/>
  <c r="AE143" i="37" s="1"/>
  <c r="AF143" i="37" s="1"/>
  <c r="K256" i="37"/>
  <c r="AD262" i="37"/>
  <c r="AD263" i="37"/>
  <c r="AE263" i="37" s="1"/>
  <c r="AF263" i="37" s="1"/>
  <c r="K272" i="37"/>
  <c r="K277" i="37"/>
  <c r="AE29" i="37"/>
  <c r="AF29" i="37" s="1"/>
  <c r="AE37" i="37"/>
  <c r="AF37" i="37" s="1"/>
  <c r="AE16" i="37"/>
  <c r="AF16" i="37" s="1"/>
  <c r="AE49" i="37"/>
  <c r="AF49" i="37" s="1"/>
  <c r="K9" i="37"/>
  <c r="K29" i="37"/>
  <c r="S31" i="37"/>
  <c r="AE31" i="37" s="1"/>
  <c r="AF31" i="37" s="1"/>
  <c r="S35" i="37"/>
  <c r="K37" i="37"/>
  <c r="S39" i="37"/>
  <c r="K41" i="37"/>
  <c r="K45" i="37"/>
  <c r="S47" i="37"/>
  <c r="K49" i="37"/>
  <c r="S51" i="37"/>
  <c r="K53" i="37"/>
  <c r="AD56" i="37"/>
  <c r="AE56" i="37" s="1"/>
  <c r="AF56" i="37" s="1"/>
  <c r="S10" i="37"/>
  <c r="S14" i="37"/>
  <c r="S18" i="37"/>
  <c r="S22" i="37"/>
  <c r="K24" i="37"/>
  <c r="S26" i="37"/>
  <c r="AE26" i="37" s="1"/>
  <c r="AF26" i="37" s="1"/>
  <c r="K28" i="37"/>
  <c r="K32" i="37"/>
  <c r="S42" i="37"/>
  <c r="K44" i="37"/>
  <c r="K57" i="37"/>
  <c r="S57" i="37"/>
  <c r="K55" i="37"/>
  <c r="AE68" i="37"/>
  <c r="AF68" i="37" s="1"/>
  <c r="S65" i="37"/>
  <c r="AE65" i="37" s="1"/>
  <c r="AF65" i="37" s="1"/>
  <c r="S67" i="37"/>
  <c r="S75" i="37"/>
  <c r="S77" i="37"/>
  <c r="S79" i="37"/>
  <c r="S81" i="37"/>
  <c r="S83" i="37"/>
  <c r="S85" i="37"/>
  <c r="S87" i="37"/>
  <c r="S89" i="37"/>
  <c r="S91" i="37"/>
  <c r="AE91" i="37" s="1"/>
  <c r="AF91" i="37" s="1"/>
  <c r="S93" i="37"/>
  <c r="S95" i="37"/>
  <c r="S97" i="37"/>
  <c r="AD111" i="37"/>
  <c r="AE111" i="37" s="1"/>
  <c r="AF111" i="37" s="1"/>
  <c r="AD119" i="37"/>
  <c r="AE119" i="37" s="1"/>
  <c r="AF119" i="37" s="1"/>
  <c r="K122" i="37"/>
  <c r="K126" i="37"/>
  <c r="K130" i="37"/>
  <c r="K142" i="37"/>
  <c r="AD142" i="37"/>
  <c r="AE142" i="37" s="1"/>
  <c r="AF142" i="37" s="1"/>
  <c r="AD154" i="37"/>
  <c r="AD162" i="37"/>
  <c r="AD170" i="37"/>
  <c r="AD178" i="37"/>
  <c r="AD186" i="37"/>
  <c r="AD194" i="37"/>
  <c r="K56" i="37"/>
  <c r="K58" i="37"/>
  <c r="K60" i="37"/>
  <c r="K64" i="37"/>
  <c r="K68" i="37"/>
  <c r="K72" i="37"/>
  <c r="K80" i="37"/>
  <c r="K82" i="37"/>
  <c r="K84" i="37"/>
  <c r="S106" i="37"/>
  <c r="AD109" i="37"/>
  <c r="AE109" i="37" s="1"/>
  <c r="AF109" i="37" s="1"/>
  <c r="K112" i="37"/>
  <c r="S114" i="37"/>
  <c r="S138" i="37"/>
  <c r="AD144" i="37"/>
  <c r="AE144" i="37" s="1"/>
  <c r="AF144" i="37" s="1"/>
  <c r="S62" i="37"/>
  <c r="S74" i="37"/>
  <c r="S76" i="37"/>
  <c r="S78" i="37"/>
  <c r="S86" i="37"/>
  <c r="S88" i="37"/>
  <c r="S90" i="37"/>
  <c r="S92" i="37"/>
  <c r="S94" i="37"/>
  <c r="AE94" i="37" s="1"/>
  <c r="AF94" i="37" s="1"/>
  <c r="S98" i="37"/>
  <c r="AE98" i="37" s="1"/>
  <c r="AF98" i="37" s="1"/>
  <c r="S104" i="37"/>
  <c r="AD115" i="37"/>
  <c r="AE115" i="37" s="1"/>
  <c r="AF115" i="37" s="1"/>
  <c r="S120" i="37"/>
  <c r="K124" i="37"/>
  <c r="K128" i="37"/>
  <c r="AD150" i="37"/>
  <c r="K61" i="37"/>
  <c r="K63" i="37"/>
  <c r="K101" i="37"/>
  <c r="K103" i="37"/>
  <c r="K105" i="37"/>
  <c r="AD105" i="37"/>
  <c r="AE105" i="37" s="1"/>
  <c r="AF105" i="37" s="1"/>
  <c r="S110" i="37"/>
  <c r="AD113" i="37"/>
  <c r="AE113" i="37" s="1"/>
  <c r="AF113" i="37" s="1"/>
  <c r="S118" i="37"/>
  <c r="AE118" i="37" s="1"/>
  <c r="AF118" i="37" s="1"/>
  <c r="S136" i="37"/>
  <c r="S140" i="37"/>
  <c r="AD156" i="37"/>
  <c r="AD172" i="37"/>
  <c r="AD180" i="37"/>
  <c r="AD188" i="37"/>
  <c r="AD196" i="37"/>
  <c r="K107" i="37"/>
  <c r="K109" i="37"/>
  <c r="K111" i="37"/>
  <c r="K113" i="37"/>
  <c r="K115" i="37"/>
  <c r="K117" i="37"/>
  <c r="K119" i="37"/>
  <c r="K121" i="37"/>
  <c r="K123" i="37"/>
  <c r="K125" i="37"/>
  <c r="K127" i="37"/>
  <c r="K129" i="37"/>
  <c r="K131" i="37"/>
  <c r="K133" i="37"/>
  <c r="K135" i="37"/>
  <c r="K137" i="37"/>
  <c r="K139" i="37"/>
  <c r="K141" i="37"/>
  <c r="K143" i="37"/>
  <c r="K146" i="37"/>
  <c r="S146" i="37"/>
  <c r="K148" i="37"/>
  <c r="S148" i="37"/>
  <c r="K150" i="37"/>
  <c r="S150" i="37"/>
  <c r="K152" i="37"/>
  <c r="S152" i="37"/>
  <c r="K154" i="37"/>
  <c r="S154" i="37"/>
  <c r="K156" i="37"/>
  <c r="S156" i="37"/>
  <c r="K158" i="37"/>
  <c r="S158" i="37"/>
  <c r="K160" i="37"/>
  <c r="S160" i="37"/>
  <c r="K162" i="37"/>
  <c r="S162" i="37"/>
  <c r="K164" i="37"/>
  <c r="S164" i="37"/>
  <c r="K166" i="37"/>
  <c r="S166" i="37"/>
  <c r="K168" i="37"/>
  <c r="S168" i="37"/>
  <c r="K170" i="37"/>
  <c r="S170" i="37"/>
  <c r="AE170" i="37" s="1"/>
  <c r="AF170" i="37" s="1"/>
  <c r="K172" i="37"/>
  <c r="S172" i="37"/>
  <c r="K174" i="37"/>
  <c r="S174" i="37"/>
  <c r="K176" i="37"/>
  <c r="S176" i="37"/>
  <c r="K178" i="37"/>
  <c r="S178" i="37"/>
  <c r="K180" i="37"/>
  <c r="S180" i="37"/>
  <c r="K182" i="37"/>
  <c r="S182" i="37"/>
  <c r="K184" i="37"/>
  <c r="S184" i="37"/>
  <c r="K186" i="37"/>
  <c r="S186" i="37"/>
  <c r="K188" i="37"/>
  <c r="S188" i="37"/>
  <c r="AE188" i="37" s="1"/>
  <c r="AF188" i="37" s="1"/>
  <c r="K190" i="37"/>
  <c r="S190" i="37"/>
  <c r="K192" i="37"/>
  <c r="S192" i="37"/>
  <c r="K194" i="37"/>
  <c r="S194" i="37"/>
  <c r="K196" i="37"/>
  <c r="S196" i="37"/>
  <c r="K198" i="37"/>
  <c r="S198" i="37"/>
  <c r="S254" i="37"/>
  <c r="K254" i="37"/>
  <c r="S258" i="37"/>
  <c r="K258" i="37"/>
  <c r="S262" i="37"/>
  <c r="K262" i="37"/>
  <c r="S266" i="37"/>
  <c r="K266" i="37"/>
  <c r="S270" i="37"/>
  <c r="K270" i="37"/>
  <c r="S274" i="37"/>
  <c r="K274" i="37"/>
  <c r="S278" i="37"/>
  <c r="K278" i="37"/>
  <c r="AE279" i="37"/>
  <c r="AF279" i="37" s="1"/>
  <c r="S282" i="37"/>
  <c r="K282" i="37"/>
  <c r="AE149" i="37"/>
  <c r="AF149" i="37" s="1"/>
  <c r="AE169" i="37"/>
  <c r="AF169" i="37" s="1"/>
  <c r="AE181" i="37"/>
  <c r="AF181" i="37" s="1"/>
  <c r="K144" i="37"/>
  <c r="AD211" i="37"/>
  <c r="AE211" i="37" s="1"/>
  <c r="AF211" i="37" s="1"/>
  <c r="AD215" i="37"/>
  <c r="AE215" i="37" s="1"/>
  <c r="AF215" i="37" s="1"/>
  <c r="S240" i="37"/>
  <c r="AD200" i="37"/>
  <c r="AE200" i="37" s="1"/>
  <c r="AF200" i="37" s="1"/>
  <c r="K202" i="37"/>
  <c r="AD204" i="37"/>
  <c r="AE204" i="37" s="1"/>
  <c r="AF204" i="37" s="1"/>
  <c r="K206" i="37"/>
  <c r="AD208" i="37"/>
  <c r="AE208" i="37" s="1"/>
  <c r="AF208" i="37" s="1"/>
  <c r="K210" i="37"/>
  <c r="AD212" i="37"/>
  <c r="AE212" i="37" s="1"/>
  <c r="AF212" i="37" s="1"/>
  <c r="K214" i="37"/>
  <c r="AD216" i="37"/>
  <c r="AE216" i="37" s="1"/>
  <c r="AF216" i="37" s="1"/>
  <c r="K218" i="37"/>
  <c r="K220" i="37"/>
  <c r="K222" i="37"/>
  <c r="K224" i="37"/>
  <c r="K226" i="37"/>
  <c r="K228" i="37"/>
  <c r="K230" i="37"/>
  <c r="K232" i="37"/>
  <c r="K234" i="37"/>
  <c r="K237" i="37"/>
  <c r="S237" i="37"/>
  <c r="AD240" i="37"/>
  <c r="K242" i="37"/>
  <c r="K246" i="37"/>
  <c r="K250" i="37"/>
  <c r="K145" i="37"/>
  <c r="K147" i="37"/>
  <c r="K149" i="37"/>
  <c r="K151" i="37"/>
  <c r="K153" i="37"/>
  <c r="K155" i="37"/>
  <c r="K157" i="37"/>
  <c r="K159" i="37"/>
  <c r="K161" i="37"/>
  <c r="K163" i="37"/>
  <c r="K165" i="37"/>
  <c r="K167" i="37"/>
  <c r="K169" i="37"/>
  <c r="K171" i="37"/>
  <c r="K173" i="37"/>
  <c r="K175" i="37"/>
  <c r="K177" i="37"/>
  <c r="K179" i="37"/>
  <c r="K181" i="37"/>
  <c r="K183" i="37"/>
  <c r="K185" i="37"/>
  <c r="K187" i="37"/>
  <c r="K189" i="37"/>
  <c r="K191" i="37"/>
  <c r="K193" i="37"/>
  <c r="K195" i="37"/>
  <c r="K197" i="37"/>
  <c r="K199" i="37"/>
  <c r="AD201" i="37"/>
  <c r="AE201" i="37" s="1"/>
  <c r="AF201" i="37" s="1"/>
  <c r="K203" i="37"/>
  <c r="AD205" i="37"/>
  <c r="AE205" i="37" s="1"/>
  <c r="AF205" i="37" s="1"/>
  <c r="K207" i="37"/>
  <c r="AD209" i="37"/>
  <c r="AE209" i="37" s="1"/>
  <c r="AF209" i="37" s="1"/>
  <c r="K211" i="37"/>
  <c r="AD213" i="37"/>
  <c r="AE213" i="37" s="1"/>
  <c r="AF213" i="37" s="1"/>
  <c r="K215" i="37"/>
  <c r="AD217" i="37"/>
  <c r="AE217" i="37" s="1"/>
  <c r="AF217" i="37" s="1"/>
  <c r="AE250" i="37"/>
  <c r="AF250" i="37" s="1"/>
  <c r="K219" i="37"/>
  <c r="K221" i="37"/>
  <c r="K223" i="37"/>
  <c r="K225" i="37"/>
  <c r="K227" i="37"/>
  <c r="K229" i="37"/>
  <c r="K231" i="37"/>
  <c r="K233" i="37"/>
  <c r="K235" i="37"/>
  <c r="K238" i="37"/>
  <c r="S219" i="37"/>
  <c r="S221" i="37"/>
  <c r="S223" i="37"/>
  <c r="S225" i="37"/>
  <c r="S227" i="37"/>
  <c r="S229" i="37"/>
  <c r="S231" i="37"/>
  <c r="S233" i="37"/>
  <c r="S235" i="37"/>
  <c r="S238" i="37"/>
  <c r="K239" i="37"/>
  <c r="K253" i="37"/>
  <c r="K257" i="37"/>
  <c r="K261" i="37"/>
  <c r="K265" i="37"/>
  <c r="AE272" i="37"/>
  <c r="AF272" i="37" s="1"/>
  <c r="AE269" i="37"/>
  <c r="AF269" i="37" s="1"/>
  <c r="AE278" i="37" l="1"/>
  <c r="AF278" i="37" s="1"/>
  <c r="AE22" i="37"/>
  <c r="AF22" i="37" s="1"/>
  <c r="AE270" i="37"/>
  <c r="AF270" i="37" s="1"/>
  <c r="AE10" i="37"/>
  <c r="AF10" i="37" s="1"/>
  <c r="AE51" i="37"/>
  <c r="AF51" i="37" s="1"/>
  <c r="AE274" i="37"/>
  <c r="AF274" i="37" s="1"/>
  <c r="AE266" i="37"/>
  <c r="AF266" i="37" s="1"/>
  <c r="AE57" i="37"/>
  <c r="AF57" i="37" s="1"/>
  <c r="AE231" i="37"/>
  <c r="AF231" i="37" s="1"/>
  <c r="AE192" i="37"/>
  <c r="AF192" i="37" s="1"/>
  <c r="AE176" i="37"/>
  <c r="AF176" i="37" s="1"/>
  <c r="AE160" i="37"/>
  <c r="AF160" i="37" s="1"/>
  <c r="AE110" i="37"/>
  <c r="AF110" i="37" s="1"/>
  <c r="AE138" i="37"/>
  <c r="AF138" i="37" s="1"/>
  <c r="AE79" i="37"/>
  <c r="AF79" i="37" s="1"/>
  <c r="AE97" i="37"/>
  <c r="AF97" i="37" s="1"/>
  <c r="AE67" i="37"/>
  <c r="AF67" i="37" s="1"/>
  <c r="AE106" i="37"/>
  <c r="AF106" i="37" s="1"/>
  <c r="AE95" i="37"/>
  <c r="AF95" i="37" s="1"/>
  <c r="AE198" i="37"/>
  <c r="AF198" i="37" s="1"/>
  <c r="AE182" i="37"/>
  <c r="AF182" i="37" s="1"/>
  <c r="AE166" i="37"/>
  <c r="AF166" i="37" s="1"/>
  <c r="AE88" i="37"/>
  <c r="AF88" i="37" s="1"/>
  <c r="AE74" i="37"/>
  <c r="AF74" i="37" s="1"/>
  <c r="AE35" i="37"/>
  <c r="AF35" i="37" s="1"/>
  <c r="AE262" i="37"/>
  <c r="AF262" i="37" s="1"/>
  <c r="AE194" i="37"/>
  <c r="AF194" i="37" s="1"/>
  <c r="AE162" i="37"/>
  <c r="AF162" i="37" s="1"/>
  <c r="AE150" i="37"/>
  <c r="AF150" i="37" s="1"/>
  <c r="AE146" i="37"/>
  <c r="AF146" i="37" s="1"/>
  <c r="AE87" i="37"/>
  <c r="AF87" i="37" s="1"/>
  <c r="AE223" i="37"/>
  <c r="AF223" i="37" s="1"/>
  <c r="AE229" i="37"/>
  <c r="AF229" i="37" s="1"/>
  <c r="AE282" i="37"/>
  <c r="AF282" i="37" s="1"/>
  <c r="AE136" i="37"/>
  <c r="AF136" i="37" s="1"/>
  <c r="AE104" i="37"/>
  <c r="AF104" i="37" s="1"/>
  <c r="AE76" i="37"/>
  <c r="AF76" i="37" s="1"/>
  <c r="AE81" i="37"/>
  <c r="AF81" i="37" s="1"/>
  <c r="AE85" i="37"/>
  <c r="AF85" i="37" s="1"/>
  <c r="AE42" i="37"/>
  <c r="AF42" i="37" s="1"/>
  <c r="AE186" i="37"/>
  <c r="AF186" i="37" s="1"/>
  <c r="AE154" i="37"/>
  <c r="AF154" i="37" s="1"/>
  <c r="AE227" i="37"/>
  <c r="AF227" i="37" s="1"/>
  <c r="AE258" i="37"/>
  <c r="AF258" i="37" s="1"/>
  <c r="AE196" i="37"/>
  <c r="AF196" i="37" s="1"/>
  <c r="AE184" i="37"/>
  <c r="AF184" i="37" s="1"/>
  <c r="AE168" i="37"/>
  <c r="AF168" i="37" s="1"/>
  <c r="AE156" i="37"/>
  <c r="AF156" i="37" s="1"/>
  <c r="AE152" i="37"/>
  <c r="AF152" i="37" s="1"/>
  <c r="AE148" i="37"/>
  <c r="AF148" i="37" s="1"/>
  <c r="AE140" i="37"/>
  <c r="AF140" i="37" s="1"/>
  <c r="AE120" i="37"/>
  <c r="AF120" i="37" s="1"/>
  <c r="AE86" i="37"/>
  <c r="AF86" i="37" s="1"/>
  <c r="AE62" i="37"/>
  <c r="AF62" i="37" s="1"/>
  <c r="AE114" i="37"/>
  <c r="AF114" i="37" s="1"/>
  <c r="AE93" i="37"/>
  <c r="AF93" i="37" s="1"/>
  <c r="AE77" i="37"/>
  <c r="AF77" i="37" s="1"/>
  <c r="AE39" i="37"/>
  <c r="AF39" i="37" s="1"/>
  <c r="AE225" i="37"/>
  <c r="AF225" i="37" s="1"/>
  <c r="AE78" i="37"/>
  <c r="AF78" i="37" s="1"/>
  <c r="AE18" i="37"/>
  <c r="AF18" i="37" s="1"/>
  <c r="AE47" i="37"/>
  <c r="AF47" i="37" s="1"/>
  <c r="AE238" i="37"/>
  <c r="AF238" i="37" s="1"/>
  <c r="AE221" i="37"/>
  <c r="AF221" i="37" s="1"/>
  <c r="AE190" i="37"/>
  <c r="AF190" i="37" s="1"/>
  <c r="AE178" i="37"/>
  <c r="AF178" i="37" s="1"/>
  <c r="AE174" i="37"/>
  <c r="AF174" i="37" s="1"/>
  <c r="AE158" i="37"/>
  <c r="AF158" i="37" s="1"/>
  <c r="AE92" i="37"/>
  <c r="AF92" i="37" s="1"/>
  <c r="AE14" i="37"/>
  <c r="AF14" i="37" s="1"/>
  <c r="AE235" i="37"/>
  <c r="AF235" i="37" s="1"/>
  <c r="AE219" i="37"/>
  <c r="AF219" i="37" s="1"/>
  <c r="AE237" i="37"/>
  <c r="AF237" i="37" s="1"/>
  <c r="AE240" i="37"/>
  <c r="AF240" i="37" s="1"/>
  <c r="AE254" i="37"/>
  <c r="AF254" i="37" s="1"/>
  <c r="AE90" i="37"/>
  <c r="AF90" i="37" s="1"/>
  <c r="AE83" i="37"/>
  <c r="AF83" i="37" s="1"/>
  <c r="AE75" i="37"/>
  <c r="AF75" i="37" s="1"/>
  <c r="AE233" i="37"/>
  <c r="AF233" i="37" s="1"/>
  <c r="AE180" i="37"/>
  <c r="AF180" i="37" s="1"/>
  <c r="AE164" i="37"/>
  <c r="AF164" i="37" s="1"/>
  <c r="AE89" i="37"/>
  <c r="AF89" i="37" s="1"/>
  <c r="AE172" i="37"/>
  <c r="AF172" i="37" s="1"/>
  <c r="AC282" i="22" l="1"/>
  <c r="AB282" i="22"/>
  <c r="AA282" i="22"/>
  <c r="Z282" i="22"/>
  <c r="AC281" i="22"/>
  <c r="AB281" i="22"/>
  <c r="AA281" i="22"/>
  <c r="Z281" i="22"/>
  <c r="AC280" i="22"/>
  <c r="AB280" i="22"/>
  <c r="AA280" i="22"/>
  <c r="Z280" i="22"/>
  <c r="AC279" i="22"/>
  <c r="AB279" i="22"/>
  <c r="AA279" i="22"/>
  <c r="Z279" i="22"/>
  <c r="AC278" i="22"/>
  <c r="AB278" i="22"/>
  <c r="AA278" i="22"/>
  <c r="Z278" i="22"/>
  <c r="AC277" i="22"/>
  <c r="AB277" i="22"/>
  <c r="AA277" i="22"/>
  <c r="Z277" i="22"/>
  <c r="AC276" i="22"/>
  <c r="AB276" i="22"/>
  <c r="AA276" i="22"/>
  <c r="Z276" i="22"/>
  <c r="AC275" i="22"/>
  <c r="AB275" i="22"/>
  <c r="AA275" i="22"/>
  <c r="Z275" i="22"/>
  <c r="AC274" i="22"/>
  <c r="AB274" i="22"/>
  <c r="AA274" i="22"/>
  <c r="Z274" i="22"/>
  <c r="AC273" i="22"/>
  <c r="AB273" i="22"/>
  <c r="AA273" i="22"/>
  <c r="Z273" i="22"/>
  <c r="AC272" i="22"/>
  <c r="AB272" i="22"/>
  <c r="AA272" i="22"/>
  <c r="Z272" i="22"/>
  <c r="AC271" i="22"/>
  <c r="AB271" i="22"/>
  <c r="AA271" i="22"/>
  <c r="Z271" i="22"/>
  <c r="AC270" i="22"/>
  <c r="AB270" i="22"/>
  <c r="AA270" i="22"/>
  <c r="Z270" i="22"/>
  <c r="AC269" i="22"/>
  <c r="AB269" i="22"/>
  <c r="AA269" i="22"/>
  <c r="Z269" i="22"/>
  <c r="AC268" i="22"/>
  <c r="AB268" i="22"/>
  <c r="AA268" i="22"/>
  <c r="Z268" i="22"/>
  <c r="AC267" i="22"/>
  <c r="AB267" i="22"/>
  <c r="AA267" i="22"/>
  <c r="Z267" i="22"/>
  <c r="AC266" i="22"/>
  <c r="AB266" i="22"/>
  <c r="AA266" i="22"/>
  <c r="Z266" i="22"/>
  <c r="AC265" i="22"/>
  <c r="AB265" i="22"/>
  <c r="AA265" i="22"/>
  <c r="Z265" i="22"/>
  <c r="AC264" i="22"/>
  <c r="AB264" i="22"/>
  <c r="AA264" i="22"/>
  <c r="Z264" i="22"/>
  <c r="AC263" i="22"/>
  <c r="AB263" i="22"/>
  <c r="AA263" i="22"/>
  <c r="Z263" i="22"/>
  <c r="AC262" i="22"/>
  <c r="AB262" i="22"/>
  <c r="AA262" i="22"/>
  <c r="Z262" i="22"/>
  <c r="AC261" i="22"/>
  <c r="AB261" i="22"/>
  <c r="AA261" i="22"/>
  <c r="Z261" i="22"/>
  <c r="AC260" i="22"/>
  <c r="AB260" i="22"/>
  <c r="AA260" i="22"/>
  <c r="Z260" i="22"/>
  <c r="AC259" i="22"/>
  <c r="AB259" i="22"/>
  <c r="AA259" i="22"/>
  <c r="Z259" i="22"/>
  <c r="AC258" i="22"/>
  <c r="AB258" i="22"/>
  <c r="AA258" i="22"/>
  <c r="Z258" i="22"/>
  <c r="AC257" i="22"/>
  <c r="AB257" i="22"/>
  <c r="AA257" i="22"/>
  <c r="Z257" i="22"/>
  <c r="AC256" i="22"/>
  <c r="AB256" i="22"/>
  <c r="AA256" i="22"/>
  <c r="Z256" i="22"/>
  <c r="AC255" i="22"/>
  <c r="AB255" i="22"/>
  <c r="AA255" i="22"/>
  <c r="Z255" i="22"/>
  <c r="AC254" i="22"/>
  <c r="AB254" i="22"/>
  <c r="AA254" i="22"/>
  <c r="Z254" i="22"/>
  <c r="AC253" i="22"/>
  <c r="AB253" i="22"/>
  <c r="AA253" i="22"/>
  <c r="Z253" i="22"/>
  <c r="AC252" i="22"/>
  <c r="AB252" i="22"/>
  <c r="AA252" i="22"/>
  <c r="Z252" i="22"/>
  <c r="AC251" i="22"/>
  <c r="AB251" i="22"/>
  <c r="AA251" i="22"/>
  <c r="Z251" i="22"/>
  <c r="AC250" i="22"/>
  <c r="AB250" i="22"/>
  <c r="AA250" i="22"/>
  <c r="Z250" i="22"/>
  <c r="AC249" i="22"/>
  <c r="AB249" i="22"/>
  <c r="AA249" i="22"/>
  <c r="Z249" i="22"/>
  <c r="AC248" i="22"/>
  <c r="AB248" i="22"/>
  <c r="AA248" i="22"/>
  <c r="Z248" i="22"/>
  <c r="AC247" i="22"/>
  <c r="AB247" i="22"/>
  <c r="AA247" i="22"/>
  <c r="Z247" i="22"/>
  <c r="AC246" i="22"/>
  <c r="AB246" i="22"/>
  <c r="AA246" i="22"/>
  <c r="Z246" i="22"/>
  <c r="AC245" i="22"/>
  <c r="AB245" i="22"/>
  <c r="AA245" i="22"/>
  <c r="Z245" i="22"/>
  <c r="AC244" i="22"/>
  <c r="AB244" i="22"/>
  <c r="AA244" i="22"/>
  <c r="Z244" i="22"/>
  <c r="AC243" i="22"/>
  <c r="AB243" i="22"/>
  <c r="AA243" i="22"/>
  <c r="Z243" i="22"/>
  <c r="AC242" i="22"/>
  <c r="AB242" i="22"/>
  <c r="AA242" i="22"/>
  <c r="Z242" i="22"/>
  <c r="AC241" i="22"/>
  <c r="AB241" i="22"/>
  <c r="AA241" i="22"/>
  <c r="Z241" i="22"/>
  <c r="AC240" i="22"/>
  <c r="AB240" i="22"/>
  <c r="AA240" i="22"/>
  <c r="Z240" i="22"/>
  <c r="AC239" i="22"/>
  <c r="AB239" i="22"/>
  <c r="AA239" i="22"/>
  <c r="Z239" i="22"/>
  <c r="AC238" i="22"/>
  <c r="AB238" i="22"/>
  <c r="AA238" i="22"/>
  <c r="Z238" i="22"/>
  <c r="AC237" i="22"/>
  <c r="AB237" i="22"/>
  <c r="AA237" i="22"/>
  <c r="Z237" i="22"/>
  <c r="AC236" i="22"/>
  <c r="AB236" i="22"/>
  <c r="AA236" i="22"/>
  <c r="Z236" i="22"/>
  <c r="AC235" i="22"/>
  <c r="AB235" i="22"/>
  <c r="AA235" i="22"/>
  <c r="Z235" i="22"/>
  <c r="AC234" i="22"/>
  <c r="AB234" i="22"/>
  <c r="AA234" i="22"/>
  <c r="Z234" i="22"/>
  <c r="AC233" i="22"/>
  <c r="AB233" i="22"/>
  <c r="AA233" i="22"/>
  <c r="Z233" i="22"/>
  <c r="AC232" i="22"/>
  <c r="AB232" i="22"/>
  <c r="AA232" i="22"/>
  <c r="Z232" i="22"/>
  <c r="AC231" i="22"/>
  <c r="AB231" i="22"/>
  <c r="AA231" i="22"/>
  <c r="Z231" i="22"/>
  <c r="AC230" i="22"/>
  <c r="AB230" i="22"/>
  <c r="AA230" i="22"/>
  <c r="Z230" i="22"/>
  <c r="AC229" i="22"/>
  <c r="AB229" i="22"/>
  <c r="AA229" i="22"/>
  <c r="Z229" i="22"/>
  <c r="AC228" i="22"/>
  <c r="AB228" i="22"/>
  <c r="AA228" i="22"/>
  <c r="Z228" i="22"/>
  <c r="AC227" i="22"/>
  <c r="AB227" i="22"/>
  <c r="AA227" i="22"/>
  <c r="Z227" i="22"/>
  <c r="AC226" i="22"/>
  <c r="AB226" i="22"/>
  <c r="AA226" i="22"/>
  <c r="Z226" i="22"/>
  <c r="AC225" i="22"/>
  <c r="AB225" i="22"/>
  <c r="AA225" i="22"/>
  <c r="Z225" i="22"/>
  <c r="AC224" i="22"/>
  <c r="AB224" i="22"/>
  <c r="AA224" i="22"/>
  <c r="Z224" i="22"/>
  <c r="AC223" i="22"/>
  <c r="AB223" i="22"/>
  <c r="AA223" i="22"/>
  <c r="Z223" i="22"/>
  <c r="AC222" i="22"/>
  <c r="AB222" i="22"/>
  <c r="AA222" i="22"/>
  <c r="Z222" i="22"/>
  <c r="AC221" i="22"/>
  <c r="AB221" i="22"/>
  <c r="AA221" i="22"/>
  <c r="Z221" i="22"/>
  <c r="AC220" i="22"/>
  <c r="AB220" i="22"/>
  <c r="AA220" i="22"/>
  <c r="Z220" i="22"/>
  <c r="AC219" i="22"/>
  <c r="AB219" i="22"/>
  <c r="AA219" i="22"/>
  <c r="Z219" i="22"/>
  <c r="AC218" i="22"/>
  <c r="AB218" i="22"/>
  <c r="AA218" i="22"/>
  <c r="Z218" i="22"/>
  <c r="AC217" i="22"/>
  <c r="AB217" i="22"/>
  <c r="AA217" i="22"/>
  <c r="Z217" i="22"/>
  <c r="AC216" i="22"/>
  <c r="AB216" i="22"/>
  <c r="AA216" i="22"/>
  <c r="Z216" i="22"/>
  <c r="AC215" i="22"/>
  <c r="AB215" i="22"/>
  <c r="AA215" i="22"/>
  <c r="Z215" i="22"/>
  <c r="AC214" i="22"/>
  <c r="AB214" i="22"/>
  <c r="AA214" i="22"/>
  <c r="Z214" i="22"/>
  <c r="AC213" i="22"/>
  <c r="AB213" i="22"/>
  <c r="AA213" i="22"/>
  <c r="Z213" i="22"/>
  <c r="AC212" i="22"/>
  <c r="AB212" i="22"/>
  <c r="AA212" i="22"/>
  <c r="Z212" i="22"/>
  <c r="AC211" i="22"/>
  <c r="AB211" i="22"/>
  <c r="AA211" i="22"/>
  <c r="Z211" i="22"/>
  <c r="AC210" i="22"/>
  <c r="AB210" i="22"/>
  <c r="AA210" i="22"/>
  <c r="Z210" i="22"/>
  <c r="AC209" i="22"/>
  <c r="AB209" i="22"/>
  <c r="AA209" i="22"/>
  <c r="Z209" i="22"/>
  <c r="AC208" i="22"/>
  <c r="AB208" i="22"/>
  <c r="AA208" i="22"/>
  <c r="Z208" i="22"/>
  <c r="AC207" i="22"/>
  <c r="AB207" i="22"/>
  <c r="AA207" i="22"/>
  <c r="Z207" i="22"/>
  <c r="AC206" i="22"/>
  <c r="AB206" i="22"/>
  <c r="AA206" i="22"/>
  <c r="Z206" i="22"/>
  <c r="AC205" i="22"/>
  <c r="AB205" i="22"/>
  <c r="AA205" i="22"/>
  <c r="Z205" i="22"/>
  <c r="AC204" i="22"/>
  <c r="AB204" i="22"/>
  <c r="AA204" i="22"/>
  <c r="Z204" i="22"/>
  <c r="AC203" i="22"/>
  <c r="AB203" i="22"/>
  <c r="AA203" i="22"/>
  <c r="Z203" i="22"/>
  <c r="AC202" i="22"/>
  <c r="AB202" i="22"/>
  <c r="AA202" i="22"/>
  <c r="Z202" i="22"/>
  <c r="AC201" i="22"/>
  <c r="AB201" i="22"/>
  <c r="AA201" i="22"/>
  <c r="Z201" i="22"/>
  <c r="AC200" i="22"/>
  <c r="AB200" i="22"/>
  <c r="AA200" i="22"/>
  <c r="Z200" i="22"/>
  <c r="AC199" i="22"/>
  <c r="AB199" i="22"/>
  <c r="AA199" i="22"/>
  <c r="Z199" i="22"/>
  <c r="AC198" i="22"/>
  <c r="AB198" i="22"/>
  <c r="AA198" i="22"/>
  <c r="Z198" i="22"/>
  <c r="AC197" i="22"/>
  <c r="AB197" i="22"/>
  <c r="AA197" i="22"/>
  <c r="Z197" i="22"/>
  <c r="AC196" i="22"/>
  <c r="AB196" i="22"/>
  <c r="AA196" i="22"/>
  <c r="Z196" i="22"/>
  <c r="AC195" i="22"/>
  <c r="AB195" i="22"/>
  <c r="AA195" i="22"/>
  <c r="Z195" i="22"/>
  <c r="AC194" i="22"/>
  <c r="AB194" i="22"/>
  <c r="AA194" i="22"/>
  <c r="Z194" i="22"/>
  <c r="AC193" i="22"/>
  <c r="AB193" i="22"/>
  <c r="AA193" i="22"/>
  <c r="Z193" i="22"/>
  <c r="AC192" i="22"/>
  <c r="AB192" i="22"/>
  <c r="AA192" i="22"/>
  <c r="Z192" i="22"/>
  <c r="AC191" i="22"/>
  <c r="AB191" i="22"/>
  <c r="AA191" i="22"/>
  <c r="Z191" i="22"/>
  <c r="AC190" i="22"/>
  <c r="AB190" i="22"/>
  <c r="AA190" i="22"/>
  <c r="Z190" i="22"/>
  <c r="AC189" i="22"/>
  <c r="AB189" i="22"/>
  <c r="AA189" i="22"/>
  <c r="Z189" i="22"/>
  <c r="AC188" i="22"/>
  <c r="AB188" i="22"/>
  <c r="AA188" i="22"/>
  <c r="Z188" i="22"/>
  <c r="AC187" i="22"/>
  <c r="AB187" i="22"/>
  <c r="AA187" i="22"/>
  <c r="Z187" i="22"/>
  <c r="AC186" i="22"/>
  <c r="AB186" i="22"/>
  <c r="AA186" i="22"/>
  <c r="Z186" i="22"/>
  <c r="AC185" i="22"/>
  <c r="AB185" i="22"/>
  <c r="AA185" i="22"/>
  <c r="Z185" i="22"/>
  <c r="AC184" i="22"/>
  <c r="AB184" i="22"/>
  <c r="AA184" i="22"/>
  <c r="Z184" i="22"/>
  <c r="AC183" i="22"/>
  <c r="AB183" i="22"/>
  <c r="AA183" i="22"/>
  <c r="Z183" i="22"/>
  <c r="AC182" i="22"/>
  <c r="AB182" i="22"/>
  <c r="AA182" i="22"/>
  <c r="Z182" i="22"/>
  <c r="AC181" i="22"/>
  <c r="AB181" i="22"/>
  <c r="AA181" i="22"/>
  <c r="Z181" i="22"/>
  <c r="AC180" i="22"/>
  <c r="AB180" i="22"/>
  <c r="AA180" i="22"/>
  <c r="Z180" i="22"/>
  <c r="AC179" i="22"/>
  <c r="AB179" i="22"/>
  <c r="AA179" i="22"/>
  <c r="Z179" i="22"/>
  <c r="AC178" i="22"/>
  <c r="AB178" i="22"/>
  <c r="AA178" i="22"/>
  <c r="Z178" i="22"/>
  <c r="AC177" i="22"/>
  <c r="AB177" i="22"/>
  <c r="AA177" i="22"/>
  <c r="Z177" i="22"/>
  <c r="AC176" i="22"/>
  <c r="AB176" i="22"/>
  <c r="AA176" i="22"/>
  <c r="Z176" i="22"/>
  <c r="AC175" i="22"/>
  <c r="AB175" i="22"/>
  <c r="AA175" i="22"/>
  <c r="Z175" i="22"/>
  <c r="AC174" i="22"/>
  <c r="AB174" i="22"/>
  <c r="AA174" i="22"/>
  <c r="Z174" i="22"/>
  <c r="AC173" i="22"/>
  <c r="AB173" i="22"/>
  <c r="AA173" i="22"/>
  <c r="Z173" i="22"/>
  <c r="AC172" i="22"/>
  <c r="AB172" i="22"/>
  <c r="AA172" i="22"/>
  <c r="Z172" i="22"/>
  <c r="AC171" i="22"/>
  <c r="AB171" i="22"/>
  <c r="AA171" i="22"/>
  <c r="Z171" i="22"/>
  <c r="AC170" i="22"/>
  <c r="AB170" i="22"/>
  <c r="AA170" i="22"/>
  <c r="Z170" i="22"/>
  <c r="AC169" i="22"/>
  <c r="AB169" i="22"/>
  <c r="AA169" i="22"/>
  <c r="Z169" i="22"/>
  <c r="AC168" i="22"/>
  <c r="AB168" i="22"/>
  <c r="AA168" i="22"/>
  <c r="Z168" i="22"/>
  <c r="AC167" i="22"/>
  <c r="AB167" i="22"/>
  <c r="AA167" i="22"/>
  <c r="Z167" i="22"/>
  <c r="AC166" i="22"/>
  <c r="AB166" i="22"/>
  <c r="AA166" i="22"/>
  <c r="Z166" i="22"/>
  <c r="AC165" i="22"/>
  <c r="AB165" i="22"/>
  <c r="AA165" i="22"/>
  <c r="Z165" i="22"/>
  <c r="AC164" i="22"/>
  <c r="AB164" i="22"/>
  <c r="AA164" i="22"/>
  <c r="Z164" i="22"/>
  <c r="AC163" i="22"/>
  <c r="AB163" i="22"/>
  <c r="AA163" i="22"/>
  <c r="Z163" i="22"/>
  <c r="AC162" i="22"/>
  <c r="AB162" i="22"/>
  <c r="AA162" i="22"/>
  <c r="Z162" i="22"/>
  <c r="AC161" i="22"/>
  <c r="AB161" i="22"/>
  <c r="AA161" i="22"/>
  <c r="Z161" i="22"/>
  <c r="AC160" i="22"/>
  <c r="AB160" i="22"/>
  <c r="AA160" i="22"/>
  <c r="Z160" i="22"/>
  <c r="AC159" i="22"/>
  <c r="AB159" i="22"/>
  <c r="AA159" i="22"/>
  <c r="Z159" i="22"/>
  <c r="AC158" i="22"/>
  <c r="AB158" i="22"/>
  <c r="AA158" i="22"/>
  <c r="Z158" i="22"/>
  <c r="AC157" i="22"/>
  <c r="AB157" i="22"/>
  <c r="AA157" i="22"/>
  <c r="Z157" i="22"/>
  <c r="AC156" i="22"/>
  <c r="AB156" i="22"/>
  <c r="AA156" i="22"/>
  <c r="Z156" i="22"/>
  <c r="AC155" i="22"/>
  <c r="AB155" i="22"/>
  <c r="AA155" i="22"/>
  <c r="Z155" i="22"/>
  <c r="AC154" i="22"/>
  <c r="AB154" i="22"/>
  <c r="AA154" i="22"/>
  <c r="Z154" i="22"/>
  <c r="AC153" i="22"/>
  <c r="AB153" i="22"/>
  <c r="AA153" i="22"/>
  <c r="Z153" i="22"/>
  <c r="AC152" i="22"/>
  <c r="AB152" i="22"/>
  <c r="AA152" i="22"/>
  <c r="Z152" i="22"/>
  <c r="AC151" i="22"/>
  <c r="AB151" i="22"/>
  <c r="AA151" i="22"/>
  <c r="Z151" i="22"/>
  <c r="AC150" i="22"/>
  <c r="AB150" i="22"/>
  <c r="AA150" i="22"/>
  <c r="Z150" i="22"/>
  <c r="AC149" i="22"/>
  <c r="AB149" i="22"/>
  <c r="AA149" i="22"/>
  <c r="Z149" i="22"/>
  <c r="AC148" i="22"/>
  <c r="AB148" i="22"/>
  <c r="AA148" i="22"/>
  <c r="Z148" i="22"/>
  <c r="AC147" i="22"/>
  <c r="AB147" i="22"/>
  <c r="AA147" i="22"/>
  <c r="Z147" i="22"/>
  <c r="AC146" i="22"/>
  <c r="AB146" i="22"/>
  <c r="AA146" i="22"/>
  <c r="Z146" i="22"/>
  <c r="AC145" i="22"/>
  <c r="AB145" i="22"/>
  <c r="AA145" i="22"/>
  <c r="Z145" i="22"/>
  <c r="AC144" i="22"/>
  <c r="AB144" i="22"/>
  <c r="AA144" i="22"/>
  <c r="Z144" i="22"/>
  <c r="AC143" i="22"/>
  <c r="AB143" i="22"/>
  <c r="AA143" i="22"/>
  <c r="Z143" i="22"/>
  <c r="AC142" i="22"/>
  <c r="AB142" i="22"/>
  <c r="AA142" i="22"/>
  <c r="Z142" i="22"/>
  <c r="AC141" i="22"/>
  <c r="AB141" i="22"/>
  <c r="AA141" i="22"/>
  <c r="Z141" i="22"/>
  <c r="AC140" i="22"/>
  <c r="AB140" i="22"/>
  <c r="AA140" i="22"/>
  <c r="Z140" i="22"/>
  <c r="AC139" i="22"/>
  <c r="AB139" i="22"/>
  <c r="AA139" i="22"/>
  <c r="Z139" i="22"/>
  <c r="AC138" i="22"/>
  <c r="AB138" i="22"/>
  <c r="AA138" i="22"/>
  <c r="Z138" i="22"/>
  <c r="AC137" i="22"/>
  <c r="AB137" i="22"/>
  <c r="AA137" i="22"/>
  <c r="Z137" i="22"/>
  <c r="AC136" i="22"/>
  <c r="AB136" i="22"/>
  <c r="AA136" i="22"/>
  <c r="Z136" i="22"/>
  <c r="AC135" i="22"/>
  <c r="AB135" i="22"/>
  <c r="AA135" i="22"/>
  <c r="Z135" i="22"/>
  <c r="AC134" i="22"/>
  <c r="AB134" i="22"/>
  <c r="AA134" i="22"/>
  <c r="Z134" i="22"/>
  <c r="AC133" i="22"/>
  <c r="AB133" i="22"/>
  <c r="AA133" i="22"/>
  <c r="Z133" i="22"/>
  <c r="AC132" i="22"/>
  <c r="AB132" i="22"/>
  <c r="AA132" i="22"/>
  <c r="Z132" i="22"/>
  <c r="AC131" i="22"/>
  <c r="AB131" i="22"/>
  <c r="AA131" i="22"/>
  <c r="Z131" i="22"/>
  <c r="AC130" i="22"/>
  <c r="AB130" i="22"/>
  <c r="AA130" i="22"/>
  <c r="Z130" i="22"/>
  <c r="AC129" i="22"/>
  <c r="AB129" i="22"/>
  <c r="AA129" i="22"/>
  <c r="Z129" i="22"/>
  <c r="AC128" i="22"/>
  <c r="AB128" i="22"/>
  <c r="AA128" i="22"/>
  <c r="Z128" i="22"/>
  <c r="AC127" i="22"/>
  <c r="AB127" i="22"/>
  <c r="AA127" i="22"/>
  <c r="Z127" i="22"/>
  <c r="AC126" i="22"/>
  <c r="AB126" i="22"/>
  <c r="AA126" i="22"/>
  <c r="Z126" i="22"/>
  <c r="AC125" i="22"/>
  <c r="AB125" i="22"/>
  <c r="AA125" i="22"/>
  <c r="Z125" i="22"/>
  <c r="AC124" i="22"/>
  <c r="AB124" i="22"/>
  <c r="AA124" i="22"/>
  <c r="Z124" i="22"/>
  <c r="AC123" i="22"/>
  <c r="AB123" i="22"/>
  <c r="AA123" i="22"/>
  <c r="Z123" i="22"/>
  <c r="AC122" i="22"/>
  <c r="AB122" i="22"/>
  <c r="AA122" i="22"/>
  <c r="Z122" i="22"/>
  <c r="AC121" i="22"/>
  <c r="AB121" i="22"/>
  <c r="AA121" i="22"/>
  <c r="Z121" i="22"/>
  <c r="AC120" i="22"/>
  <c r="AB120" i="22"/>
  <c r="AA120" i="22"/>
  <c r="Z120" i="22"/>
  <c r="AC119" i="22"/>
  <c r="AB119" i="22"/>
  <c r="AA119" i="22"/>
  <c r="Z119" i="22"/>
  <c r="AC118" i="22"/>
  <c r="AB118" i="22"/>
  <c r="AA118" i="22"/>
  <c r="Z118" i="22"/>
  <c r="AC117" i="22"/>
  <c r="AB117" i="22"/>
  <c r="AA117" i="22"/>
  <c r="Z117" i="22"/>
  <c r="AC116" i="22"/>
  <c r="AB116" i="22"/>
  <c r="AA116" i="22"/>
  <c r="Z116" i="22"/>
  <c r="AC115" i="22"/>
  <c r="AB115" i="22"/>
  <c r="AA115" i="22"/>
  <c r="Z115" i="22"/>
  <c r="AC114" i="22"/>
  <c r="AB114" i="22"/>
  <c r="AA114" i="22"/>
  <c r="Z114" i="22"/>
  <c r="AC113" i="22"/>
  <c r="AB113" i="22"/>
  <c r="AA113" i="22"/>
  <c r="Z113" i="22"/>
  <c r="AC112" i="22"/>
  <c r="AB112" i="22"/>
  <c r="AA112" i="22"/>
  <c r="Z112" i="22"/>
  <c r="AC111" i="22"/>
  <c r="AB111" i="22"/>
  <c r="AA111" i="22"/>
  <c r="Z111" i="22"/>
  <c r="AC110" i="22"/>
  <c r="AB110" i="22"/>
  <c r="AA110" i="22"/>
  <c r="Z110" i="22"/>
  <c r="AC109" i="22"/>
  <c r="AB109" i="22"/>
  <c r="AA109" i="22"/>
  <c r="Z109" i="22"/>
  <c r="AC108" i="22"/>
  <c r="AB108" i="22"/>
  <c r="AA108" i="22"/>
  <c r="Z108" i="22"/>
  <c r="AC107" i="22"/>
  <c r="AB107" i="22"/>
  <c r="AA107" i="22"/>
  <c r="Z107" i="22"/>
  <c r="AC106" i="22"/>
  <c r="AB106" i="22"/>
  <c r="AA106" i="22"/>
  <c r="Z106" i="22"/>
  <c r="AC105" i="22"/>
  <c r="AB105" i="22"/>
  <c r="AA105" i="22"/>
  <c r="Z105" i="22"/>
  <c r="AC104" i="22"/>
  <c r="AB104" i="22"/>
  <c r="AA104" i="22"/>
  <c r="Z104" i="22"/>
  <c r="AC103" i="22"/>
  <c r="AB103" i="22"/>
  <c r="AA103" i="22"/>
  <c r="Z103" i="22"/>
  <c r="AC102" i="22"/>
  <c r="AB102" i="22"/>
  <c r="AA102" i="22"/>
  <c r="Z102" i="22"/>
  <c r="AC101" i="22"/>
  <c r="AB101" i="22"/>
  <c r="AA101" i="22"/>
  <c r="Z101" i="22"/>
  <c r="AC100" i="22"/>
  <c r="AB100" i="22"/>
  <c r="AA100" i="22"/>
  <c r="Z100" i="22"/>
  <c r="AC99" i="22"/>
  <c r="AB99" i="22"/>
  <c r="AA99" i="22"/>
  <c r="Z99" i="22"/>
  <c r="AC98" i="22"/>
  <c r="AB98" i="22"/>
  <c r="AA98" i="22"/>
  <c r="Z98" i="22"/>
  <c r="AC97" i="22"/>
  <c r="AB97" i="22"/>
  <c r="AA97" i="22"/>
  <c r="Z97" i="22"/>
  <c r="AC96" i="22"/>
  <c r="AB96" i="22"/>
  <c r="AA96" i="22"/>
  <c r="Z96" i="22"/>
  <c r="AC95" i="22"/>
  <c r="AB95" i="22"/>
  <c r="AA95" i="22"/>
  <c r="Z95" i="22"/>
  <c r="AC94" i="22"/>
  <c r="AB94" i="22"/>
  <c r="AA94" i="22"/>
  <c r="Z94" i="22"/>
  <c r="AC93" i="22"/>
  <c r="AB93" i="22"/>
  <c r="AA93" i="22"/>
  <c r="Z93" i="22"/>
  <c r="AC92" i="22"/>
  <c r="AB92" i="22"/>
  <c r="AA92" i="22"/>
  <c r="Z92" i="22"/>
  <c r="AC91" i="22"/>
  <c r="AB91" i="22"/>
  <c r="AA91" i="22"/>
  <c r="Z91" i="22"/>
  <c r="AC90" i="22"/>
  <c r="AB90" i="22"/>
  <c r="AA90" i="22"/>
  <c r="Z90" i="22"/>
  <c r="AC89" i="22"/>
  <c r="AB89" i="22"/>
  <c r="AA89" i="22"/>
  <c r="Z89" i="22"/>
  <c r="AC88" i="22"/>
  <c r="AB88" i="22"/>
  <c r="AA88" i="22"/>
  <c r="Z88" i="22"/>
  <c r="AC87" i="22"/>
  <c r="AB87" i="22"/>
  <c r="AA87" i="22"/>
  <c r="Z87" i="22"/>
  <c r="AC86" i="22"/>
  <c r="AB86" i="22"/>
  <c r="AA86" i="22"/>
  <c r="Z86" i="22"/>
  <c r="AC85" i="22"/>
  <c r="AB85" i="22"/>
  <c r="AA85" i="22"/>
  <c r="Z85" i="22"/>
  <c r="AC84" i="22"/>
  <c r="AB84" i="22"/>
  <c r="AA84" i="22"/>
  <c r="Z84" i="22"/>
  <c r="AC83" i="22"/>
  <c r="AB83" i="22"/>
  <c r="AA83" i="22"/>
  <c r="Z83" i="22"/>
  <c r="AC82" i="22"/>
  <c r="AB82" i="22"/>
  <c r="AA82" i="22"/>
  <c r="Z82" i="22"/>
  <c r="AC81" i="22"/>
  <c r="AB81" i="22"/>
  <c r="AA81" i="22"/>
  <c r="Z81" i="22"/>
  <c r="AC80" i="22"/>
  <c r="AB80" i="22"/>
  <c r="AA80" i="22"/>
  <c r="Z80" i="22"/>
  <c r="AC79" i="22"/>
  <c r="AB79" i="22"/>
  <c r="AA79" i="22"/>
  <c r="Z79" i="22"/>
  <c r="AC78" i="22"/>
  <c r="AB78" i="22"/>
  <c r="AA78" i="22"/>
  <c r="Z78" i="22"/>
  <c r="AC77" i="22"/>
  <c r="AB77" i="22"/>
  <c r="AA77" i="22"/>
  <c r="Z77" i="22"/>
  <c r="AC76" i="22"/>
  <c r="AB76" i="22"/>
  <c r="AA76" i="22"/>
  <c r="Z76" i="22"/>
  <c r="AC75" i="22"/>
  <c r="AB75" i="22"/>
  <c r="AA75" i="22"/>
  <c r="Z75" i="22"/>
  <c r="AC74" i="22"/>
  <c r="AB74" i="22"/>
  <c r="AA74" i="22"/>
  <c r="Z74" i="22"/>
  <c r="AC73" i="22"/>
  <c r="AB73" i="22"/>
  <c r="AA73" i="22"/>
  <c r="Z73" i="22"/>
  <c r="AC72" i="22"/>
  <c r="AB72" i="22"/>
  <c r="AA72" i="22"/>
  <c r="Z72" i="22"/>
  <c r="AC71" i="22"/>
  <c r="AB71" i="22"/>
  <c r="AA71" i="22"/>
  <c r="Z71" i="22"/>
  <c r="AC70" i="22"/>
  <c r="AB70" i="22"/>
  <c r="AA70" i="22"/>
  <c r="Z70" i="22"/>
  <c r="AC69" i="22"/>
  <c r="AB69" i="22"/>
  <c r="AA69" i="22"/>
  <c r="Z69" i="22"/>
  <c r="AC68" i="22"/>
  <c r="AB68" i="22"/>
  <c r="AA68" i="22"/>
  <c r="Z68" i="22"/>
  <c r="AC67" i="22"/>
  <c r="AB67" i="22"/>
  <c r="AA67" i="22"/>
  <c r="Z67" i="22"/>
  <c r="AC66" i="22"/>
  <c r="AB66" i="22"/>
  <c r="AA66" i="22"/>
  <c r="Z66" i="22"/>
  <c r="AC65" i="22"/>
  <c r="AB65" i="22"/>
  <c r="AA65" i="22"/>
  <c r="Z65" i="22"/>
  <c r="AC64" i="22"/>
  <c r="AB64" i="22"/>
  <c r="AA64" i="22"/>
  <c r="Z64" i="22"/>
  <c r="AC63" i="22"/>
  <c r="AB63" i="22"/>
  <c r="AA63" i="22"/>
  <c r="Z63" i="22"/>
  <c r="AC62" i="22"/>
  <c r="AB62" i="22"/>
  <c r="AA62" i="22"/>
  <c r="Z62" i="22"/>
  <c r="AC61" i="22"/>
  <c r="AB61" i="22"/>
  <c r="AA61" i="22"/>
  <c r="Z61" i="22"/>
  <c r="AC60" i="22"/>
  <c r="AB60" i="22"/>
  <c r="AA60" i="22"/>
  <c r="Z60" i="22"/>
  <c r="AC59" i="22"/>
  <c r="AB59" i="22"/>
  <c r="AA59" i="22"/>
  <c r="Z59" i="22"/>
  <c r="AC58" i="22"/>
  <c r="AB58" i="22"/>
  <c r="AA58" i="22"/>
  <c r="Z58" i="22"/>
  <c r="AC57" i="22"/>
  <c r="AB57" i="22"/>
  <c r="AA57" i="22"/>
  <c r="Z57" i="22"/>
  <c r="AC56" i="22"/>
  <c r="AB56" i="22"/>
  <c r="AA56" i="22"/>
  <c r="Z56" i="22"/>
  <c r="AC55" i="22"/>
  <c r="AB55" i="22"/>
  <c r="AA55" i="22"/>
  <c r="Z55" i="22"/>
  <c r="AC54" i="22"/>
  <c r="AB54" i="22"/>
  <c r="AA54" i="22"/>
  <c r="Z54" i="22"/>
  <c r="AC53" i="22"/>
  <c r="AB53" i="22"/>
  <c r="AA53" i="22"/>
  <c r="Z53" i="22"/>
  <c r="AC52" i="22"/>
  <c r="AB52" i="22"/>
  <c r="AA52" i="22"/>
  <c r="Z52" i="22"/>
  <c r="AC51" i="22"/>
  <c r="AB51" i="22"/>
  <c r="AA51" i="22"/>
  <c r="Z51" i="22"/>
  <c r="AC50" i="22"/>
  <c r="AB50" i="22"/>
  <c r="AA50" i="22"/>
  <c r="Z50" i="22"/>
  <c r="AC49" i="22"/>
  <c r="AB49" i="22"/>
  <c r="AA49" i="22"/>
  <c r="Z49" i="22"/>
  <c r="AC48" i="22"/>
  <c r="AB48" i="22"/>
  <c r="AA48" i="22"/>
  <c r="Z48" i="22"/>
  <c r="AC47" i="22"/>
  <c r="AB47" i="22"/>
  <c r="AA47" i="22"/>
  <c r="Z47" i="22"/>
  <c r="AC46" i="22"/>
  <c r="AB46" i="22"/>
  <c r="AA46" i="22"/>
  <c r="Z46" i="22"/>
  <c r="AC45" i="22"/>
  <c r="AB45" i="22"/>
  <c r="AA45" i="22"/>
  <c r="Z45" i="22"/>
  <c r="AC44" i="22"/>
  <c r="AB44" i="22"/>
  <c r="AA44" i="22"/>
  <c r="Z44" i="22"/>
  <c r="AC43" i="22"/>
  <c r="AB43" i="22"/>
  <c r="AA43" i="22"/>
  <c r="Z43" i="22"/>
  <c r="AC42" i="22"/>
  <c r="AB42" i="22"/>
  <c r="AA42" i="22"/>
  <c r="Z42" i="22"/>
  <c r="AC41" i="22"/>
  <c r="AB41" i="22"/>
  <c r="AA41" i="22"/>
  <c r="Z41" i="22"/>
  <c r="AC40" i="22"/>
  <c r="AB40" i="22"/>
  <c r="AA40" i="22"/>
  <c r="Z40" i="22"/>
  <c r="AC39" i="22"/>
  <c r="AB39" i="22"/>
  <c r="AA39" i="22"/>
  <c r="Z39" i="22"/>
  <c r="AC38" i="22"/>
  <c r="AB38" i="22"/>
  <c r="AA38" i="22"/>
  <c r="Z38" i="22"/>
  <c r="AC37" i="22"/>
  <c r="AB37" i="22"/>
  <c r="AA37" i="22"/>
  <c r="Z37" i="22"/>
  <c r="AC36" i="22"/>
  <c r="AB36" i="22"/>
  <c r="AA36" i="22"/>
  <c r="Z36" i="22"/>
  <c r="AC35" i="22"/>
  <c r="AB35" i="22"/>
  <c r="AA35" i="22"/>
  <c r="Z35" i="22"/>
  <c r="AC34" i="22"/>
  <c r="AB34" i="22"/>
  <c r="AA34" i="22"/>
  <c r="Z34" i="22"/>
  <c r="AC33" i="22"/>
  <c r="AB33" i="22"/>
  <c r="AA33" i="22"/>
  <c r="Z33" i="22"/>
  <c r="AC32" i="22"/>
  <c r="AB32" i="22"/>
  <c r="AA32" i="22"/>
  <c r="Z32" i="22"/>
  <c r="AC31" i="22"/>
  <c r="AB31" i="22"/>
  <c r="AA31" i="22"/>
  <c r="Z31" i="22"/>
  <c r="AC30" i="22"/>
  <c r="AB30" i="22"/>
  <c r="AA30" i="22"/>
  <c r="Z30" i="22"/>
  <c r="AC29" i="22"/>
  <c r="AB29" i="22"/>
  <c r="AA29" i="22"/>
  <c r="Z29" i="22"/>
  <c r="AC28" i="22"/>
  <c r="AB28" i="22"/>
  <c r="AA28" i="22"/>
  <c r="Z28" i="22"/>
  <c r="AC27" i="22"/>
  <c r="AB27" i="22"/>
  <c r="AA27" i="22"/>
  <c r="Z27" i="22"/>
  <c r="AC26" i="22"/>
  <c r="AB26" i="22"/>
  <c r="AA26" i="22"/>
  <c r="Z26" i="22"/>
  <c r="AC25" i="22"/>
  <c r="AB25" i="22"/>
  <c r="AA25" i="22"/>
  <c r="Z25" i="22"/>
  <c r="AC24" i="22"/>
  <c r="AB24" i="22"/>
  <c r="AA24" i="22"/>
  <c r="Z24" i="22"/>
  <c r="AC23" i="22"/>
  <c r="AB23" i="22"/>
  <c r="AA23" i="22"/>
  <c r="Z23" i="22"/>
  <c r="AC22" i="22"/>
  <c r="AB22" i="22"/>
  <c r="AA22" i="22"/>
  <c r="Z22" i="22"/>
  <c r="AC21" i="22"/>
  <c r="AB21" i="22"/>
  <c r="AA21" i="22"/>
  <c r="Z21" i="22"/>
  <c r="AC20" i="22"/>
  <c r="AB20" i="22"/>
  <c r="AA20" i="22"/>
  <c r="Z20" i="22"/>
  <c r="AC19" i="22"/>
  <c r="AB19" i="22"/>
  <c r="AA19" i="22"/>
  <c r="Z19" i="22"/>
  <c r="AC18" i="22"/>
  <c r="AB18" i="22"/>
  <c r="AA18" i="22"/>
  <c r="Z18" i="22"/>
  <c r="AC17" i="22"/>
  <c r="AB17" i="22"/>
  <c r="AA17" i="22"/>
  <c r="Z17" i="22"/>
  <c r="AC16" i="22"/>
  <c r="AB16" i="22"/>
  <c r="AA16" i="22"/>
  <c r="Z16" i="22"/>
  <c r="AC15" i="22"/>
  <c r="AB15" i="22"/>
  <c r="AA15" i="22"/>
  <c r="Z15" i="22"/>
  <c r="AC14" i="22"/>
  <c r="AB14" i="22"/>
  <c r="AA14" i="22"/>
  <c r="Z14" i="22"/>
  <c r="AC13" i="22"/>
  <c r="AB13" i="22"/>
  <c r="AA13" i="22"/>
  <c r="Z13" i="22"/>
  <c r="AC12" i="22"/>
  <c r="AB12" i="22"/>
  <c r="AA12" i="22"/>
  <c r="Z12" i="22"/>
  <c r="AC11" i="22"/>
  <c r="AB11" i="22"/>
  <c r="AA11" i="22"/>
  <c r="Z11" i="22"/>
  <c r="AB10" i="22"/>
  <c r="AA10" i="22"/>
  <c r="Z10" i="22"/>
  <c r="AB9" i="22"/>
  <c r="AA9" i="22"/>
  <c r="Z9" i="22"/>
  <c r="AB8" i="22"/>
  <c r="AA8" i="22"/>
  <c r="Z8" i="22"/>
  <c r="AB7" i="22"/>
  <c r="AA7" i="22"/>
  <c r="Z7" i="22"/>
  <c r="T282" i="22" a="1"/>
  <c r="T282" i="22" s="1"/>
  <c r="S282" i="22"/>
  <c r="T281" i="22" a="1"/>
  <c r="T281" i="22" s="1"/>
  <c r="T280" i="22" a="1"/>
  <c r="T280" i="22" s="1"/>
  <c r="T279" i="22" a="1"/>
  <c r="T279" i="22" s="1"/>
  <c r="T278" i="22" a="1"/>
  <c r="T278" i="22" s="1"/>
  <c r="T277" i="22" a="1"/>
  <c r="T277" i="22" s="1"/>
  <c r="T276" i="22" a="1"/>
  <c r="T276" i="22" s="1"/>
  <c r="T275" i="22" a="1"/>
  <c r="T275" i="22" s="1"/>
  <c r="S275" i="22"/>
  <c r="T274" i="22" a="1"/>
  <c r="T274" i="22" s="1"/>
  <c r="T273" i="22" a="1"/>
  <c r="T273" i="22" s="1"/>
  <c r="T272" i="22" a="1"/>
  <c r="T272" i="22" s="1"/>
  <c r="T271" i="22" a="1"/>
  <c r="T271" i="22" s="1"/>
  <c r="T270" i="22" a="1"/>
  <c r="T270" i="22" s="1"/>
  <c r="S270" i="22"/>
  <c r="T269" i="22" a="1"/>
  <c r="T269" i="22" s="1"/>
  <c r="T268" i="22" a="1"/>
  <c r="T268" i="22" s="1"/>
  <c r="T267" i="22" a="1"/>
  <c r="T267" i="22" s="1"/>
  <c r="S267" i="22"/>
  <c r="T266" i="22" a="1"/>
  <c r="T266" i="22" s="1"/>
  <c r="T265" i="22" a="1"/>
  <c r="T265" i="22" s="1"/>
  <c r="T264" i="22" a="1"/>
  <c r="T264" i="22" s="1"/>
  <c r="T263" i="22" a="1"/>
  <c r="T263" i="22" s="1"/>
  <c r="T262" i="22" a="1"/>
  <c r="T262" i="22" s="1"/>
  <c r="T261" i="22" a="1"/>
  <c r="T261" i="22" s="1"/>
  <c r="T260" i="22" a="1"/>
  <c r="T260" i="22" s="1"/>
  <c r="T259" i="22" a="1"/>
  <c r="T259" i="22" s="1"/>
  <c r="T258" i="22" a="1"/>
  <c r="T258" i="22" s="1"/>
  <c r="S258" i="22"/>
  <c r="T257" i="22" a="1"/>
  <c r="T257" i="22" s="1"/>
  <c r="T256" i="22" a="1"/>
  <c r="T256" i="22" s="1"/>
  <c r="T255" i="22" a="1"/>
  <c r="T255" i="22" s="1"/>
  <c r="T254" i="22" a="1"/>
  <c r="T254" i="22" s="1"/>
  <c r="T253" i="22" a="1"/>
  <c r="T253" i="22" s="1"/>
  <c r="T252" i="22" a="1"/>
  <c r="T252" i="22" s="1"/>
  <c r="T251" i="22" a="1"/>
  <c r="T251" i="22" s="1"/>
  <c r="T250" i="22" a="1"/>
  <c r="T250" i="22" s="1"/>
  <c r="S250" i="22"/>
  <c r="T249" i="22" a="1"/>
  <c r="T249" i="22" s="1"/>
  <c r="T248" i="22" a="1"/>
  <c r="T248" i="22" s="1"/>
  <c r="T247" i="22" a="1"/>
  <c r="T247" i="22" s="1"/>
  <c r="T246" i="22" a="1"/>
  <c r="T246" i="22" s="1"/>
  <c r="S246" i="22"/>
  <c r="T245" i="22" a="1"/>
  <c r="T245" i="22" s="1"/>
  <c r="T244" i="22" a="1"/>
  <c r="T244" i="22" s="1"/>
  <c r="T243" i="22" a="1"/>
  <c r="T243" i="22" s="1"/>
  <c r="T242" i="22" a="1"/>
  <c r="T242" i="22" s="1"/>
  <c r="T241" i="22" a="1"/>
  <c r="T241" i="22" s="1"/>
  <c r="T240" i="22" a="1"/>
  <c r="T240" i="22" s="1"/>
  <c r="T239" i="22" a="1"/>
  <c r="T239" i="22" s="1"/>
  <c r="T238" i="22" a="1"/>
  <c r="T238" i="22" s="1"/>
  <c r="S238" i="22"/>
  <c r="T237" i="22" a="1"/>
  <c r="T237" i="22" s="1"/>
  <c r="T236" i="22" a="1"/>
  <c r="T236" i="22" s="1"/>
  <c r="T235" i="22" a="1"/>
  <c r="T235" i="22" s="1"/>
  <c r="S235" i="22"/>
  <c r="T234" i="22" a="1"/>
  <c r="T234" i="22" s="1"/>
  <c r="T233" i="22" a="1"/>
  <c r="T233" i="22" s="1"/>
  <c r="T232" i="22" a="1"/>
  <c r="T232" i="22" s="1"/>
  <c r="T231" i="22" a="1"/>
  <c r="T231" i="22" s="1"/>
  <c r="T230" i="22" a="1"/>
  <c r="T230" i="22" s="1"/>
  <c r="T229" i="22" a="1"/>
  <c r="T229" i="22" s="1"/>
  <c r="T228" i="22" a="1"/>
  <c r="T228" i="22" s="1"/>
  <c r="T227" i="22" a="1"/>
  <c r="T227" i="22" s="1"/>
  <c r="T226" i="22" a="1"/>
  <c r="T226" i="22" s="1"/>
  <c r="T225" i="22" a="1"/>
  <c r="T225" i="22" s="1"/>
  <c r="T224" i="22" a="1"/>
  <c r="T224" i="22" s="1"/>
  <c r="T223" i="22" a="1"/>
  <c r="T223" i="22" s="1"/>
  <c r="T222" i="22" a="1"/>
  <c r="T222" i="22" s="1"/>
  <c r="T221" i="22" a="1"/>
  <c r="T221" i="22" s="1"/>
  <c r="T220" i="22" a="1"/>
  <c r="T220" i="22" s="1"/>
  <c r="T219" i="22" a="1"/>
  <c r="T219" i="22" s="1"/>
  <c r="T218" i="22" a="1"/>
  <c r="T218" i="22" s="1"/>
  <c r="S218" i="22"/>
  <c r="T217" i="22" a="1"/>
  <c r="T217" i="22" s="1"/>
  <c r="T216" i="22" a="1"/>
  <c r="T216" i="22" s="1"/>
  <c r="T215" i="22" a="1"/>
  <c r="T215" i="22" s="1"/>
  <c r="T214" i="22" a="1"/>
  <c r="T214" i="22" s="1"/>
  <c r="T213" i="22" a="1"/>
  <c r="T213" i="22" s="1"/>
  <c r="T212" i="22" a="1"/>
  <c r="T212" i="22" s="1"/>
  <c r="T211" i="22" a="1"/>
  <c r="T211" i="22" s="1"/>
  <c r="S211" i="22"/>
  <c r="T210" i="22" a="1"/>
  <c r="T210" i="22" s="1"/>
  <c r="T209" i="22" a="1"/>
  <c r="T209" i="22" s="1"/>
  <c r="T208" i="22" a="1"/>
  <c r="T208" i="22" s="1"/>
  <c r="T207" i="22" a="1"/>
  <c r="T207" i="22" s="1"/>
  <c r="T206" i="22" a="1"/>
  <c r="T206" i="22" s="1"/>
  <c r="S206" i="22"/>
  <c r="T205" i="22" a="1"/>
  <c r="T205" i="22" s="1"/>
  <c r="T204" i="22" a="1"/>
  <c r="T204" i="22" s="1"/>
  <c r="T203" i="22" a="1"/>
  <c r="T203" i="22" s="1"/>
  <c r="S203" i="22"/>
  <c r="T202" i="22" a="1"/>
  <c r="T202" i="22" s="1"/>
  <c r="T201" i="22" a="1"/>
  <c r="T201" i="22" s="1"/>
  <c r="T200" i="22" a="1"/>
  <c r="T200" i="22" s="1"/>
  <c r="T199" i="22" a="1"/>
  <c r="T199" i="22" s="1"/>
  <c r="T198" i="22" a="1"/>
  <c r="T198" i="22" s="1"/>
  <c r="T197" i="22" a="1"/>
  <c r="T197" i="22" s="1"/>
  <c r="T196" i="22" a="1"/>
  <c r="T196" i="22" s="1"/>
  <c r="T195" i="22" a="1"/>
  <c r="T195" i="22" s="1"/>
  <c r="T194" i="22" a="1"/>
  <c r="T194" i="22" s="1"/>
  <c r="S194" i="22"/>
  <c r="T193" i="22" a="1"/>
  <c r="T193" i="22" s="1"/>
  <c r="T192" i="22" a="1"/>
  <c r="T192" i="22" s="1"/>
  <c r="T191" i="22" a="1"/>
  <c r="T191" i="22" s="1"/>
  <c r="T190" i="22" a="1"/>
  <c r="T190" i="22" s="1"/>
  <c r="T189" i="22" a="1"/>
  <c r="T189" i="22" s="1"/>
  <c r="T188" i="22" a="1"/>
  <c r="T188" i="22" s="1"/>
  <c r="T187" i="22" a="1"/>
  <c r="T187" i="22" s="1"/>
  <c r="T186" i="22" a="1"/>
  <c r="T186" i="22" s="1"/>
  <c r="S186" i="22"/>
  <c r="T185" i="22" a="1"/>
  <c r="T185" i="22" s="1"/>
  <c r="T184" i="22" a="1"/>
  <c r="T184" i="22" s="1"/>
  <c r="T183" i="22" a="1"/>
  <c r="T183" i="22" s="1"/>
  <c r="T182" i="22" a="1"/>
  <c r="T182" i="22" s="1"/>
  <c r="S182" i="22"/>
  <c r="T181" i="22" a="1"/>
  <c r="T181" i="22" s="1"/>
  <c r="T180" i="22" a="1"/>
  <c r="T180" i="22" s="1"/>
  <c r="T179" i="22" a="1"/>
  <c r="T179" i="22" s="1"/>
  <c r="T178" i="22" a="1"/>
  <c r="T178" i="22" s="1"/>
  <c r="T177" i="22" a="1"/>
  <c r="T177" i="22" s="1"/>
  <c r="T176" i="22" a="1"/>
  <c r="T176" i="22" s="1"/>
  <c r="T175" i="22" a="1"/>
  <c r="T175" i="22" s="1"/>
  <c r="T174" i="22" a="1"/>
  <c r="T174" i="22" s="1"/>
  <c r="S174" i="22"/>
  <c r="T173" i="22" a="1"/>
  <c r="T173" i="22" s="1"/>
  <c r="T172" i="22" a="1"/>
  <c r="T172" i="22" s="1"/>
  <c r="T171" i="22" a="1"/>
  <c r="T171" i="22" s="1"/>
  <c r="S171" i="22"/>
  <c r="T170" i="22" a="1"/>
  <c r="T170" i="22" s="1"/>
  <c r="T169" i="22" a="1"/>
  <c r="T169" i="22" s="1"/>
  <c r="T168" i="22" a="1"/>
  <c r="T168" i="22" s="1"/>
  <c r="T167" i="22" a="1"/>
  <c r="T167" i="22" s="1"/>
  <c r="T166" i="22" a="1"/>
  <c r="T166" i="22" s="1"/>
  <c r="T165" i="22" a="1"/>
  <c r="T165" i="22" s="1"/>
  <c r="T164" i="22" a="1"/>
  <c r="T164" i="22" s="1"/>
  <c r="T163" i="22" a="1"/>
  <c r="T163" i="22" s="1"/>
  <c r="T162" i="22" a="1"/>
  <c r="T162" i="22" s="1"/>
  <c r="T161" i="22" a="1"/>
  <c r="T161" i="22" s="1"/>
  <c r="T160" i="22" a="1"/>
  <c r="T160" i="22" s="1"/>
  <c r="T159" i="22" a="1"/>
  <c r="T159" i="22" s="1"/>
  <c r="T158" i="22" a="1"/>
  <c r="T158" i="22" s="1"/>
  <c r="T157" i="22" a="1"/>
  <c r="T157" i="22" s="1"/>
  <c r="T156" i="22" a="1"/>
  <c r="T156" i="22" s="1"/>
  <c r="T155" i="22" a="1"/>
  <c r="T155" i="22" s="1"/>
  <c r="T154" i="22" a="1"/>
  <c r="T154" i="22" s="1"/>
  <c r="S154" i="22"/>
  <c r="T153" i="22" a="1"/>
  <c r="T153" i="22" s="1"/>
  <c r="T152" i="22" a="1"/>
  <c r="T152" i="22" s="1"/>
  <c r="T151" i="22" a="1"/>
  <c r="T151" i="22" s="1"/>
  <c r="T150" i="22" a="1"/>
  <c r="T150" i="22" s="1"/>
  <c r="T149" i="22" a="1"/>
  <c r="T149" i="22" s="1"/>
  <c r="T148" i="22" a="1"/>
  <c r="T148" i="22" s="1"/>
  <c r="T147" i="22" a="1"/>
  <c r="T147" i="22" s="1"/>
  <c r="S147" i="22"/>
  <c r="T146" i="22" a="1"/>
  <c r="T146" i="22" s="1"/>
  <c r="T145" i="22" a="1"/>
  <c r="T145" i="22" s="1"/>
  <c r="T144" i="22" a="1"/>
  <c r="T144" i="22" s="1"/>
  <c r="T143" i="22" a="1"/>
  <c r="T143" i="22" s="1"/>
  <c r="T142" i="22" a="1"/>
  <c r="T142" i="22" s="1"/>
  <c r="S142" i="22"/>
  <c r="T141" i="22" a="1"/>
  <c r="T141" i="22" s="1"/>
  <c r="T140" i="22" a="1"/>
  <c r="T140" i="22" s="1"/>
  <c r="T139" i="22" a="1"/>
  <c r="T139" i="22" s="1"/>
  <c r="S139" i="22"/>
  <c r="T138" i="22" a="1"/>
  <c r="T138" i="22" s="1"/>
  <c r="T137" i="22" a="1"/>
  <c r="T137" i="22" s="1"/>
  <c r="T136" i="22" a="1"/>
  <c r="T136" i="22" s="1"/>
  <c r="T135" i="22" a="1"/>
  <c r="T135" i="22" s="1"/>
  <c r="T134" i="22" a="1"/>
  <c r="T134" i="22" s="1"/>
  <c r="T133" i="22" a="1"/>
  <c r="T133" i="22" s="1"/>
  <c r="T132" i="22" a="1"/>
  <c r="T132" i="22" s="1"/>
  <c r="T131" i="22" a="1"/>
  <c r="T131" i="22" s="1"/>
  <c r="T130" i="22" a="1"/>
  <c r="T130" i="22" s="1"/>
  <c r="S130" i="22"/>
  <c r="T129" i="22" a="1"/>
  <c r="T129" i="22" s="1"/>
  <c r="T128" i="22" a="1"/>
  <c r="T128" i="22" s="1"/>
  <c r="T127" i="22" a="1"/>
  <c r="T127" i="22" s="1"/>
  <c r="T126" i="22" a="1"/>
  <c r="T126" i="22" s="1"/>
  <c r="T125" i="22" a="1"/>
  <c r="T125" i="22" s="1"/>
  <c r="T124" i="22" a="1"/>
  <c r="T124" i="22" s="1"/>
  <c r="T123" i="22" a="1"/>
  <c r="T123" i="22" s="1"/>
  <c r="T122" i="22" a="1"/>
  <c r="T122" i="22" s="1"/>
  <c r="T121" i="22" a="1"/>
  <c r="T121" i="22" s="1"/>
  <c r="T120" i="22" a="1"/>
  <c r="T120" i="22" s="1"/>
  <c r="T119" i="22" a="1"/>
  <c r="T119" i="22" s="1"/>
  <c r="T118" i="22" a="1"/>
  <c r="T118" i="22" s="1"/>
  <c r="T117" i="22" a="1"/>
  <c r="T117" i="22" s="1"/>
  <c r="T116" i="22" a="1"/>
  <c r="T116" i="22" s="1"/>
  <c r="T115" i="22" a="1"/>
  <c r="T115" i="22" s="1"/>
  <c r="T114" i="22" a="1"/>
  <c r="T114" i="22" s="1"/>
  <c r="S114" i="22"/>
  <c r="T113" i="22" a="1"/>
  <c r="T113" i="22" s="1"/>
  <c r="T112" i="22" a="1"/>
  <c r="T112" i="22" s="1"/>
  <c r="T111" i="22" a="1"/>
  <c r="T111" i="22" s="1"/>
  <c r="T110" i="22" a="1"/>
  <c r="T110" i="22" s="1"/>
  <c r="T109" i="22" a="1"/>
  <c r="T109" i="22" s="1"/>
  <c r="T108" i="22" a="1"/>
  <c r="T108" i="22" s="1"/>
  <c r="S108" i="22"/>
  <c r="T107" i="22" a="1"/>
  <c r="T107" i="22" s="1"/>
  <c r="T106" i="22" a="1"/>
  <c r="T106" i="22" s="1"/>
  <c r="S106" i="22"/>
  <c r="T105" i="22" a="1"/>
  <c r="T105" i="22" s="1"/>
  <c r="T104" i="22" a="1"/>
  <c r="T104" i="22" s="1"/>
  <c r="T103" i="22" a="1"/>
  <c r="T103" i="22" s="1"/>
  <c r="T102" i="22" a="1"/>
  <c r="T102" i="22" s="1"/>
  <c r="S102" i="22"/>
  <c r="T101" i="22" a="1"/>
  <c r="T101" i="22" s="1"/>
  <c r="T100" i="22" a="1"/>
  <c r="T100" i="22" s="1"/>
  <c r="T99" i="22" a="1"/>
  <c r="T99" i="22" s="1"/>
  <c r="T98" i="22" a="1"/>
  <c r="T98" i="22" s="1"/>
  <c r="T97" i="22" a="1"/>
  <c r="T97" i="22" s="1"/>
  <c r="T96" i="22" a="1"/>
  <c r="T96" i="22" s="1"/>
  <c r="T95" i="22" a="1"/>
  <c r="T95" i="22" s="1"/>
  <c r="T94" i="22" a="1"/>
  <c r="T94" i="22" s="1"/>
  <c r="T93" i="22" a="1"/>
  <c r="T93" i="22" s="1"/>
  <c r="T92" i="22" a="1"/>
  <c r="T92" i="22" s="1"/>
  <c r="T91" i="22" a="1"/>
  <c r="T91" i="22" s="1"/>
  <c r="S91" i="22"/>
  <c r="T90" i="22" a="1"/>
  <c r="T90" i="22" s="1"/>
  <c r="T89" i="22" a="1"/>
  <c r="T89" i="22" s="1"/>
  <c r="T88" i="22" a="1"/>
  <c r="T88" i="22" s="1"/>
  <c r="T87" i="22" a="1"/>
  <c r="T87" i="22" s="1"/>
  <c r="T86" i="22" a="1"/>
  <c r="T86" i="22" s="1"/>
  <c r="S86" i="22"/>
  <c r="T85" i="22" a="1"/>
  <c r="T85" i="22" s="1"/>
  <c r="T84" i="22" a="1"/>
  <c r="T84" i="22" s="1"/>
  <c r="T83" i="22" a="1"/>
  <c r="T83" i="22" s="1"/>
  <c r="S83" i="22"/>
  <c r="T82" i="22" a="1"/>
  <c r="T82" i="22" s="1"/>
  <c r="T81" i="22" a="1"/>
  <c r="T81" i="22" s="1"/>
  <c r="T80" i="22" a="1"/>
  <c r="T80" i="22" s="1"/>
  <c r="T79" i="22" a="1"/>
  <c r="T79" i="22" s="1"/>
  <c r="T78" i="22" a="1"/>
  <c r="T78" i="22" s="1"/>
  <c r="T77" i="22" a="1"/>
  <c r="T77" i="22" s="1"/>
  <c r="T76" i="22" a="1"/>
  <c r="T76" i="22" s="1"/>
  <c r="T75" i="22" a="1"/>
  <c r="T75" i="22" s="1"/>
  <c r="S75" i="22"/>
  <c r="T74" i="22" a="1"/>
  <c r="T74" i="22" s="1"/>
  <c r="T73" i="22" a="1"/>
  <c r="T73" i="22" s="1"/>
  <c r="T72" i="22" a="1"/>
  <c r="T72" i="22" s="1"/>
  <c r="T71" i="22" a="1"/>
  <c r="T71" i="22" s="1"/>
  <c r="T70" i="22" a="1"/>
  <c r="T70" i="22" s="1"/>
  <c r="T69" i="22" a="1"/>
  <c r="T69" i="22" s="1"/>
  <c r="T68" i="22" a="1"/>
  <c r="T68" i="22" s="1"/>
  <c r="T67" i="22" a="1"/>
  <c r="T67" i="22" s="1"/>
  <c r="T66" i="22" a="1"/>
  <c r="T66" i="22" s="1"/>
  <c r="T65" i="22" a="1"/>
  <c r="T65" i="22" s="1"/>
  <c r="T64" i="22" a="1"/>
  <c r="T64" i="22" s="1"/>
  <c r="T63" i="22" a="1"/>
  <c r="T63" i="22" s="1"/>
  <c r="T62" i="22" a="1"/>
  <c r="T62" i="22" s="1"/>
  <c r="T61" i="22" a="1"/>
  <c r="T61" i="22" s="1"/>
  <c r="T60" i="22" a="1"/>
  <c r="T60" i="22" s="1"/>
  <c r="T59" i="22" a="1"/>
  <c r="T59" i="22" s="1"/>
  <c r="T58" i="22" a="1"/>
  <c r="T58" i="22" s="1"/>
  <c r="S58" i="22"/>
  <c r="T57" i="22" a="1"/>
  <c r="T57" i="22" s="1"/>
  <c r="T56" i="22" a="1"/>
  <c r="T56" i="22" s="1"/>
  <c r="T55" i="22" a="1"/>
  <c r="T55" i="22" s="1"/>
  <c r="T54" i="22" a="1"/>
  <c r="T54" i="22" s="1"/>
  <c r="S54" i="22"/>
  <c r="T53" i="22" a="1"/>
  <c r="T53" i="22" s="1"/>
  <c r="T52" i="22" a="1"/>
  <c r="T52" i="22" s="1"/>
  <c r="T51" i="22" a="1"/>
  <c r="T51" i="22" s="1"/>
  <c r="T50" i="22" a="1"/>
  <c r="T50" i="22" s="1"/>
  <c r="S50" i="22"/>
  <c r="T49" i="22" a="1"/>
  <c r="T49" i="22" s="1"/>
  <c r="T48" i="22" a="1"/>
  <c r="T48" i="22" s="1"/>
  <c r="T47" i="22" a="1"/>
  <c r="T47" i="22" s="1"/>
  <c r="T46" i="22" a="1"/>
  <c r="T46" i="22" s="1"/>
  <c r="S46" i="22"/>
  <c r="T45" i="22" a="1"/>
  <c r="T45" i="22" s="1"/>
  <c r="T44" i="22" a="1"/>
  <c r="T44" i="22" s="1"/>
  <c r="T43" i="22" a="1"/>
  <c r="T43" i="22" s="1"/>
  <c r="T42" i="22" a="1"/>
  <c r="T42" i="22" s="1"/>
  <c r="S42" i="22"/>
  <c r="T41" i="22" a="1"/>
  <c r="T41" i="22" s="1"/>
  <c r="T40" i="22" a="1"/>
  <c r="T40" i="22" s="1"/>
  <c r="T39" i="22" a="1"/>
  <c r="T39" i="22" s="1"/>
  <c r="T38" i="22" a="1"/>
  <c r="T38" i="22" s="1"/>
  <c r="T37" i="22" a="1"/>
  <c r="T37" i="22" s="1"/>
  <c r="T36" i="22" a="1"/>
  <c r="T36" i="22" s="1"/>
  <c r="T35" i="22" a="1"/>
  <c r="T35" i="22" s="1"/>
  <c r="S35" i="22"/>
  <c r="T34" i="22" a="1"/>
  <c r="T34" i="22" s="1"/>
  <c r="T33" i="22" a="1"/>
  <c r="T33" i="22" s="1"/>
  <c r="T32" i="22" a="1"/>
  <c r="T32" i="22" s="1"/>
  <c r="T31" i="22" a="1"/>
  <c r="T31" i="22" s="1"/>
  <c r="T30" i="22" a="1"/>
  <c r="T30" i="22" s="1"/>
  <c r="S30" i="22"/>
  <c r="T29" i="22" a="1"/>
  <c r="T29" i="22" s="1"/>
  <c r="T28" i="22" a="1"/>
  <c r="T28" i="22" s="1"/>
  <c r="T27" i="22" a="1"/>
  <c r="T27" i="22" s="1"/>
  <c r="T26" i="22" a="1"/>
  <c r="T26" i="22" s="1"/>
  <c r="T25" i="22" a="1"/>
  <c r="T25" i="22" s="1"/>
  <c r="T24" i="22" a="1"/>
  <c r="T24" i="22" s="1"/>
  <c r="T23" i="22" a="1"/>
  <c r="T23" i="22" s="1"/>
  <c r="T22" i="22" a="1"/>
  <c r="T22" i="22" s="1"/>
  <c r="S22" i="22"/>
  <c r="T21" i="22" a="1"/>
  <c r="T21" i="22" s="1"/>
  <c r="T20" i="22" a="1"/>
  <c r="T20" i="22" s="1"/>
  <c r="T19" i="22" a="1"/>
  <c r="T19" i="22" s="1"/>
  <c r="S19" i="22"/>
  <c r="T18" i="22" a="1"/>
  <c r="T18" i="22" s="1"/>
  <c r="T17" i="22" a="1"/>
  <c r="T17" i="22" s="1"/>
  <c r="T16" i="22" a="1"/>
  <c r="T16" i="22" s="1"/>
  <c r="T15" i="22" a="1"/>
  <c r="T15" i="22" s="1"/>
  <c r="T14" i="22" a="1"/>
  <c r="T14" i="22" s="1"/>
  <c r="T13" i="22" a="1"/>
  <c r="T13" i="22" s="1"/>
  <c r="T12" i="22" a="1"/>
  <c r="T12" i="22" s="1"/>
  <c r="T11" i="22" a="1"/>
  <c r="T11" i="22" s="1"/>
  <c r="S11" i="22"/>
  <c r="Q282" i="22"/>
  <c r="Q281" i="22"/>
  <c r="S281" i="22" s="1"/>
  <c r="Q280" i="22"/>
  <c r="S280" i="22" s="1"/>
  <c r="Q279" i="22"/>
  <c r="S279" i="22" s="1"/>
  <c r="Q278" i="22"/>
  <c r="S278" i="22" s="1"/>
  <c r="Q277" i="22"/>
  <c r="S277" i="22" s="1"/>
  <c r="Q276" i="22"/>
  <c r="S276" i="22" s="1"/>
  <c r="Q275" i="22"/>
  <c r="Q274" i="22"/>
  <c r="S274" i="22" s="1"/>
  <c r="Q273" i="22"/>
  <c r="S273" i="22" s="1"/>
  <c r="Q272" i="22"/>
  <c r="S272" i="22" s="1"/>
  <c r="Q271" i="22"/>
  <c r="S271" i="22" s="1"/>
  <c r="Q270" i="22"/>
  <c r="Q269" i="22"/>
  <c r="S269" i="22" s="1"/>
  <c r="Q268" i="22"/>
  <c r="S268" i="22" s="1"/>
  <c r="Q267" i="22"/>
  <c r="Q266" i="22"/>
  <c r="S266" i="22" s="1"/>
  <c r="Q265" i="22"/>
  <c r="S265" i="22" s="1"/>
  <c r="Q264" i="22"/>
  <c r="S264" i="22" s="1"/>
  <c r="Q263" i="22"/>
  <c r="S263" i="22" s="1"/>
  <c r="Q262" i="22"/>
  <c r="S262" i="22" s="1"/>
  <c r="Q261" i="22"/>
  <c r="S261" i="22" s="1"/>
  <c r="Q260" i="22"/>
  <c r="S260" i="22" s="1"/>
  <c r="Q259" i="22"/>
  <c r="S259" i="22" s="1"/>
  <c r="Q258" i="22"/>
  <c r="Q257" i="22"/>
  <c r="S257" i="22" s="1"/>
  <c r="Q256" i="22"/>
  <c r="S256" i="22" s="1"/>
  <c r="Q255" i="22"/>
  <c r="S255" i="22" s="1"/>
  <c r="Q254" i="22"/>
  <c r="S254" i="22" s="1"/>
  <c r="Q253" i="22"/>
  <c r="S253" i="22" s="1"/>
  <c r="Q252" i="22"/>
  <c r="S252" i="22" s="1"/>
  <c r="Q251" i="22"/>
  <c r="S251" i="22" s="1"/>
  <c r="Q250" i="22"/>
  <c r="Q249" i="22"/>
  <c r="S249" i="22" s="1"/>
  <c r="Q248" i="22"/>
  <c r="S248" i="22" s="1"/>
  <c r="Q247" i="22"/>
  <c r="S247" i="22" s="1"/>
  <c r="Q246" i="22"/>
  <c r="Q245" i="22"/>
  <c r="S245" i="22" s="1"/>
  <c r="Q244" i="22"/>
  <c r="S244" i="22" s="1"/>
  <c r="Q243" i="22"/>
  <c r="S243" i="22" s="1"/>
  <c r="Q242" i="22"/>
  <c r="S242" i="22" s="1"/>
  <c r="Q241" i="22"/>
  <c r="S241" i="22" s="1"/>
  <c r="Q240" i="22"/>
  <c r="S240" i="22" s="1"/>
  <c r="Q239" i="22"/>
  <c r="S239" i="22" s="1"/>
  <c r="Q238" i="22"/>
  <c r="Q237" i="22"/>
  <c r="S237" i="22" s="1"/>
  <c r="Q236" i="22"/>
  <c r="S236" i="22" s="1"/>
  <c r="Q235" i="22"/>
  <c r="Q234" i="22"/>
  <c r="S234" i="22" s="1"/>
  <c r="Q233" i="22"/>
  <c r="S233" i="22" s="1"/>
  <c r="Q232" i="22"/>
  <c r="S232" i="22" s="1"/>
  <c r="Q231" i="22"/>
  <c r="S231" i="22" s="1"/>
  <c r="Q230" i="22"/>
  <c r="S230" i="22" s="1"/>
  <c r="Q229" i="22"/>
  <c r="S229" i="22" s="1"/>
  <c r="Q228" i="22"/>
  <c r="S228" i="22" s="1"/>
  <c r="Q227" i="22"/>
  <c r="S227" i="22" s="1"/>
  <c r="Q226" i="22"/>
  <c r="S226" i="22" s="1"/>
  <c r="Q225" i="22"/>
  <c r="S225" i="22" s="1"/>
  <c r="Q224" i="22"/>
  <c r="S224" i="22" s="1"/>
  <c r="Q223" i="22"/>
  <c r="S223" i="22" s="1"/>
  <c r="Q222" i="22"/>
  <c r="S222" i="22" s="1"/>
  <c r="Q221" i="22"/>
  <c r="S221" i="22" s="1"/>
  <c r="Q220" i="22"/>
  <c r="S220" i="22" s="1"/>
  <c r="Q219" i="22"/>
  <c r="S219" i="22" s="1"/>
  <c r="Q218" i="22"/>
  <c r="Q217" i="22"/>
  <c r="S217" i="22" s="1"/>
  <c r="Q216" i="22"/>
  <c r="S216" i="22" s="1"/>
  <c r="Q215" i="22"/>
  <c r="S215" i="22" s="1"/>
  <c r="Q214" i="22"/>
  <c r="S214" i="22" s="1"/>
  <c r="Q213" i="22"/>
  <c r="S213" i="22" s="1"/>
  <c r="Q212" i="22"/>
  <c r="S212" i="22" s="1"/>
  <c r="Q211" i="22"/>
  <c r="Q210" i="22"/>
  <c r="S210" i="22" s="1"/>
  <c r="Q209" i="22"/>
  <c r="S209" i="22" s="1"/>
  <c r="Q208" i="22"/>
  <c r="S208" i="22" s="1"/>
  <c r="Q207" i="22"/>
  <c r="S207" i="22" s="1"/>
  <c r="Q206" i="22"/>
  <c r="Q205" i="22"/>
  <c r="S205" i="22" s="1"/>
  <c r="Q204" i="22"/>
  <c r="S204" i="22" s="1"/>
  <c r="Q203" i="22"/>
  <c r="Q202" i="22"/>
  <c r="S202" i="22" s="1"/>
  <c r="Q201" i="22"/>
  <c r="S201" i="22" s="1"/>
  <c r="Q200" i="22"/>
  <c r="S200" i="22" s="1"/>
  <c r="Q199" i="22"/>
  <c r="S199" i="22" s="1"/>
  <c r="Q198" i="22"/>
  <c r="S198" i="22" s="1"/>
  <c r="Q197" i="22"/>
  <c r="S197" i="22" s="1"/>
  <c r="Q196" i="22"/>
  <c r="S196" i="22" s="1"/>
  <c r="Q195" i="22"/>
  <c r="S195" i="22" s="1"/>
  <c r="Q194" i="22"/>
  <c r="Q193" i="22"/>
  <c r="S193" i="22" s="1"/>
  <c r="Q192" i="22"/>
  <c r="S192" i="22" s="1"/>
  <c r="Q191" i="22"/>
  <c r="S191" i="22" s="1"/>
  <c r="Q190" i="22"/>
  <c r="S190" i="22" s="1"/>
  <c r="Q189" i="22"/>
  <c r="S189" i="22" s="1"/>
  <c r="Q188" i="22"/>
  <c r="S188" i="22" s="1"/>
  <c r="Q187" i="22"/>
  <c r="S187" i="22" s="1"/>
  <c r="Q186" i="22"/>
  <c r="Q185" i="22"/>
  <c r="S185" i="22" s="1"/>
  <c r="Q184" i="22"/>
  <c r="S184" i="22" s="1"/>
  <c r="Q183" i="22"/>
  <c r="S183" i="22" s="1"/>
  <c r="Q182" i="22"/>
  <c r="Q181" i="22"/>
  <c r="S181" i="22" s="1"/>
  <c r="Q180" i="22"/>
  <c r="S180" i="22" s="1"/>
  <c r="Q179" i="22"/>
  <c r="S179" i="22" s="1"/>
  <c r="Q178" i="22"/>
  <c r="S178" i="22" s="1"/>
  <c r="Q177" i="22"/>
  <c r="S177" i="22" s="1"/>
  <c r="Q176" i="22"/>
  <c r="S176" i="22" s="1"/>
  <c r="Q175" i="22"/>
  <c r="S175" i="22" s="1"/>
  <c r="Q174" i="22"/>
  <c r="Q173" i="22"/>
  <c r="S173" i="22" s="1"/>
  <c r="Q172" i="22"/>
  <c r="S172" i="22" s="1"/>
  <c r="Q171" i="22"/>
  <c r="Q170" i="22"/>
  <c r="S170" i="22" s="1"/>
  <c r="Q169" i="22"/>
  <c r="S169" i="22" s="1"/>
  <c r="Q168" i="22"/>
  <c r="S168" i="22" s="1"/>
  <c r="Q167" i="22"/>
  <c r="S167" i="22" s="1"/>
  <c r="Q166" i="22"/>
  <c r="S166" i="22" s="1"/>
  <c r="Q165" i="22"/>
  <c r="S165" i="22" s="1"/>
  <c r="Q164" i="22"/>
  <c r="S164" i="22" s="1"/>
  <c r="Q163" i="22"/>
  <c r="S163" i="22" s="1"/>
  <c r="Q162" i="22"/>
  <c r="S162" i="22" s="1"/>
  <c r="Q161" i="22"/>
  <c r="S161" i="22" s="1"/>
  <c r="Q160" i="22"/>
  <c r="S160" i="22" s="1"/>
  <c r="Q159" i="22"/>
  <c r="S159" i="22" s="1"/>
  <c r="Q158" i="22"/>
  <c r="S158" i="22" s="1"/>
  <c r="Q157" i="22"/>
  <c r="S157" i="22" s="1"/>
  <c r="Q156" i="22"/>
  <c r="S156" i="22" s="1"/>
  <c r="Q155" i="22"/>
  <c r="S155" i="22" s="1"/>
  <c r="Q154" i="22"/>
  <c r="Q153" i="22"/>
  <c r="S153" i="22" s="1"/>
  <c r="Q152" i="22"/>
  <c r="S152" i="22" s="1"/>
  <c r="Q151" i="22"/>
  <c r="S151" i="22" s="1"/>
  <c r="Q150" i="22"/>
  <c r="S150" i="22" s="1"/>
  <c r="Q149" i="22"/>
  <c r="S149" i="22" s="1"/>
  <c r="Q148" i="22"/>
  <c r="S148" i="22" s="1"/>
  <c r="Q147" i="22"/>
  <c r="Q146" i="22"/>
  <c r="S146" i="22" s="1"/>
  <c r="Q145" i="22"/>
  <c r="S145" i="22" s="1"/>
  <c r="Q144" i="22"/>
  <c r="S144" i="22" s="1"/>
  <c r="Q143" i="22"/>
  <c r="S143" i="22" s="1"/>
  <c r="Q142" i="22"/>
  <c r="Q141" i="22"/>
  <c r="S141" i="22" s="1"/>
  <c r="Q140" i="22"/>
  <c r="S140" i="22" s="1"/>
  <c r="Q139" i="22"/>
  <c r="Q138" i="22"/>
  <c r="S138" i="22" s="1"/>
  <c r="Q137" i="22"/>
  <c r="S137" i="22" s="1"/>
  <c r="Q136" i="22"/>
  <c r="S136" i="22" s="1"/>
  <c r="Q135" i="22"/>
  <c r="S135" i="22" s="1"/>
  <c r="Q134" i="22"/>
  <c r="S134" i="22" s="1"/>
  <c r="Q133" i="22"/>
  <c r="S133" i="22" s="1"/>
  <c r="Q132" i="22"/>
  <c r="S132" i="22" s="1"/>
  <c r="Q131" i="22"/>
  <c r="S131" i="22" s="1"/>
  <c r="Q130" i="22"/>
  <c r="Q129" i="22"/>
  <c r="S129" i="22" s="1"/>
  <c r="Q128" i="22"/>
  <c r="S128" i="22" s="1"/>
  <c r="Q127" i="22"/>
  <c r="S127" i="22" s="1"/>
  <c r="Q126" i="22"/>
  <c r="S126" i="22" s="1"/>
  <c r="Q125" i="22"/>
  <c r="S125" i="22" s="1"/>
  <c r="Q124" i="22"/>
  <c r="S124" i="22" s="1"/>
  <c r="Q123" i="22"/>
  <c r="S123" i="22" s="1"/>
  <c r="Q122" i="22"/>
  <c r="S122" i="22" s="1"/>
  <c r="Q121" i="22"/>
  <c r="S121" i="22" s="1"/>
  <c r="Q120" i="22"/>
  <c r="S120" i="22" s="1"/>
  <c r="Q119" i="22"/>
  <c r="S119" i="22" s="1"/>
  <c r="Q118" i="22"/>
  <c r="S118" i="22" s="1"/>
  <c r="Q117" i="22"/>
  <c r="S117" i="22" s="1"/>
  <c r="Q116" i="22"/>
  <c r="S116" i="22" s="1"/>
  <c r="Q115" i="22"/>
  <c r="S115" i="22" s="1"/>
  <c r="Q114" i="22"/>
  <c r="Q113" i="22"/>
  <c r="S113" i="22" s="1"/>
  <c r="Q112" i="22"/>
  <c r="S112" i="22" s="1"/>
  <c r="Q111" i="22"/>
  <c r="S111" i="22" s="1"/>
  <c r="Q110" i="22"/>
  <c r="S110" i="22" s="1"/>
  <c r="Q109" i="22"/>
  <c r="S109" i="22" s="1"/>
  <c r="Q108" i="22"/>
  <c r="Q107" i="22"/>
  <c r="S107" i="22" s="1"/>
  <c r="Q106" i="22"/>
  <c r="Q105" i="22"/>
  <c r="S105" i="22" s="1"/>
  <c r="Q104" i="22"/>
  <c r="S104" i="22" s="1"/>
  <c r="Q103" i="22"/>
  <c r="S103" i="22" s="1"/>
  <c r="Q102" i="22"/>
  <c r="Q101" i="22"/>
  <c r="S101" i="22" s="1"/>
  <c r="Q100" i="22"/>
  <c r="S100" i="22" s="1"/>
  <c r="Q99" i="22"/>
  <c r="S99" i="22" s="1"/>
  <c r="Q98" i="22"/>
  <c r="S98" i="22" s="1"/>
  <c r="Q97" i="22"/>
  <c r="S97" i="22" s="1"/>
  <c r="Q96" i="22"/>
  <c r="S96" i="22" s="1"/>
  <c r="Q95" i="22"/>
  <c r="S95" i="22" s="1"/>
  <c r="Q94" i="22"/>
  <c r="S94" i="22" s="1"/>
  <c r="Q93" i="22"/>
  <c r="S93" i="22" s="1"/>
  <c r="Q92" i="22"/>
  <c r="S92" i="22" s="1"/>
  <c r="Q91" i="22"/>
  <c r="Q90" i="22"/>
  <c r="S90" i="22" s="1"/>
  <c r="Q89" i="22"/>
  <c r="S89" i="22" s="1"/>
  <c r="Q88" i="22"/>
  <c r="S88" i="22" s="1"/>
  <c r="Q87" i="22"/>
  <c r="S87" i="22" s="1"/>
  <c r="Q86" i="22"/>
  <c r="Q85" i="22"/>
  <c r="S85" i="22" s="1"/>
  <c r="Q84" i="22"/>
  <c r="S84" i="22" s="1"/>
  <c r="Q83" i="22"/>
  <c r="Q82" i="22"/>
  <c r="S82" i="22" s="1"/>
  <c r="Q81" i="22"/>
  <c r="S81" i="22" s="1"/>
  <c r="Q80" i="22"/>
  <c r="S80" i="22" s="1"/>
  <c r="Q79" i="22"/>
  <c r="S79" i="22" s="1"/>
  <c r="Q78" i="22"/>
  <c r="S78" i="22" s="1"/>
  <c r="Q77" i="22"/>
  <c r="S77" i="22" s="1"/>
  <c r="Q76" i="22"/>
  <c r="S76" i="22" s="1"/>
  <c r="Q75" i="22"/>
  <c r="Q74" i="22"/>
  <c r="S74" i="22" s="1"/>
  <c r="Q73" i="22"/>
  <c r="S73" i="22" s="1"/>
  <c r="Q72" i="22"/>
  <c r="S72" i="22" s="1"/>
  <c r="Q71" i="22"/>
  <c r="S71" i="22" s="1"/>
  <c r="Q70" i="22"/>
  <c r="S70" i="22" s="1"/>
  <c r="Q69" i="22"/>
  <c r="S69" i="22" s="1"/>
  <c r="Q68" i="22"/>
  <c r="S68" i="22" s="1"/>
  <c r="Q67" i="22"/>
  <c r="S67" i="22" s="1"/>
  <c r="Q66" i="22"/>
  <c r="S66" i="22" s="1"/>
  <c r="Q65" i="22"/>
  <c r="S65" i="22" s="1"/>
  <c r="Q64" i="22"/>
  <c r="S64" i="22" s="1"/>
  <c r="Q63" i="22"/>
  <c r="S63" i="22" s="1"/>
  <c r="Q62" i="22"/>
  <c r="S62" i="22" s="1"/>
  <c r="Q61" i="22"/>
  <c r="S61" i="22" s="1"/>
  <c r="Q60" i="22"/>
  <c r="S60" i="22" s="1"/>
  <c r="Q59" i="22"/>
  <c r="S59" i="22" s="1"/>
  <c r="Q58" i="22"/>
  <c r="Q57" i="22"/>
  <c r="S57" i="22" s="1"/>
  <c r="Q56" i="22"/>
  <c r="S56" i="22" s="1"/>
  <c r="Q55" i="22"/>
  <c r="S55" i="22" s="1"/>
  <c r="Q54" i="22"/>
  <c r="Q53" i="22"/>
  <c r="S53" i="22" s="1"/>
  <c r="Q52" i="22"/>
  <c r="S52" i="22" s="1"/>
  <c r="Q51" i="22"/>
  <c r="S51" i="22" s="1"/>
  <c r="Q50" i="22"/>
  <c r="Q49" i="22"/>
  <c r="S49" i="22" s="1"/>
  <c r="Q48" i="22"/>
  <c r="S48" i="22" s="1"/>
  <c r="Q47" i="22"/>
  <c r="S47" i="22" s="1"/>
  <c r="Q46" i="22"/>
  <c r="Q45" i="22"/>
  <c r="S45" i="22" s="1"/>
  <c r="Q44" i="22"/>
  <c r="S44" i="22" s="1"/>
  <c r="Q43" i="22"/>
  <c r="S43" i="22" s="1"/>
  <c r="Q42" i="22"/>
  <c r="Q41" i="22"/>
  <c r="S41" i="22" s="1"/>
  <c r="Q40" i="22"/>
  <c r="S40" i="22" s="1"/>
  <c r="Q39" i="22"/>
  <c r="S39" i="22" s="1"/>
  <c r="Q38" i="22"/>
  <c r="S38" i="22" s="1"/>
  <c r="Q37" i="22"/>
  <c r="S37" i="22" s="1"/>
  <c r="Q36" i="22"/>
  <c r="S36" i="22" s="1"/>
  <c r="Q35" i="22"/>
  <c r="Q34" i="22"/>
  <c r="S34" i="22" s="1"/>
  <c r="Q33" i="22"/>
  <c r="S33" i="22" s="1"/>
  <c r="Q32" i="22"/>
  <c r="S32" i="22" s="1"/>
  <c r="Q31" i="22"/>
  <c r="S31" i="22" s="1"/>
  <c r="Q30" i="22"/>
  <c r="Q29" i="22"/>
  <c r="S29" i="22" s="1"/>
  <c r="Q28" i="22"/>
  <c r="S28" i="22" s="1"/>
  <c r="Q27" i="22"/>
  <c r="S27" i="22" s="1"/>
  <c r="Q26" i="22"/>
  <c r="S26" i="22" s="1"/>
  <c r="Q25" i="22"/>
  <c r="S25" i="22" s="1"/>
  <c r="Q24" i="22"/>
  <c r="S24" i="22" s="1"/>
  <c r="Q23" i="22"/>
  <c r="S23" i="22" s="1"/>
  <c r="Q22" i="22"/>
  <c r="Q21" i="22"/>
  <c r="S21" i="22" s="1"/>
  <c r="Q20" i="22"/>
  <c r="S20" i="22" s="1"/>
  <c r="Q19" i="22"/>
  <c r="Q18" i="22"/>
  <c r="S18" i="22" s="1"/>
  <c r="Q17" i="22"/>
  <c r="S17" i="22" s="1"/>
  <c r="Q16" i="22"/>
  <c r="S16" i="22" s="1"/>
  <c r="Q15" i="22"/>
  <c r="S15" i="22" s="1"/>
  <c r="Q14" i="22"/>
  <c r="S14" i="22" s="1"/>
  <c r="Q13" i="22"/>
  <c r="S13" i="22" s="1"/>
  <c r="Q12" i="22"/>
  <c r="S12" i="22" s="1"/>
  <c r="Q11" i="22"/>
  <c r="Q10" i="22"/>
  <c r="AC10" i="22" s="1"/>
  <c r="Q9" i="22"/>
  <c r="AC9" i="22" s="1"/>
  <c r="Q8" i="22"/>
  <c r="AC8" i="22" s="1"/>
  <c r="Q7" i="22"/>
  <c r="AC6" i="22"/>
  <c r="AB6" i="22"/>
  <c r="AA6" i="22"/>
  <c r="Z6" i="22"/>
  <c r="Q6" i="22"/>
  <c r="S6" i="22" s="1"/>
  <c r="S10" i="22" l="1"/>
  <c r="S8" i="22"/>
  <c r="S9" i="22"/>
  <c r="S7" i="22"/>
  <c r="AC7" i="22"/>
  <c r="AD111" i="22"/>
  <c r="AE111" i="22" s="1"/>
  <c r="AD115" i="22"/>
  <c r="AE115" i="22" s="1"/>
  <c r="AD121" i="22"/>
  <c r="AE121" i="22" s="1"/>
  <c r="AD123" i="22"/>
  <c r="AE123" i="22" s="1"/>
  <c r="AD135" i="22"/>
  <c r="AE135" i="22" s="1"/>
  <c r="AD139" i="22"/>
  <c r="AE139" i="22" s="1"/>
  <c r="AD143" i="22"/>
  <c r="AE143" i="22" s="1"/>
  <c r="AD147" i="22"/>
  <c r="AE147" i="22" s="1"/>
  <c r="AD185" i="22"/>
  <c r="AE185" i="22" s="1"/>
  <c r="AD113" i="22"/>
  <c r="AE113" i="22" s="1"/>
  <c r="AD117" i="22"/>
  <c r="AE117" i="22" s="1"/>
  <c r="AD125" i="22"/>
  <c r="AE125" i="22" s="1"/>
  <c r="AD129" i="22"/>
  <c r="AE129" i="22" s="1"/>
  <c r="AD133" i="22"/>
  <c r="AE133" i="22" s="1"/>
  <c r="AD137" i="22"/>
  <c r="AE137" i="22" s="1"/>
  <c r="AD141" i="22"/>
  <c r="AE141" i="22" s="1"/>
  <c r="AD145" i="22"/>
  <c r="AE145" i="22" s="1"/>
  <c r="AD219" i="22"/>
  <c r="AE219" i="22" s="1"/>
  <c r="AD251" i="22"/>
  <c r="AE251" i="22" s="1"/>
  <c r="AD48" i="22"/>
  <c r="AE48" i="22" s="1"/>
  <c r="AD66" i="22"/>
  <c r="AE66" i="22" s="1"/>
  <c r="AD263" i="22"/>
  <c r="AE263" i="22" s="1"/>
  <c r="AD46" i="22"/>
  <c r="AE46" i="22" s="1"/>
  <c r="AD52" i="22"/>
  <c r="AE52" i="22" s="1"/>
  <c r="AD58" i="22"/>
  <c r="AE58" i="22" s="1"/>
  <c r="AD62" i="22"/>
  <c r="AE62" i="22" s="1"/>
  <c r="AD68" i="22"/>
  <c r="AE68" i="22" s="1"/>
  <c r="AD76" i="22"/>
  <c r="AE76" i="22" s="1"/>
  <c r="AD253" i="22"/>
  <c r="AE253" i="22" s="1"/>
  <c r="AD257" i="22"/>
  <c r="AE257" i="22" s="1"/>
  <c r="AD261" i="22"/>
  <c r="AE261" i="22" s="1"/>
  <c r="AD267" i="22"/>
  <c r="AE267" i="22" s="1"/>
  <c r="AD186" i="22"/>
  <c r="AE186" i="22" s="1"/>
  <c r="AD188" i="22"/>
  <c r="AE188" i="22" s="1"/>
  <c r="AD194" i="22"/>
  <c r="AE194" i="22" s="1"/>
  <c r="AD196" i="22"/>
  <c r="AE196" i="22" s="1"/>
  <c r="AD204" i="22"/>
  <c r="AE204" i="22" s="1"/>
  <c r="AD208" i="22"/>
  <c r="AE208" i="22" s="1"/>
  <c r="AD212" i="22"/>
  <c r="AE212" i="22" s="1"/>
  <c r="AD218" i="22"/>
  <c r="AE218" i="22" s="1"/>
  <c r="AD40" i="22"/>
  <c r="AE40" i="22" s="1"/>
  <c r="AD54" i="22"/>
  <c r="AE54" i="22" s="1"/>
  <c r="AD60" i="22"/>
  <c r="AE60" i="22" s="1"/>
  <c r="AD64" i="22"/>
  <c r="AE64" i="22" s="1"/>
  <c r="AD70" i="22"/>
  <c r="AE70" i="22" s="1"/>
  <c r="AD74" i="22"/>
  <c r="AE74" i="22" s="1"/>
  <c r="AD255" i="22"/>
  <c r="AE255" i="22" s="1"/>
  <c r="AD259" i="22"/>
  <c r="AE259" i="22" s="1"/>
  <c r="AD265" i="22"/>
  <c r="AE265" i="22" s="1"/>
  <c r="AD190" i="22"/>
  <c r="AE190" i="22" s="1"/>
  <c r="AD198" i="22"/>
  <c r="AE198" i="22" s="1"/>
  <c r="AD202" i="22"/>
  <c r="AE202" i="22" s="1"/>
  <c r="AD206" i="22"/>
  <c r="AE206" i="22" s="1"/>
  <c r="AD210" i="22"/>
  <c r="AE210" i="22" s="1"/>
  <c r="AD216" i="22"/>
  <c r="AE216" i="22" s="1"/>
  <c r="AD37" i="22"/>
  <c r="AE37" i="22" s="1"/>
  <c r="AD77" i="22"/>
  <c r="AE77" i="22" s="1"/>
  <c r="AD11" i="22"/>
  <c r="AE11" i="22" s="1"/>
  <c r="AD13" i="22"/>
  <c r="AE13" i="22" s="1"/>
  <c r="AD19" i="22"/>
  <c r="AE19" i="22" s="1"/>
  <c r="AD23" i="22"/>
  <c r="AE23" i="22" s="1"/>
  <c r="AD25" i="22"/>
  <c r="AE25" i="22" s="1"/>
  <c r="AD27" i="22"/>
  <c r="AE27" i="22" s="1"/>
  <c r="AD29" i="22"/>
  <c r="AE29" i="22" s="1"/>
  <c r="AD31" i="22"/>
  <c r="AE31" i="22" s="1"/>
  <c r="AD33" i="22"/>
  <c r="AE33" i="22" s="1"/>
  <c r="AD80" i="22"/>
  <c r="AE80" i="22" s="1"/>
  <c r="AD84" i="22"/>
  <c r="AE84" i="22" s="1"/>
  <c r="AD88" i="22"/>
  <c r="AE88" i="22" s="1"/>
  <c r="AD92" i="22"/>
  <c r="AE92" i="22" s="1"/>
  <c r="AD96" i="22"/>
  <c r="AE96" i="22" s="1"/>
  <c r="AD100" i="22"/>
  <c r="AE100" i="22" s="1"/>
  <c r="AD104" i="22"/>
  <c r="AE104" i="22" s="1"/>
  <c r="AD108" i="22"/>
  <c r="AE108" i="22" s="1"/>
  <c r="AD149" i="22"/>
  <c r="AE149" i="22" s="1"/>
  <c r="AD151" i="22"/>
  <c r="AE151" i="22" s="1"/>
  <c r="AD153" i="22"/>
  <c r="AE153" i="22" s="1"/>
  <c r="AD155" i="22"/>
  <c r="AE155" i="22" s="1"/>
  <c r="AD157" i="22"/>
  <c r="AE157" i="22" s="1"/>
  <c r="AD159" i="22"/>
  <c r="AE159" i="22" s="1"/>
  <c r="AD161" i="22"/>
  <c r="AE161" i="22" s="1"/>
  <c r="AD163" i="22"/>
  <c r="AE163" i="22" s="1"/>
  <c r="AD165" i="22"/>
  <c r="AE165" i="22" s="1"/>
  <c r="AD167" i="22"/>
  <c r="AE167" i="22" s="1"/>
  <c r="AD169" i="22"/>
  <c r="AE169" i="22" s="1"/>
  <c r="AD171" i="22"/>
  <c r="AE171" i="22" s="1"/>
  <c r="AD173" i="22"/>
  <c r="AE173" i="22" s="1"/>
  <c r="AD177" i="22"/>
  <c r="AE177" i="22" s="1"/>
  <c r="AD179" i="22"/>
  <c r="AE179" i="22" s="1"/>
  <c r="AD181" i="22"/>
  <c r="AE181" i="22" s="1"/>
  <c r="AD183" i="22"/>
  <c r="AE183" i="22" s="1"/>
  <c r="AD220" i="22"/>
  <c r="AE220" i="22" s="1"/>
  <c r="AD224" i="22"/>
  <c r="AE224" i="22" s="1"/>
  <c r="AD226" i="22"/>
  <c r="AE226" i="22" s="1"/>
  <c r="AD228" i="22"/>
  <c r="AE228" i="22" s="1"/>
  <c r="AD232" i="22"/>
  <c r="AE232" i="22" s="1"/>
  <c r="AD234" i="22"/>
  <c r="AE234" i="22" s="1"/>
  <c r="AD236" i="22"/>
  <c r="AE236" i="22" s="1"/>
  <c r="AD240" i="22"/>
  <c r="AE240" i="22" s="1"/>
  <c r="AD242" i="22"/>
  <c r="AE242" i="22" s="1"/>
  <c r="AD244" i="22"/>
  <c r="AE244" i="22" s="1"/>
  <c r="AD248" i="22"/>
  <c r="AE248" i="22" s="1"/>
  <c r="AD250" i="22"/>
  <c r="AE250" i="22" s="1"/>
  <c r="AD269" i="22"/>
  <c r="AE269" i="22" s="1"/>
  <c r="AD271" i="22"/>
  <c r="AE271" i="22" s="1"/>
  <c r="AD273" i="22"/>
  <c r="AE273" i="22" s="1"/>
  <c r="AD275" i="22"/>
  <c r="AE275" i="22" s="1"/>
  <c r="AD277" i="22"/>
  <c r="AE277" i="22" s="1"/>
  <c r="AD279" i="22"/>
  <c r="AE279" i="22" s="1"/>
  <c r="AD281" i="22"/>
  <c r="AE281" i="22" s="1"/>
  <c r="AD39" i="22"/>
  <c r="AE39" i="22" s="1"/>
  <c r="AD41" i="22"/>
  <c r="AE41" i="22" s="1"/>
  <c r="AD45" i="22"/>
  <c r="AE45" i="22" s="1"/>
  <c r="AD49" i="22"/>
  <c r="AE49" i="22" s="1"/>
  <c r="AD53" i="22"/>
  <c r="AE53" i="22" s="1"/>
  <c r="AD57" i="22"/>
  <c r="AE57" i="22" s="1"/>
  <c r="AD61" i="22"/>
  <c r="AE61" i="22" s="1"/>
  <c r="AD65" i="22"/>
  <c r="AE65" i="22" s="1"/>
  <c r="AD69" i="22"/>
  <c r="AE69" i="22" s="1"/>
  <c r="AD112" i="22"/>
  <c r="AE112" i="22" s="1"/>
  <c r="AD116" i="22"/>
  <c r="AE116" i="22" s="1"/>
  <c r="AD118" i="22"/>
  <c r="AE118" i="22" s="1"/>
  <c r="AD120" i="22"/>
  <c r="AE120" i="22" s="1"/>
  <c r="AD122" i="22"/>
  <c r="AE122" i="22" s="1"/>
  <c r="AD124" i="22"/>
  <c r="AE124" i="22" s="1"/>
  <c r="AD128" i="22"/>
  <c r="AE128" i="22" s="1"/>
  <c r="AD130" i="22"/>
  <c r="AE130" i="22" s="1"/>
  <c r="AD134" i="22"/>
  <c r="AE134" i="22" s="1"/>
  <c r="AD138" i="22"/>
  <c r="AE138" i="22" s="1"/>
  <c r="AD140" i="22"/>
  <c r="AE140" i="22" s="1"/>
  <c r="AD144" i="22"/>
  <c r="AE144" i="22" s="1"/>
  <c r="AD146" i="22"/>
  <c r="AE146" i="22" s="1"/>
  <c r="AD187" i="22"/>
  <c r="AE187" i="22" s="1"/>
  <c r="AD189" i="22"/>
  <c r="AE189" i="22" s="1"/>
  <c r="AD191" i="22"/>
  <c r="AE191" i="22" s="1"/>
  <c r="AD193" i="22"/>
  <c r="AE193" i="22" s="1"/>
  <c r="AD195" i="22"/>
  <c r="AE195" i="22" s="1"/>
  <c r="AD197" i="22"/>
  <c r="AE197" i="22" s="1"/>
  <c r="AD199" i="22"/>
  <c r="AE199" i="22" s="1"/>
  <c r="AD201" i="22"/>
  <c r="AE201" i="22" s="1"/>
  <c r="AD203" i="22"/>
  <c r="AE203" i="22" s="1"/>
  <c r="AD205" i="22"/>
  <c r="AE205" i="22" s="1"/>
  <c r="AD207" i="22"/>
  <c r="AE207" i="22" s="1"/>
  <c r="AD209" i="22"/>
  <c r="AE209" i="22" s="1"/>
  <c r="AD211" i="22"/>
  <c r="AE211" i="22" s="1"/>
  <c r="AD213" i="22"/>
  <c r="AE213" i="22" s="1"/>
  <c r="AD215" i="22"/>
  <c r="AE215" i="22" s="1"/>
  <c r="AD217" i="22"/>
  <c r="AE217" i="22" s="1"/>
  <c r="AD252" i="22"/>
  <c r="AE252" i="22" s="1"/>
  <c r="AD256" i="22"/>
  <c r="AE256" i="22" s="1"/>
  <c r="AD258" i="22"/>
  <c r="AE258" i="22" s="1"/>
  <c r="AD260" i="22"/>
  <c r="AE260" i="22" s="1"/>
  <c r="AD264" i="22"/>
  <c r="AE264" i="22" s="1"/>
  <c r="AD266" i="22"/>
  <c r="AE266" i="22" s="1"/>
  <c r="AD16" i="22"/>
  <c r="AE16" i="22" s="1"/>
  <c r="AD18" i="22"/>
  <c r="AE18" i="22" s="1"/>
  <c r="AD22" i="22"/>
  <c r="AE22" i="22" s="1"/>
  <c r="AD24" i="22"/>
  <c r="AE24" i="22" s="1"/>
  <c r="AD30" i="22"/>
  <c r="AE30" i="22" s="1"/>
  <c r="AD32" i="22"/>
  <c r="AE32" i="22" s="1"/>
  <c r="AD36" i="22"/>
  <c r="AE36" i="22" s="1"/>
  <c r="AD79" i="22"/>
  <c r="AE79" i="22" s="1"/>
  <c r="AD81" i="22"/>
  <c r="AE81" i="22" s="1"/>
  <c r="AD83" i="22"/>
  <c r="AE83" i="22" s="1"/>
  <c r="AD85" i="22"/>
  <c r="AE85" i="22" s="1"/>
  <c r="AD87" i="22"/>
  <c r="AE87" i="22" s="1"/>
  <c r="AD89" i="22"/>
  <c r="AE89" i="22" s="1"/>
  <c r="AD91" i="22"/>
  <c r="AE91" i="22" s="1"/>
  <c r="AD93" i="22"/>
  <c r="AE93" i="22" s="1"/>
  <c r="AD95" i="22"/>
  <c r="AE95" i="22" s="1"/>
  <c r="AD97" i="22"/>
  <c r="AE97" i="22" s="1"/>
  <c r="AD99" i="22"/>
  <c r="AE99" i="22" s="1"/>
  <c r="AD101" i="22"/>
  <c r="AE101" i="22" s="1"/>
  <c r="AD103" i="22"/>
  <c r="AE103" i="22" s="1"/>
  <c r="AD105" i="22"/>
  <c r="AE105" i="22" s="1"/>
  <c r="AD107" i="22"/>
  <c r="AE107" i="22" s="1"/>
  <c r="AD109" i="22"/>
  <c r="AE109" i="22" s="1"/>
  <c r="AD148" i="22"/>
  <c r="AE148" i="22" s="1"/>
  <c r="AD154" i="22"/>
  <c r="AE154" i="22" s="1"/>
  <c r="AD156" i="22"/>
  <c r="AE156" i="22" s="1"/>
  <c r="AD162" i="22"/>
  <c r="AE162" i="22" s="1"/>
  <c r="AD164" i="22"/>
  <c r="AE164" i="22" s="1"/>
  <c r="AD170" i="22"/>
  <c r="AE170" i="22" s="1"/>
  <c r="AD172" i="22"/>
  <c r="AE172" i="22" s="1"/>
  <c r="AD178" i="22"/>
  <c r="AE178" i="22" s="1"/>
  <c r="AD180" i="22"/>
  <c r="AE180" i="22" s="1"/>
  <c r="AD182" i="22"/>
  <c r="AE182" i="22" s="1"/>
  <c r="AD221" i="22"/>
  <c r="AE221" i="22" s="1"/>
  <c r="AD223" i="22"/>
  <c r="AE223" i="22" s="1"/>
  <c r="AD225" i="22"/>
  <c r="AE225" i="22" s="1"/>
  <c r="AD227" i="22"/>
  <c r="AE227" i="22" s="1"/>
  <c r="AD229" i="22"/>
  <c r="AE229" i="22" s="1"/>
  <c r="AD231" i="22"/>
  <c r="AE231" i="22" s="1"/>
  <c r="AD233" i="22"/>
  <c r="AE233" i="22" s="1"/>
  <c r="AD235" i="22"/>
  <c r="AE235" i="22" s="1"/>
  <c r="AD237" i="22"/>
  <c r="AE237" i="22" s="1"/>
  <c r="AD239" i="22"/>
  <c r="AE239" i="22" s="1"/>
  <c r="AD241" i="22"/>
  <c r="AE241" i="22" s="1"/>
  <c r="AD243" i="22"/>
  <c r="AE243" i="22" s="1"/>
  <c r="AD245" i="22"/>
  <c r="AE245" i="22" s="1"/>
  <c r="AD247" i="22"/>
  <c r="AE247" i="22" s="1"/>
  <c r="AD249" i="22"/>
  <c r="AE249" i="22" s="1"/>
  <c r="AD268" i="22"/>
  <c r="AE268" i="22" s="1"/>
  <c r="AD272" i="22"/>
  <c r="AE272" i="22" s="1"/>
  <c r="AD274" i="22"/>
  <c r="AE274" i="22" s="1"/>
  <c r="AD276" i="22"/>
  <c r="AE276" i="22" s="1"/>
  <c r="AD278" i="22"/>
  <c r="AE278" i="22" s="1"/>
  <c r="AD280" i="22"/>
  <c r="AE280" i="22" s="1"/>
  <c r="AD282" i="22"/>
  <c r="AE282" i="22" s="1"/>
  <c r="AD136" i="22"/>
  <c r="AE136" i="22" s="1"/>
  <c r="AD175" i="22"/>
  <c r="AE175" i="22" s="1"/>
  <c r="AD12" i="22"/>
  <c r="AE12" i="22" s="1"/>
  <c r="AD15" i="22"/>
  <c r="AE15" i="22" s="1"/>
  <c r="AD17" i="22"/>
  <c r="AE17" i="22" s="1"/>
  <c r="AD20" i="22"/>
  <c r="AE20" i="22" s="1"/>
  <c r="AD26" i="22"/>
  <c r="AE26" i="22" s="1"/>
  <c r="AD28" i="22"/>
  <c r="AE28" i="22" s="1"/>
  <c r="AD34" i="22"/>
  <c r="AE34" i="22" s="1"/>
  <c r="AD38" i="22"/>
  <c r="AE38" i="22" s="1"/>
  <c r="AD42" i="22"/>
  <c r="AE42" i="22" s="1"/>
  <c r="AD44" i="22"/>
  <c r="AE44" i="22" s="1"/>
  <c r="AD50" i="22"/>
  <c r="AE50" i="22" s="1"/>
  <c r="AD56" i="22"/>
  <c r="AE56" i="22" s="1"/>
  <c r="AD73" i="22"/>
  <c r="AE73" i="22" s="1"/>
  <c r="AD72" i="22"/>
  <c r="AE72" i="22" s="1"/>
  <c r="AD78" i="22"/>
  <c r="AE78" i="22" s="1"/>
  <c r="AD82" i="22"/>
  <c r="AE82" i="22" s="1"/>
  <c r="AD86" i="22"/>
  <c r="AE86" i="22" s="1"/>
  <c r="AD90" i="22"/>
  <c r="AE90" i="22" s="1"/>
  <c r="AD94" i="22"/>
  <c r="AE94" i="22" s="1"/>
  <c r="AD98" i="22"/>
  <c r="AE98" i="22" s="1"/>
  <c r="AD102" i="22"/>
  <c r="AE102" i="22" s="1"/>
  <c r="AD106" i="22"/>
  <c r="AE106" i="22" s="1"/>
  <c r="AD110" i="22"/>
  <c r="AE110" i="22" s="1"/>
  <c r="AD114" i="22"/>
  <c r="AE114" i="22" s="1"/>
  <c r="AD131" i="22"/>
  <c r="AE131" i="22" s="1"/>
  <c r="K6" i="22"/>
  <c r="T6" i="22" s="1" a="1"/>
  <c r="T6" i="22" s="1"/>
  <c r="AD6" i="22" s="1"/>
  <c r="AE6" i="22" s="1"/>
  <c r="AD21" i="22"/>
  <c r="AE21" i="22" s="1"/>
  <c r="AD14" i="22"/>
  <c r="AE14" i="22" s="1"/>
  <c r="AD43" i="22"/>
  <c r="AE43" i="22" s="1"/>
  <c r="AD63" i="22"/>
  <c r="AE63" i="22" s="1"/>
  <c r="AD71" i="22"/>
  <c r="AE71" i="22" s="1"/>
  <c r="AD127" i="22"/>
  <c r="AE127" i="22" s="1"/>
  <c r="AD176" i="22"/>
  <c r="AE176" i="22" s="1"/>
  <c r="AD174" i="22"/>
  <c r="AE174" i="22" s="1"/>
  <c r="AD184" i="22"/>
  <c r="AE184" i="22" s="1"/>
  <c r="AD200" i="22"/>
  <c r="AE200" i="22" s="1"/>
  <c r="AD158" i="22"/>
  <c r="AE158" i="22" s="1"/>
  <c r="AD55" i="22"/>
  <c r="AE55" i="22" s="1"/>
  <c r="AD132" i="22"/>
  <c r="AE132" i="22" s="1"/>
  <c r="AD166" i="22"/>
  <c r="AE166" i="22" s="1"/>
  <c r="AD192" i="22"/>
  <c r="AE192" i="22" s="1"/>
  <c r="AD47" i="22"/>
  <c r="AE47" i="22" s="1"/>
  <c r="AD160" i="22"/>
  <c r="AE160" i="22" s="1"/>
  <c r="AD168" i="22"/>
  <c r="AE168" i="22" s="1"/>
  <c r="AD35" i="22"/>
  <c r="AE35" i="22" s="1"/>
  <c r="AD51" i="22"/>
  <c r="AE51" i="22" s="1"/>
  <c r="AD59" i="22"/>
  <c r="AE59" i="22" s="1"/>
  <c r="AD67" i="22"/>
  <c r="AE67" i="22" s="1"/>
  <c r="AD75" i="22"/>
  <c r="AE75" i="22" s="1"/>
  <c r="AD119" i="22"/>
  <c r="AE119" i="22" s="1"/>
  <c r="AD126" i="22"/>
  <c r="AE126" i="22" s="1"/>
  <c r="AD142" i="22"/>
  <c r="AE142" i="22" s="1"/>
  <c r="AD150" i="22"/>
  <c r="AE150" i="22" s="1"/>
  <c r="AD152" i="22"/>
  <c r="AE152" i="22" s="1"/>
  <c r="AD214" i="22"/>
  <c r="AE214" i="22" s="1"/>
  <c r="AD222" i="22"/>
  <c r="AE222" i="22" s="1"/>
  <c r="AD230" i="22"/>
  <c r="AE230" i="22" s="1"/>
  <c r="AD238" i="22"/>
  <c r="AE238" i="22" s="1"/>
  <c r="AD246" i="22"/>
  <c r="AE246" i="22" s="1"/>
  <c r="AD254" i="22"/>
  <c r="AE254" i="22" s="1"/>
  <c r="AD262" i="22"/>
  <c r="AE262" i="22" s="1"/>
  <c r="AD270" i="22"/>
  <c r="AE270" i="22" s="1"/>
  <c r="K11" i="22" l="1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29" i="22"/>
  <c r="K30" i="22"/>
  <c r="K31" i="22"/>
  <c r="K32" i="22"/>
  <c r="K33" i="22"/>
  <c r="K34" i="22"/>
  <c r="K35" i="22"/>
  <c r="K36" i="22"/>
  <c r="K37" i="22"/>
  <c r="K38" i="22"/>
  <c r="K39" i="22"/>
  <c r="K40" i="22"/>
  <c r="K41" i="22"/>
  <c r="K42" i="22"/>
  <c r="K43" i="22"/>
  <c r="K44" i="22"/>
  <c r="K45" i="22"/>
  <c r="K46" i="22"/>
  <c r="K47" i="22"/>
  <c r="K48" i="22"/>
  <c r="K49" i="22"/>
  <c r="K50" i="22"/>
  <c r="K51" i="22"/>
  <c r="K52" i="22"/>
  <c r="K53" i="22"/>
  <c r="K54" i="22"/>
  <c r="K55" i="22"/>
  <c r="K56" i="22"/>
  <c r="K57" i="22"/>
  <c r="K58" i="22"/>
  <c r="K59" i="22"/>
  <c r="K60" i="22"/>
  <c r="K61" i="22"/>
  <c r="K62" i="22"/>
  <c r="K63" i="22"/>
  <c r="K64" i="22"/>
  <c r="K65" i="22"/>
  <c r="K66" i="22"/>
  <c r="K67" i="22"/>
  <c r="K68" i="22"/>
  <c r="K69" i="22"/>
  <c r="K70" i="22"/>
  <c r="K71" i="22"/>
  <c r="K72" i="22"/>
  <c r="K73" i="22"/>
  <c r="K74" i="22"/>
  <c r="K75" i="22"/>
  <c r="K76" i="22"/>
  <c r="K77" i="22"/>
  <c r="K78" i="22"/>
  <c r="K79" i="22"/>
  <c r="K80" i="22"/>
  <c r="K81" i="22"/>
  <c r="K82" i="22"/>
  <c r="K83" i="22"/>
  <c r="K84" i="22"/>
  <c r="K85" i="22"/>
  <c r="K86" i="22"/>
  <c r="K87" i="22"/>
  <c r="K88" i="22"/>
  <c r="K89" i="22"/>
  <c r="K90" i="22"/>
  <c r="K91" i="22"/>
  <c r="K92" i="22"/>
  <c r="K93" i="22"/>
  <c r="K94" i="22"/>
  <c r="K95" i="22"/>
  <c r="K96" i="22"/>
  <c r="K97" i="22"/>
  <c r="K98" i="22"/>
  <c r="K99" i="22"/>
  <c r="K100" i="22"/>
  <c r="K101" i="22"/>
  <c r="K102" i="22"/>
  <c r="K103" i="22"/>
  <c r="K104" i="22"/>
  <c r="K105" i="22"/>
  <c r="K106" i="22"/>
  <c r="K107" i="22"/>
  <c r="K108" i="22"/>
  <c r="K109" i="22"/>
  <c r="K110" i="22"/>
  <c r="K111" i="22"/>
  <c r="K112" i="22"/>
  <c r="K113" i="22"/>
  <c r="K114" i="22"/>
  <c r="K115" i="22"/>
  <c r="K116" i="22"/>
  <c r="K117" i="22"/>
  <c r="K118" i="22"/>
  <c r="K119" i="22"/>
  <c r="K120" i="22"/>
  <c r="K121" i="22"/>
  <c r="K122" i="22"/>
  <c r="K123" i="22"/>
  <c r="K124" i="22"/>
  <c r="K125" i="22"/>
  <c r="K126" i="22"/>
  <c r="K127" i="22"/>
  <c r="K128" i="22"/>
  <c r="K129" i="22"/>
  <c r="K130" i="22"/>
  <c r="K131" i="22"/>
  <c r="K132" i="22"/>
  <c r="K133" i="22"/>
  <c r="K134" i="22"/>
  <c r="K135" i="22"/>
  <c r="K136" i="22"/>
  <c r="K137" i="22"/>
  <c r="K138" i="22"/>
  <c r="K139" i="22"/>
  <c r="K140" i="22"/>
  <c r="K141" i="22"/>
  <c r="K142" i="22"/>
  <c r="K143" i="22"/>
  <c r="K144" i="22"/>
  <c r="K145" i="22"/>
  <c r="K146" i="22"/>
  <c r="K147" i="22"/>
  <c r="K148" i="22"/>
  <c r="K149" i="22"/>
  <c r="K150" i="22"/>
  <c r="K151" i="22"/>
  <c r="K152" i="22"/>
  <c r="K153" i="22"/>
  <c r="K154" i="22"/>
  <c r="K155" i="22"/>
  <c r="K156" i="22"/>
  <c r="K157" i="22"/>
  <c r="K158" i="22"/>
  <c r="K159" i="22"/>
  <c r="K160" i="22"/>
  <c r="K161" i="22"/>
  <c r="K162" i="22"/>
  <c r="K163" i="22"/>
  <c r="K164" i="22"/>
  <c r="K165" i="22"/>
  <c r="K166" i="22"/>
  <c r="K167" i="22"/>
  <c r="K168" i="22"/>
  <c r="K169" i="22"/>
  <c r="K170" i="22"/>
  <c r="K171" i="22"/>
  <c r="K172" i="22"/>
  <c r="K173" i="22"/>
  <c r="K174" i="22"/>
  <c r="K175" i="22"/>
  <c r="K176" i="22"/>
  <c r="K177" i="22"/>
  <c r="K178" i="22"/>
  <c r="K179" i="22"/>
  <c r="K180" i="22"/>
  <c r="K181" i="22"/>
  <c r="K182" i="22"/>
  <c r="K183" i="22"/>
  <c r="K184" i="22"/>
  <c r="K185" i="22"/>
  <c r="K186" i="22"/>
  <c r="K187" i="22"/>
  <c r="K188" i="22"/>
  <c r="K189" i="22"/>
  <c r="K190" i="22"/>
  <c r="K191" i="22"/>
  <c r="K192" i="22"/>
  <c r="K193" i="22"/>
  <c r="K194" i="22"/>
  <c r="K195" i="22"/>
  <c r="K196" i="22"/>
  <c r="K197" i="22"/>
  <c r="K198" i="22"/>
  <c r="K199" i="22"/>
  <c r="K200" i="22"/>
  <c r="K201" i="22"/>
  <c r="K202" i="22"/>
  <c r="K203" i="22"/>
  <c r="K204" i="22"/>
  <c r="K205" i="22"/>
  <c r="K206" i="22"/>
  <c r="K207" i="22"/>
  <c r="K208" i="22"/>
  <c r="K209" i="22"/>
  <c r="K210" i="22"/>
  <c r="K211" i="22"/>
  <c r="K212" i="22"/>
  <c r="K213" i="22"/>
  <c r="K214" i="22"/>
  <c r="K215" i="22"/>
  <c r="K216" i="22"/>
  <c r="K217" i="22"/>
  <c r="K218" i="22"/>
  <c r="K219" i="22"/>
  <c r="K220" i="22"/>
  <c r="K221" i="22"/>
  <c r="K222" i="22"/>
  <c r="K223" i="22"/>
  <c r="K224" i="22"/>
  <c r="K225" i="22"/>
  <c r="K226" i="22"/>
  <c r="K227" i="22"/>
  <c r="K228" i="22"/>
  <c r="K229" i="22"/>
  <c r="K230" i="22"/>
  <c r="K231" i="22"/>
  <c r="K232" i="22"/>
  <c r="K233" i="22"/>
  <c r="K234" i="22"/>
  <c r="K235" i="22"/>
  <c r="K236" i="22"/>
  <c r="K237" i="22"/>
  <c r="K238" i="22"/>
  <c r="K239" i="22"/>
  <c r="K240" i="22"/>
  <c r="K241" i="22"/>
  <c r="K242" i="22"/>
  <c r="K243" i="22"/>
  <c r="K244" i="22"/>
  <c r="K245" i="22"/>
  <c r="K246" i="22"/>
  <c r="K247" i="22"/>
  <c r="K248" i="22"/>
  <c r="K249" i="22"/>
  <c r="K250" i="22"/>
  <c r="K251" i="22"/>
  <c r="K252" i="22"/>
  <c r="K253" i="22"/>
  <c r="K254" i="22"/>
  <c r="K255" i="22"/>
  <c r="K256" i="22"/>
  <c r="K257" i="22"/>
  <c r="K258" i="22"/>
  <c r="K259" i="22"/>
  <c r="K260" i="22"/>
  <c r="K261" i="22"/>
  <c r="K262" i="22"/>
  <c r="K263" i="22"/>
  <c r="K264" i="22"/>
  <c r="K265" i="22"/>
  <c r="K266" i="22"/>
  <c r="K267" i="22"/>
  <c r="K268" i="22"/>
  <c r="K269" i="22"/>
  <c r="K270" i="22"/>
  <c r="K271" i="22"/>
  <c r="K272" i="22"/>
  <c r="K273" i="22"/>
  <c r="K274" i="22"/>
  <c r="K275" i="22"/>
  <c r="K276" i="22"/>
  <c r="K277" i="22"/>
  <c r="K278" i="22"/>
  <c r="K279" i="22"/>
  <c r="K280" i="22"/>
  <c r="K281" i="22"/>
  <c r="K282" i="22"/>
  <c r="AB65" i="5" l="1"/>
  <c r="AB63" i="5" l="1"/>
  <c r="AB64" i="5"/>
  <c r="AB17" i="5"/>
  <c r="AB61" i="5"/>
  <c r="AB57" i="5"/>
  <c r="AB53" i="5"/>
  <c r="AB49" i="5"/>
  <c r="AB45" i="5"/>
  <c r="AB41" i="5"/>
  <c r="AB37" i="5"/>
  <c r="AB33" i="5"/>
  <c r="AB29" i="5"/>
  <c r="AB25" i="5"/>
  <c r="AB21" i="5"/>
  <c r="AB18" i="5"/>
  <c r="AB19" i="5"/>
  <c r="AB20" i="5"/>
  <c r="AB22" i="5"/>
  <c r="AB23" i="5"/>
  <c r="AB24" i="5"/>
  <c r="AB26" i="5"/>
  <c r="AB27" i="5"/>
  <c r="AB28" i="5"/>
  <c r="AB30" i="5"/>
  <c r="AB31" i="5"/>
  <c r="AB32" i="5"/>
  <c r="AB34" i="5"/>
  <c r="AB35" i="5"/>
  <c r="AB36" i="5"/>
  <c r="AB38" i="5"/>
  <c r="AB39" i="5"/>
  <c r="AB40" i="5"/>
  <c r="AB42" i="5"/>
  <c r="AB43" i="5"/>
  <c r="AB44" i="5"/>
  <c r="AB46" i="5"/>
  <c r="AB47" i="5"/>
  <c r="AB48" i="5"/>
  <c r="AB50" i="5"/>
  <c r="AB51" i="5"/>
  <c r="AB52" i="5"/>
  <c r="AB54" i="5"/>
  <c r="AB55" i="5"/>
  <c r="AB56" i="5"/>
  <c r="AB58" i="5"/>
  <c r="AB59" i="5"/>
  <c r="AB60" i="5"/>
  <c r="AB62" i="5"/>
  <c r="K7" i="22"/>
  <c r="T7" i="22" s="1" a="1"/>
  <c r="T7" i="22" s="1"/>
  <c r="AD7" i="22" s="1"/>
  <c r="AE7" i="22" s="1"/>
  <c r="K8" i="22"/>
  <c r="T8" i="22" s="1" a="1"/>
  <c r="T8" i="22" s="1"/>
  <c r="AD8" i="22" s="1"/>
  <c r="AE8" i="22" s="1"/>
  <c r="K9" i="22"/>
  <c r="T9" i="22" s="1" a="1"/>
  <c r="T9" i="22" s="1"/>
  <c r="AD9" i="22" s="1"/>
  <c r="AE9" i="22" s="1"/>
  <c r="K10" i="22"/>
  <c r="T10" i="22" s="1" a="1"/>
  <c r="T10" i="22" s="1"/>
  <c r="AD10" i="22" s="1"/>
  <c r="AE10" i="22" s="1"/>
  <c r="AF48" i="22" l="1"/>
  <c r="AF40" i="22"/>
  <c r="AF7" i="22"/>
  <c r="AF72" i="22"/>
  <c r="AF187" i="22"/>
  <c r="AF147" i="22"/>
  <c r="AF136" i="22"/>
  <c r="AF56" i="22"/>
  <c r="AF88" i="22"/>
  <c r="AF17" i="22"/>
  <c r="AF234" i="22"/>
  <c r="AF218" i="22"/>
  <c r="AF194" i="22"/>
  <c r="AF190" i="22"/>
  <c r="AF174" i="22"/>
  <c r="AF170" i="22"/>
  <c r="AF158" i="22"/>
  <c r="AF154" i="22"/>
  <c r="AF142" i="22"/>
  <c r="AF138" i="22"/>
  <c r="AF126" i="22"/>
  <c r="AF94" i="22"/>
  <c r="AF78" i="22"/>
  <c r="AF66" i="22"/>
  <c r="AF58" i="22"/>
  <c r="AF50" i="22"/>
  <c r="AF42" i="22"/>
  <c r="AF34" i="22"/>
  <c r="AF26" i="22"/>
  <c r="AF18" i="22"/>
  <c r="AF69" i="22"/>
  <c r="AF64" i="22"/>
  <c r="AF250" i="22"/>
  <c r="AF86" i="22"/>
  <c r="AF281" i="22"/>
  <c r="AF273" i="22"/>
  <c r="AF269" i="22"/>
  <c r="AF261" i="22"/>
  <c r="AF257" i="22"/>
  <c r="AF249" i="22"/>
  <c r="AF245" i="22"/>
  <c r="AF237" i="22"/>
  <c r="AF233" i="22"/>
  <c r="AF225" i="22"/>
  <c r="AF221" i="22"/>
  <c r="AF217" i="22"/>
  <c r="AF213" i="22"/>
  <c r="AF205" i="22"/>
  <c r="AF201" i="22"/>
  <c r="AF197" i="22"/>
  <c r="AF193" i="22"/>
  <c r="AF189" i="22"/>
  <c r="AF177" i="22"/>
  <c r="AF173" i="22"/>
  <c r="AF169" i="22"/>
  <c r="AF165" i="22"/>
  <c r="AF157" i="22"/>
  <c r="AF153" i="22"/>
  <c r="AF149" i="22"/>
  <c r="AF141" i="22"/>
  <c r="AF133" i="22"/>
  <c r="AF129" i="22"/>
  <c r="AF125" i="22"/>
  <c r="AF121" i="22"/>
  <c r="AF109" i="22"/>
  <c r="AF105" i="22"/>
  <c r="AF93" i="22"/>
  <c r="AF89" i="22"/>
  <c r="AF85" i="22"/>
  <c r="AF81" i="22"/>
  <c r="AF61" i="22"/>
  <c r="AF57" i="22"/>
  <c r="AF53" i="22"/>
  <c r="AF37" i="22"/>
  <c r="AF33" i="22"/>
  <c r="AF29" i="22"/>
  <c r="AF13" i="22"/>
  <c r="AF282" i="22"/>
  <c r="AF206" i="22"/>
  <c r="AF202" i="22"/>
  <c r="AF186" i="22"/>
  <c r="AF166" i="22"/>
  <c r="AF134" i="22"/>
  <c r="AF130" i="22"/>
  <c r="AF98" i="22"/>
  <c r="AF82" i="22"/>
  <c r="AF46" i="22"/>
  <c r="AF14" i="22"/>
  <c r="AF258" i="22"/>
  <c r="AF210" i="22"/>
  <c r="AF242" i="22"/>
  <c r="AF145" i="22"/>
  <c r="AF65" i="22"/>
  <c r="AF41" i="22"/>
  <c r="AF181" i="22"/>
  <c r="AF113" i="22"/>
  <c r="AF97" i="22"/>
  <c r="AF265" i="22"/>
  <c r="AF241" i="22"/>
  <c r="AF209" i="22"/>
  <c r="AF161" i="22"/>
  <c r="AF77" i="22"/>
  <c r="AF19" i="22"/>
  <c r="AF35" i="22"/>
  <c r="AF55" i="22"/>
  <c r="AF219" i="22"/>
  <c r="AF114" i="22"/>
  <c r="AF146" i="22"/>
  <c r="AF162" i="22"/>
  <c r="AF178" i="22"/>
  <c r="AF222" i="22"/>
  <c r="AF274" i="22"/>
  <c r="AF45" i="22"/>
  <c r="AF117" i="22"/>
  <c r="AF51" i="22"/>
  <c r="AF32" i="22"/>
  <c r="AF68" i="22"/>
  <c r="AF148" i="22"/>
  <c r="AF159" i="22"/>
  <c r="AF280" i="22"/>
  <c r="AF276" i="22"/>
  <c r="AF272" i="22"/>
  <c r="AF268" i="22"/>
  <c r="AF264" i="22"/>
  <c r="AF260" i="22"/>
  <c r="AF256" i="22"/>
  <c r="AF252" i="22"/>
  <c r="AF248" i="22"/>
  <c r="AF244" i="22"/>
  <c r="AF240" i="22"/>
  <c r="AF236" i="22"/>
  <c r="AF232" i="22"/>
  <c r="AF228" i="22"/>
  <c r="AF224" i="22"/>
  <c r="AF220" i="22"/>
  <c r="AF216" i="22"/>
  <c r="AF212" i="22"/>
  <c r="AF208" i="22"/>
  <c r="AF204" i="22"/>
  <c r="AF200" i="22"/>
  <c r="AF196" i="22"/>
  <c r="AF192" i="22"/>
  <c r="AF188" i="22"/>
  <c r="AF184" i="22"/>
  <c r="AF180" i="22"/>
  <c r="AF176" i="22"/>
  <c r="AF172" i="22"/>
  <c r="AF168" i="22"/>
  <c r="AF164" i="22"/>
  <c r="AF160" i="22"/>
  <c r="AF156" i="22"/>
  <c r="AF152" i="22"/>
  <c r="AF144" i="22"/>
  <c r="AF128" i="22"/>
  <c r="AF116" i="22"/>
  <c r="AF100" i="22"/>
  <c r="AF92" i="22"/>
  <c r="AF84" i="22"/>
  <c r="AF277" i="22"/>
  <c r="AF229" i="22"/>
  <c r="AF59" i="22"/>
  <c r="AF25" i="22"/>
  <c r="AF44" i="22"/>
  <c r="AF80" i="22"/>
  <c r="AF279" i="22"/>
  <c r="AF275" i="22"/>
  <c r="AF271" i="22"/>
  <c r="AF267" i="22"/>
  <c r="AF263" i="22"/>
  <c r="AF259" i="22"/>
  <c r="AF255" i="22"/>
  <c r="AF247" i="22"/>
  <c r="AF243" i="22"/>
  <c r="AF239" i="22"/>
  <c r="AF235" i="22"/>
  <c r="AF231" i="22"/>
  <c r="AF227" i="22"/>
  <c r="AF223" i="22"/>
  <c r="AF211" i="22"/>
  <c r="AF207" i="22"/>
  <c r="AF199" i="22"/>
  <c r="AF195" i="22"/>
  <c r="AF191" i="22"/>
  <c r="AF179" i="22"/>
  <c r="AF175" i="22"/>
  <c r="AF163" i="22"/>
  <c r="AF143" i="22"/>
  <c r="AF131" i="22"/>
  <c r="AF127" i="22"/>
  <c r="AF115" i="22"/>
  <c r="AF111" i="22"/>
  <c r="AF95" i="22"/>
  <c r="AF83" i="22"/>
  <c r="AF79" i="22"/>
  <c r="AF67" i="22"/>
  <c r="AF63" i="22"/>
  <c r="AF253" i="22"/>
  <c r="AF74" i="22"/>
  <c r="AF99" i="22"/>
  <c r="AF278" i="22"/>
  <c r="AF270" i="22"/>
  <c r="AF262" i="22"/>
  <c r="AF254" i="22"/>
  <c r="AF246" i="22"/>
  <c r="AF230" i="22"/>
  <c r="AF214" i="22"/>
  <c r="AF198" i="22"/>
  <c r="AF182" i="22"/>
  <c r="AF60" i="22"/>
  <c r="AF108" i="22"/>
  <c r="AF87" i="22"/>
  <c r="AF183" i="22"/>
  <c r="AF23" i="22"/>
  <c r="AF251" i="22"/>
  <c r="AF30" i="22"/>
  <c r="AF38" i="22"/>
  <c r="AF118" i="22"/>
  <c r="AF150" i="22"/>
  <c r="AF226" i="22"/>
  <c r="AF73" i="22"/>
  <c r="AF36" i="22"/>
  <c r="AF52" i="22"/>
  <c r="AF132" i="22"/>
  <c r="AF140" i="22"/>
  <c r="AF47" i="22"/>
  <c r="AF27" i="22"/>
  <c r="AF39" i="22"/>
  <c r="AF71" i="22"/>
  <c r="AF103" i="22"/>
  <c r="AF203" i="22"/>
  <c r="AF122" i="22"/>
  <c r="AF49" i="22"/>
  <c r="AF120" i="22"/>
  <c r="AF16" i="22"/>
  <c r="AF28" i="22"/>
  <c r="AF104" i="22"/>
  <c r="AF112" i="22"/>
  <c r="AF124" i="22"/>
  <c r="AF24" i="22"/>
  <c r="AF15" i="22"/>
  <c r="AF31" i="22"/>
  <c r="AF43" i="22"/>
  <c r="AF75" i="22"/>
  <c r="AF107" i="22"/>
  <c r="AF139" i="22"/>
  <c r="AF171" i="22"/>
  <c r="AF215" i="22"/>
  <c r="AF110" i="22"/>
  <c r="AF238" i="22"/>
  <c r="AF266" i="22"/>
  <c r="AF101" i="22"/>
  <c r="AF12" i="22"/>
  <c r="AF20" i="22"/>
  <c r="AF76" i="22"/>
  <c r="AF96" i="22"/>
  <c r="AF185" i="22"/>
  <c r="AF137" i="22"/>
  <c r="AF91" i="22" l="1"/>
  <c r="AF102" i="22"/>
  <c r="AF8" i="22"/>
  <c r="AF9" i="22"/>
  <c r="AF11" i="22"/>
  <c r="AF10" i="22"/>
  <c r="AF62" i="22"/>
  <c r="AF123" i="22"/>
  <c r="AF22" i="22"/>
  <c r="AF151" i="22"/>
  <c r="AF135" i="22"/>
  <c r="AF70" i="22"/>
  <c r="AF21" i="22"/>
  <c r="AF119" i="22"/>
  <c r="AF106" i="22"/>
  <c r="AF167" i="22"/>
  <c r="AF90" i="22"/>
  <c r="AF54" i="22"/>
  <c r="AF155" i="22"/>
  <c r="AF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ユーザー</author>
  </authors>
  <commentList>
    <comment ref="A4" authorId="0" shapeId="0" xr:uid="{00000000-0006-0000-0600-000001000000}">
      <text>
        <r>
          <rPr>
            <sz val="9"/>
            <color indexed="81"/>
            <rFont val="ＭＳ Ｐゴシック"/>
            <family val="3"/>
            <charset val="128"/>
          </rPr>
          <t>給与支給日を入力</t>
        </r>
      </text>
    </comment>
    <comment ref="C4" authorId="0" shapeId="0" xr:uid="{00000000-0006-0000-0600-000002000000}">
      <text>
        <r>
          <rPr>
            <sz val="9"/>
            <color indexed="81"/>
            <rFont val="ＭＳ Ｐゴシック"/>
            <family val="3"/>
            <charset val="128"/>
          </rPr>
          <t>氏名を入力</t>
        </r>
      </text>
    </comment>
    <comment ref="D4" authorId="0" shapeId="0" xr:uid="{00000000-0006-0000-0600-000003000000}">
      <text>
        <r>
          <rPr>
            <sz val="9"/>
            <color indexed="81"/>
            <rFont val="ＭＳ Ｐゴシック"/>
            <family val="3"/>
            <charset val="128"/>
          </rPr>
          <t>支給日時点の年齢を入力（40歳以上から介護保険の対象）</t>
        </r>
      </text>
    </comment>
    <comment ref="E4" authorId="0" shapeId="0" xr:uid="{00000000-0006-0000-0600-000004000000}">
      <text>
        <r>
          <rPr>
            <sz val="9"/>
            <color indexed="81"/>
            <rFont val="ＭＳ Ｐゴシック"/>
            <family val="3"/>
            <charset val="128"/>
          </rPr>
          <t>役員、従業員、バイトを選択</t>
        </r>
      </text>
    </comment>
    <comment ref="F4" authorId="0" shapeId="0" xr:uid="{00000000-0006-0000-0600-000005000000}">
      <text>
        <r>
          <rPr>
            <sz val="9"/>
            <color indexed="81"/>
            <rFont val="ＭＳ Ｐゴシック"/>
            <family val="3"/>
            <charset val="128"/>
          </rPr>
          <t>基本は「甲」
他社からも給与をもらっており他社に「異動申告書」を提出している場合は「乙」</t>
        </r>
      </text>
    </comment>
    <comment ref="G4" authorId="0" shapeId="0" xr:uid="{00000000-0006-0000-0600-000006000000}">
      <text>
        <r>
          <rPr>
            <sz val="9"/>
            <color indexed="81"/>
            <rFont val="ＭＳ Ｐゴシック"/>
            <family val="3"/>
            <charset val="128"/>
          </rPr>
          <t>加入か否かを選択</t>
        </r>
      </text>
    </comment>
    <comment ref="H4" authorId="0" shapeId="0" xr:uid="{00000000-0006-0000-0600-000007000000}">
      <text>
        <r>
          <rPr>
            <sz val="9"/>
            <color indexed="81"/>
            <rFont val="ＭＳ Ｐゴシック"/>
            <family val="3"/>
            <charset val="128"/>
          </rPr>
          <t>加入か否かを選択　　　　　　　　　　　　　　　　　　役員は原則加入できません</t>
        </r>
      </text>
    </comment>
    <comment ref="I4" authorId="0" shapeId="0" xr:uid="{00000000-0006-0000-0600-000008000000}">
      <text>
        <r>
          <rPr>
            <sz val="9"/>
            <color indexed="81"/>
            <rFont val="ＭＳ Ｐゴシック"/>
            <family val="3"/>
            <charset val="128"/>
          </rPr>
          <t>年金事務所より送付される標準報酬月額決定通知書の額を入力</t>
        </r>
      </text>
    </comment>
    <comment ref="J4" authorId="0" shapeId="0" xr:uid="{00000000-0006-0000-0600-000009000000}">
      <text>
        <r>
          <rPr>
            <sz val="9"/>
            <color indexed="81"/>
            <rFont val="ＭＳ Ｐゴシック"/>
            <family val="3"/>
            <charset val="128"/>
          </rPr>
          <t>年金事務所より送付される標準報酬月額決定通知書の額を入力</t>
        </r>
      </text>
    </comment>
    <comment ref="L4" authorId="0" shapeId="0" xr:uid="{00000000-0006-0000-0600-00000A000000}">
      <text>
        <r>
          <rPr>
            <sz val="9"/>
            <color indexed="81"/>
            <rFont val="ＭＳ Ｐゴシック"/>
            <family val="3"/>
            <charset val="128"/>
          </rPr>
          <t>2020年1月時点において16歳以上でかつ年収103万未満の同一生計親族の人数</t>
        </r>
      </text>
    </comment>
    <comment ref="U4" authorId="0" shapeId="0" xr:uid="{00000000-0006-0000-0600-00000B000000}">
      <text>
        <r>
          <rPr>
            <sz val="9"/>
            <color indexed="81"/>
            <rFont val="ＭＳ Ｐゴシック"/>
            <family val="3"/>
            <charset val="128"/>
          </rPr>
          <t>特別徴収税額決定通知書（毎年5月区役所より）
普通徴収（自分で住民税を納める場合）は記載不要です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<sst xmlns="http://schemas.openxmlformats.org/spreadsheetml/2006/main" count="303" uniqueCount="133">
  <si>
    <t>支給日</t>
    <rPh sb="0" eb="2">
      <t>シキュウ</t>
    </rPh>
    <rPh sb="2" eb="3">
      <t>ビ</t>
    </rPh>
    <phoneticPr fontId="7"/>
  </si>
  <si>
    <t>氏名</t>
    <rPh sb="0" eb="2">
      <t>シメイ</t>
    </rPh>
    <phoneticPr fontId="7"/>
  </si>
  <si>
    <t>地位</t>
    <rPh sb="0" eb="2">
      <t>チイ</t>
    </rPh>
    <phoneticPr fontId="7"/>
  </si>
  <si>
    <t>標準報酬月額</t>
    <rPh sb="0" eb="2">
      <t>ヒョウジュン</t>
    </rPh>
    <rPh sb="2" eb="4">
      <t>ホウシュウ</t>
    </rPh>
    <rPh sb="4" eb="6">
      <t>ゲツガク</t>
    </rPh>
    <phoneticPr fontId="7"/>
  </si>
  <si>
    <t>扶養家族数</t>
    <rPh sb="0" eb="2">
      <t>フヨウ</t>
    </rPh>
    <rPh sb="2" eb="4">
      <t>カゾク</t>
    </rPh>
    <rPh sb="4" eb="5">
      <t>スウ</t>
    </rPh>
    <phoneticPr fontId="7"/>
  </si>
  <si>
    <t>支給額</t>
    <rPh sb="0" eb="3">
      <t>シキュウガク</t>
    </rPh>
    <phoneticPr fontId="7"/>
  </si>
  <si>
    <t>控除額</t>
    <rPh sb="0" eb="2">
      <t>コウジョ</t>
    </rPh>
    <rPh sb="2" eb="3">
      <t>ガク</t>
    </rPh>
    <phoneticPr fontId="7"/>
  </si>
  <si>
    <t>要振込額</t>
    <rPh sb="0" eb="1">
      <t>ヨウ</t>
    </rPh>
    <rPh sb="1" eb="3">
      <t>フリコミ</t>
    </rPh>
    <rPh sb="3" eb="4">
      <t>ガク</t>
    </rPh>
    <phoneticPr fontId="7"/>
  </si>
  <si>
    <t>基本給</t>
    <rPh sb="0" eb="3">
      <t>キホンキュウ</t>
    </rPh>
    <phoneticPr fontId="7"/>
  </si>
  <si>
    <t>合計</t>
    <rPh sb="0" eb="2">
      <t>ゴウケイ</t>
    </rPh>
    <phoneticPr fontId="7"/>
  </si>
  <si>
    <t>源泉所得税</t>
    <rPh sb="0" eb="2">
      <t>ゲンセン</t>
    </rPh>
    <rPh sb="2" eb="5">
      <t>ショトクゼイ</t>
    </rPh>
    <phoneticPr fontId="9"/>
  </si>
  <si>
    <t>健保</t>
    <rPh sb="0" eb="2">
      <t>ケンポ</t>
    </rPh>
    <phoneticPr fontId="7"/>
  </si>
  <si>
    <t>年金</t>
    <rPh sb="0" eb="2">
      <t>ネンキン</t>
    </rPh>
    <phoneticPr fontId="7"/>
  </si>
  <si>
    <t>雇用保険</t>
    <rPh sb="0" eb="2">
      <t>コヨウ</t>
    </rPh>
    <rPh sb="2" eb="4">
      <t>ホケン</t>
    </rPh>
    <phoneticPr fontId="7"/>
  </si>
  <si>
    <t xml:space="preserve">   その月の社会保</t>
  </si>
  <si>
    <t>甲</t>
  </si>
  <si>
    <t>　</t>
  </si>
  <si>
    <t>扶        養        親        族        等        の        数</t>
  </si>
  <si>
    <t>乙</t>
  </si>
  <si>
    <t>0  人</t>
  </si>
  <si>
    <t>1  人</t>
  </si>
  <si>
    <t>2  人</t>
  </si>
  <si>
    <t>3  人</t>
  </si>
  <si>
    <t>4  人</t>
  </si>
  <si>
    <t>5  人</t>
  </si>
  <si>
    <t>6  人</t>
  </si>
  <si>
    <t>7  人</t>
  </si>
  <si>
    <t>以  上</t>
  </si>
  <si>
    <t>未  満</t>
  </si>
  <si>
    <t>税                                            額</t>
  </si>
  <si>
    <t>税  額</t>
  </si>
  <si>
    <t>円</t>
  </si>
  <si>
    <t>円未満</t>
  </si>
  <si>
    <t>等級</t>
  </si>
  <si>
    <t>折半額</t>
  </si>
  <si>
    <t>円以上</t>
  </si>
  <si>
    <t>社会保険料
控除後</t>
    <rPh sb="0" eb="2">
      <t>シャカイ</t>
    </rPh>
    <rPh sb="2" eb="4">
      <t>ホケン</t>
    </rPh>
    <rPh sb="4" eb="5">
      <t>リョウ</t>
    </rPh>
    <rPh sb="6" eb="8">
      <t>コウジョ</t>
    </rPh>
    <rPh sb="8" eb="9">
      <t>ゴ</t>
    </rPh>
    <phoneticPr fontId="7"/>
  </si>
  <si>
    <t>年齢</t>
    <rPh sb="0" eb="2">
      <t>ネンレイ</t>
    </rPh>
    <phoneticPr fontId="7"/>
  </si>
  <si>
    <t>社員コード</t>
    <rPh sb="0" eb="2">
      <t>シャイン</t>
    </rPh>
    <phoneticPr fontId="6"/>
  </si>
  <si>
    <t>社保</t>
    <rPh sb="0" eb="2">
      <t>シャホ</t>
    </rPh>
    <phoneticPr fontId="7"/>
  </si>
  <si>
    <t>甲/乙</t>
    <rPh sb="0" eb="1">
      <t>コウ</t>
    </rPh>
    <rPh sb="2" eb="3">
      <t>オツ</t>
    </rPh>
    <phoneticPr fontId="7"/>
  </si>
  <si>
    <t>住民税</t>
    <rPh sb="0" eb="3">
      <t>ジュウミンゼイ</t>
    </rPh>
    <phoneticPr fontId="6"/>
  </si>
  <si>
    <t xml:space="preserve">   険料等控除後の</t>
    <rPh sb="5" eb="6">
      <t>トウ</t>
    </rPh>
    <phoneticPr fontId="7"/>
  </si>
  <si>
    <t xml:space="preserve">   給与等の金額</t>
    <rPh sb="3" eb="5">
      <t>キュウヨ</t>
    </rPh>
    <phoneticPr fontId="7"/>
  </si>
  <si>
    <t>（単位：円）</t>
  </si>
  <si>
    <t>全国健康保険協会管掌健康保険料</t>
    <rPh sb="0" eb="2">
      <t>ゼンコク</t>
    </rPh>
    <rPh sb="2" eb="4">
      <t>ケンコウ</t>
    </rPh>
    <rPh sb="4" eb="6">
      <t>ホケン</t>
    </rPh>
    <rPh sb="6" eb="8">
      <t>キョウカイ</t>
    </rPh>
    <rPh sb="8" eb="10">
      <t>カンショウ</t>
    </rPh>
    <phoneticPr fontId="7"/>
  </si>
  <si>
    <t>厚生年金保険料（厚生年金基金加入員を除く）</t>
    <rPh sb="0" eb="2">
      <t>コウセイ</t>
    </rPh>
    <rPh sb="2" eb="4">
      <t>ネンキン</t>
    </rPh>
    <rPh sb="4" eb="7">
      <t>ホケンリョウ</t>
    </rPh>
    <rPh sb="8" eb="14">
      <t>コウセイネンキンキキン</t>
    </rPh>
    <rPh sb="14" eb="16">
      <t>カニュウ</t>
    </rPh>
    <rPh sb="16" eb="17">
      <t>イン</t>
    </rPh>
    <rPh sb="18" eb="19">
      <t>ノゾ</t>
    </rPh>
    <phoneticPr fontId="7"/>
  </si>
  <si>
    <t>坑内員・船員</t>
    <rPh sb="0" eb="2">
      <t>コウナイ</t>
    </rPh>
    <rPh sb="2" eb="3">
      <t>イン</t>
    </rPh>
    <rPh sb="4" eb="6">
      <t>センイン</t>
    </rPh>
    <phoneticPr fontId="7"/>
  </si>
  <si>
    <t>全　額</t>
    <rPh sb="0" eb="1">
      <t>ゼン</t>
    </rPh>
    <rPh sb="2" eb="3">
      <t>ガク</t>
    </rPh>
    <phoneticPr fontId="7"/>
  </si>
  <si>
    <t>折半額</t>
    <rPh sb="0" eb="2">
      <t>セッパン</t>
    </rPh>
    <rPh sb="2" eb="3">
      <t>ガク</t>
    </rPh>
    <phoneticPr fontId="7"/>
  </si>
  <si>
    <t>小計</t>
    <rPh sb="0" eb="2">
      <t>ショウケイ</t>
    </rPh>
    <phoneticPr fontId="6"/>
  </si>
  <si>
    <t>通勤手当</t>
    <rPh sb="0" eb="2">
      <t>ツウキン</t>
    </rPh>
    <rPh sb="2" eb="4">
      <t>テアテ</t>
    </rPh>
    <phoneticPr fontId="7"/>
  </si>
  <si>
    <t>自動計算</t>
    <rPh sb="0" eb="2">
      <t>ジドウ</t>
    </rPh>
    <rPh sb="2" eb="4">
      <t>ケイサン</t>
    </rPh>
    <phoneticPr fontId="6"/>
  </si>
  <si>
    <t>入力</t>
    <rPh sb="0" eb="2">
      <t>ニュウリョク</t>
    </rPh>
    <phoneticPr fontId="6"/>
  </si>
  <si>
    <t>選択</t>
    <rPh sb="0" eb="2">
      <t>センタク</t>
    </rPh>
    <phoneticPr fontId="6"/>
  </si>
  <si>
    <t>○○手当</t>
    <rPh sb="2" eb="4">
      <t>テアテ</t>
    </rPh>
    <phoneticPr fontId="6"/>
  </si>
  <si>
    <t>健保</t>
    <rPh sb="0" eb="2">
      <t>ケンポ</t>
    </rPh>
    <phoneticPr fontId="6"/>
  </si>
  <si>
    <t>年金</t>
    <rPh sb="0" eb="2">
      <t>ネンキン</t>
    </rPh>
    <phoneticPr fontId="6"/>
  </si>
  <si>
    <t>伊藤温志</t>
    <rPh sb="0" eb="2">
      <t>イトウ</t>
    </rPh>
    <rPh sb="2" eb="3">
      <t>アツシ</t>
    </rPh>
    <rPh sb="3" eb="4">
      <t>シ</t>
    </rPh>
    <phoneticPr fontId="6"/>
  </si>
  <si>
    <t>佐藤知紗</t>
    <rPh sb="0" eb="2">
      <t>サトウ</t>
    </rPh>
    <rPh sb="2" eb="3">
      <t>チ</t>
    </rPh>
    <rPh sb="3" eb="4">
      <t>サ</t>
    </rPh>
    <phoneticPr fontId="6"/>
  </si>
  <si>
    <t>加入</t>
  </si>
  <si>
    <t>庄司秀樹</t>
    <rPh sb="0" eb="2">
      <t>ショウジ</t>
    </rPh>
    <rPh sb="2" eb="4">
      <t>ヒデキ</t>
    </rPh>
    <phoneticPr fontId="6"/>
  </si>
  <si>
    <t>森なつき</t>
    <rPh sb="0" eb="1">
      <t>モリ</t>
    </rPh>
    <phoneticPr fontId="6"/>
  </si>
  <si>
    <t>バイト</t>
  </si>
  <si>
    <t>齋田麻美</t>
    <rPh sb="0" eb="2">
      <t>サイダ</t>
    </rPh>
    <rPh sb="2" eb="4">
      <t>マミ</t>
    </rPh>
    <phoneticPr fontId="6"/>
  </si>
  <si>
    <t>役員</t>
  </si>
  <si>
    <t>社員</t>
  </si>
  <si>
    <t>介護</t>
    <rPh sb="0" eb="2">
      <t>カイゴ</t>
    </rPh>
    <phoneticPr fontId="6"/>
  </si>
  <si>
    <t>標　準　報　酬</t>
  </si>
  <si>
    <t>報　酬　月　額</t>
  </si>
  <si>
    <t>介護保険第２号被保険者
に該当しない場合</t>
  </si>
  <si>
    <t>介護保険第２号被保険者
に該当する場合</t>
  </si>
  <si>
    <t>一般の被保険者</t>
    <rPh sb="0" eb="2">
      <t>イッパン</t>
    </rPh>
    <rPh sb="3" eb="7">
      <t>ヒホケンシャ</t>
    </rPh>
    <phoneticPr fontId="7"/>
  </si>
  <si>
    <t>月　額</t>
  </si>
  <si>
    <t>日　額</t>
  </si>
  <si>
    <t>全　額</t>
  </si>
  <si>
    <t/>
  </si>
  <si>
    <t>◆等級欄の（　）内の数字は、厚生年金保険の標準報酬月額等級です。</t>
  </si>
  <si>
    <t>　5(1)等級の「報酬月額」欄は、厚生年金保険の場合「101,000円未満」と読み替えてください。</t>
    <rPh sb="9" eb="11">
      <t>ホウシュウ</t>
    </rPh>
    <phoneticPr fontId="7"/>
  </si>
  <si>
    <t>　34(30)等級の「報酬月額」欄は、厚生年金保険の場合「605,000円以上」と読み替えてください。</t>
    <rPh sb="11" eb="13">
      <t>ホウシュウ</t>
    </rPh>
    <phoneticPr fontId="7"/>
  </si>
  <si>
    <t>　○被保険者負担分（表の折半額の欄）に円未満の端数がある場合</t>
    <rPh sb="16" eb="17">
      <t>ラン</t>
    </rPh>
    <phoneticPr fontId="7"/>
  </si>
  <si>
    <t>　　　①事業主が、給与から被保険者負担分を控除する場合、被保険者負担分の端数が50銭以下の場合は切り捨て、50銭を超える場合は切り上げて1円となります。</t>
  </si>
  <si>
    <t>　　　②被保険者が、被保険者負担分を事業主へ現金で支払う場合、被保険者負担分の端数が50銭未満の場合は切り捨て、50銭以上の場合は切り上げて1円となります。</t>
  </si>
  <si>
    <t>　　　（注）①、②にかかわらず、事業主と被保険者の間で特約がある場合には、特約に基づき端数処理をすることができます。</t>
  </si>
  <si>
    <t>　○納入告知書の保険料額</t>
    <rPh sb="2" eb="4">
      <t>ノウニュウ</t>
    </rPh>
    <rPh sb="4" eb="7">
      <t>コクチショ</t>
    </rPh>
    <rPh sb="8" eb="11">
      <t>ホケンリョウ</t>
    </rPh>
    <rPh sb="11" eb="12">
      <t>ガク</t>
    </rPh>
    <phoneticPr fontId="7"/>
  </si>
  <si>
    <t>　　　 納入告知書の保険料額は、被保険者個々の保険料額を合算した金額になります。ただし、合算した金額に円未満の端数がある場合は、その端数を切り捨てた額となります。</t>
    <rPh sb="4" eb="6">
      <t>ノウニュウ</t>
    </rPh>
    <rPh sb="6" eb="8">
      <t>コクチ</t>
    </rPh>
    <rPh sb="8" eb="9">
      <t>ショ</t>
    </rPh>
    <rPh sb="10" eb="13">
      <t>ホケンリョウ</t>
    </rPh>
    <rPh sb="13" eb="14">
      <t>ガク</t>
    </rPh>
    <rPh sb="44" eb="46">
      <t>ガッサン</t>
    </rPh>
    <rPh sb="48" eb="49">
      <t>キン</t>
    </rPh>
    <rPh sb="49" eb="50">
      <t>ガク</t>
    </rPh>
    <phoneticPr fontId="7"/>
  </si>
  <si>
    <t>　○賞与に係る保険料</t>
    <rPh sb="2" eb="4">
      <t>ショウヨ</t>
    </rPh>
    <rPh sb="5" eb="6">
      <t>カカ</t>
    </rPh>
    <rPh sb="7" eb="10">
      <t>ホケンリョウ</t>
    </rPh>
    <phoneticPr fontId="7"/>
  </si>
  <si>
    <t>　　　 賞与に係る保険料額は、賞与額から1,000円未満の端数を切り捨てた額（標準賞与額）に、保険料率を乗じた額となります。</t>
    <rPh sb="4" eb="6">
      <t>ショウヨ</t>
    </rPh>
    <rPh sb="7" eb="8">
      <t>カカ</t>
    </rPh>
    <rPh sb="9" eb="12">
      <t>ホケンリョウ</t>
    </rPh>
    <rPh sb="12" eb="13">
      <t>ガク</t>
    </rPh>
    <rPh sb="15" eb="17">
      <t>ショウヨ</t>
    </rPh>
    <rPh sb="17" eb="18">
      <t>ガク</t>
    </rPh>
    <rPh sb="25" eb="26">
      <t>エン</t>
    </rPh>
    <rPh sb="26" eb="28">
      <t>ミマン</t>
    </rPh>
    <rPh sb="29" eb="31">
      <t>ハスウ</t>
    </rPh>
    <rPh sb="32" eb="33">
      <t>キ</t>
    </rPh>
    <rPh sb="34" eb="35">
      <t>ス</t>
    </rPh>
    <rPh sb="37" eb="38">
      <t>ガク</t>
    </rPh>
    <rPh sb="39" eb="41">
      <t>ヒョウジュン</t>
    </rPh>
    <rPh sb="41" eb="43">
      <t>ショウヨ</t>
    </rPh>
    <rPh sb="43" eb="44">
      <t>ガク</t>
    </rPh>
    <rPh sb="47" eb="49">
      <t>ホケン</t>
    </rPh>
    <rPh sb="49" eb="50">
      <t>リョウ</t>
    </rPh>
    <rPh sb="50" eb="51">
      <t>リツ</t>
    </rPh>
    <rPh sb="52" eb="53">
      <t>ジョウ</t>
    </rPh>
    <rPh sb="55" eb="56">
      <t>ガク</t>
    </rPh>
    <phoneticPr fontId="7"/>
  </si>
  <si>
    <t>　　　 拠出金の額は、被保険者個々の厚生年金保険の標準報酬月額および標準賞与額に、拠出金率（0.15%）を乗じて得た額の総額となります。</t>
  </si>
  <si>
    <t xml:space="preserve"> 　　　また、標準賞与額の上限は、健康保険は年間540万円（毎年4月1日から翌年3月31日までの累計額）となり、厚生年金保険と子ども・子育て拠出金の場合は月間150万円となります。</t>
  </si>
  <si>
    <t>　○子ども・子育て拠出金</t>
  </si>
  <si>
    <t>　　　 厚生年金保険の被保険者を使用する事業主の方は、児童手当の支給に要する費用等の一部として子ども・子育て拠出金を全額負担いただくことになります。この子ども・子育て</t>
    <rPh sb="42" eb="44">
      <t>イチブ</t>
    </rPh>
    <phoneticPr fontId="7"/>
  </si>
  <si>
    <t>（東京都）</t>
    <rPh sb="1" eb="3">
      <t>トウキョウ</t>
    </rPh>
    <rPh sb="3" eb="4">
      <t>ト</t>
    </rPh>
    <phoneticPr fontId="7"/>
  </si>
  <si>
    <t>4（1）</t>
    <phoneticPr fontId="38"/>
  </si>
  <si>
    <t>5（2）</t>
    <phoneticPr fontId="38"/>
  </si>
  <si>
    <t>6（3）</t>
    <phoneticPr fontId="38"/>
  </si>
  <si>
    <t>7（4）</t>
    <phoneticPr fontId="38"/>
  </si>
  <si>
    <t>8（5）</t>
    <phoneticPr fontId="38"/>
  </si>
  <si>
    <t>9（6）</t>
    <phoneticPr fontId="38"/>
  </si>
  <si>
    <t>10（7）</t>
    <phoneticPr fontId="38"/>
  </si>
  <si>
    <t>11（8）</t>
    <phoneticPr fontId="38"/>
  </si>
  <si>
    <t>12（9）</t>
    <phoneticPr fontId="38"/>
  </si>
  <si>
    <t>13（10）</t>
    <phoneticPr fontId="38"/>
  </si>
  <si>
    <t>14（11）</t>
    <phoneticPr fontId="38"/>
  </si>
  <si>
    <t>15（12）</t>
    <phoneticPr fontId="38"/>
  </si>
  <si>
    <t>16（13）</t>
    <phoneticPr fontId="38"/>
  </si>
  <si>
    <t>17（14）</t>
    <phoneticPr fontId="38"/>
  </si>
  <si>
    <t>18（15）</t>
    <phoneticPr fontId="38"/>
  </si>
  <si>
    <t>19（16）</t>
    <phoneticPr fontId="38"/>
  </si>
  <si>
    <t>20（17）</t>
    <phoneticPr fontId="38"/>
  </si>
  <si>
    <t>21（18）</t>
    <phoneticPr fontId="38"/>
  </si>
  <si>
    <t>22（19）</t>
    <phoneticPr fontId="38"/>
  </si>
  <si>
    <t>23（20）</t>
    <phoneticPr fontId="38"/>
  </si>
  <si>
    <t>24（21）</t>
    <phoneticPr fontId="38"/>
  </si>
  <si>
    <t>25（22）</t>
    <phoneticPr fontId="38"/>
  </si>
  <si>
    <t>26（23）</t>
    <phoneticPr fontId="38"/>
  </si>
  <si>
    <t>27（24）</t>
    <phoneticPr fontId="38"/>
  </si>
  <si>
    <t>28（25）</t>
    <phoneticPr fontId="38"/>
  </si>
  <si>
    <t>29（26）</t>
    <phoneticPr fontId="38"/>
  </si>
  <si>
    <t>30（27）</t>
    <phoneticPr fontId="38"/>
  </si>
  <si>
    <t>31（28）</t>
    <phoneticPr fontId="38"/>
  </si>
  <si>
    <t>32（29）</t>
    <phoneticPr fontId="38"/>
  </si>
  <si>
    <t>33（30）</t>
    <phoneticPr fontId="38"/>
  </si>
  <si>
    <t>34（31）</t>
    <phoneticPr fontId="38"/>
  </si>
  <si>
    <t>～</t>
    <phoneticPr fontId="38"/>
  </si>
  <si>
    <t>◆平成30年度における全国健康保険協会の任意継続被保険者について、標準報酬月額の上限は、300,000円です。</t>
    <rPh sb="1" eb="3">
      <t>ヘイセイ</t>
    </rPh>
    <rPh sb="5" eb="7">
      <t>ネンド</t>
    </rPh>
    <rPh sb="11" eb="13">
      <t>ゼンコク</t>
    </rPh>
    <rPh sb="13" eb="15">
      <t>ケンコウ</t>
    </rPh>
    <rPh sb="15" eb="17">
      <t>ホケン</t>
    </rPh>
    <rPh sb="17" eb="19">
      <t>キョウカイ</t>
    </rPh>
    <rPh sb="20" eb="28">
      <t>ニンケイ</t>
    </rPh>
    <rPh sb="33" eb="39">
      <t>ヒョウホ</t>
    </rPh>
    <rPh sb="40" eb="42">
      <t>ジョウゲン</t>
    </rPh>
    <rPh sb="51" eb="52">
      <t>エン</t>
    </rPh>
    <phoneticPr fontId="7"/>
  </si>
  <si>
    <r>
      <t>給与所得の源泉徴収税額表（</t>
    </r>
    <r>
      <rPr>
        <sz val="12"/>
        <color indexed="10"/>
        <rFont val="ＭＳ Ｐゴシック"/>
        <family val="3"/>
        <charset val="128"/>
      </rPr>
      <t>令和２年分</t>
    </r>
    <r>
      <rPr>
        <sz val="12"/>
        <rFont val="ＭＳ Ｐゴシック"/>
        <family val="3"/>
        <charset val="128"/>
      </rPr>
      <t>）</t>
    </r>
    <rPh sb="13" eb="15">
      <t>レイワ</t>
    </rPh>
    <rPh sb="17" eb="18">
      <t>ブン</t>
    </rPh>
    <phoneticPr fontId="7"/>
  </si>
  <si>
    <r>
      <t>月　額　表</t>
    </r>
    <r>
      <rPr>
        <sz val="14"/>
        <rFont val="ＭＳ Ｐゴシック"/>
        <family val="3"/>
        <charset val="128"/>
      </rPr>
      <t>（平成24年３月31日財務省告示第115号別表第一</t>
    </r>
    <r>
      <rPr>
        <sz val="12"/>
        <rFont val="ＭＳ Ｐゴシック"/>
        <family val="3"/>
        <charset val="128"/>
      </rPr>
      <t>（平成31年３月29日財務省告示第97号改正）</t>
    </r>
    <r>
      <rPr>
        <sz val="14"/>
        <rFont val="ＭＳ Ｐゴシック"/>
        <family val="3"/>
        <charset val="128"/>
      </rPr>
      <t>）</t>
    </r>
    <rPh sb="0" eb="1">
      <t>ツキ</t>
    </rPh>
    <rPh sb="2" eb="3">
      <t>ガク</t>
    </rPh>
    <rPh sb="4" eb="5">
      <t>ヒョウ</t>
    </rPh>
    <rPh sb="6" eb="8">
      <t>ヘイセイ</t>
    </rPh>
    <rPh sb="10" eb="11">
      <t>ネン</t>
    </rPh>
    <rPh sb="12" eb="13">
      <t>ガツ</t>
    </rPh>
    <rPh sb="15" eb="16">
      <t>ニチ</t>
    </rPh>
    <rPh sb="16" eb="19">
      <t>ザイムショウ</t>
    </rPh>
    <rPh sb="19" eb="21">
      <t>コクジ</t>
    </rPh>
    <rPh sb="21" eb="22">
      <t>ダイ</t>
    </rPh>
    <rPh sb="25" eb="26">
      <t>ゴウ</t>
    </rPh>
    <rPh sb="26" eb="28">
      <t>ベッピョウ</t>
    </rPh>
    <rPh sb="28" eb="30">
      <t>ダイイチ</t>
    </rPh>
    <rPh sb="31" eb="33">
      <t>ヘイセイ</t>
    </rPh>
    <rPh sb="35" eb="36">
      <t>ネン</t>
    </rPh>
    <rPh sb="37" eb="38">
      <t>ガツ</t>
    </rPh>
    <rPh sb="40" eb="41">
      <t>ニチ</t>
    </rPh>
    <rPh sb="41" eb="44">
      <t>ザイムショウ</t>
    </rPh>
    <rPh sb="44" eb="46">
      <t>コクジ</t>
    </rPh>
    <rPh sb="46" eb="47">
      <t>ダイ</t>
    </rPh>
    <rPh sb="49" eb="50">
      <t>ゴウ</t>
    </rPh>
    <rPh sb="50" eb="52">
      <t>カイセイ</t>
    </rPh>
    <phoneticPr fontId="7"/>
  </si>
  <si>
    <t>その月の社会保険料等控除後の給与等の金額の3.063％に相当する金額</t>
    <phoneticPr fontId="7"/>
  </si>
  <si>
    <t>加入</t>
    <phoneticPr fontId="6"/>
  </si>
  <si>
    <t>非加入</t>
  </si>
  <si>
    <t>令和2年3月分（4月納付分）からの健康保険・厚生年金保険の保険料額表</t>
    <rPh sb="0" eb="2">
      <t>レイワ</t>
    </rPh>
    <rPh sb="3" eb="4">
      <t>ネン</t>
    </rPh>
    <rPh sb="5" eb="6">
      <t>ガツ</t>
    </rPh>
    <rPh sb="6" eb="7">
      <t>ブン</t>
    </rPh>
    <rPh sb="9" eb="10">
      <t>ガツ</t>
    </rPh>
    <rPh sb="10" eb="12">
      <t>ノウフ</t>
    </rPh>
    <rPh sb="12" eb="13">
      <t>ブン</t>
    </rPh>
    <rPh sb="17" eb="19">
      <t>ケンコウ</t>
    </rPh>
    <rPh sb="19" eb="21">
      <t>ホケン</t>
    </rPh>
    <rPh sb="22" eb="24">
      <t>コウセイ</t>
    </rPh>
    <rPh sb="24" eb="26">
      <t>ネンキン</t>
    </rPh>
    <rPh sb="26" eb="28">
      <t>ホケン</t>
    </rPh>
    <rPh sb="29" eb="32">
      <t>ホケンリョウ</t>
    </rPh>
    <rPh sb="32" eb="33">
      <t>ガク</t>
    </rPh>
    <rPh sb="33" eb="34">
      <t>ヒョウ</t>
    </rPh>
    <phoneticPr fontId="7"/>
  </si>
  <si>
    <t xml:space="preserve">・健康保険料率：令和2年3月分～　適用　　　・厚生年金保険料率：平成29年9月分～　適用
・介護保険料率：令和2年3月分～　適用 　　  ・子ども・子育て拠出金率：平成31年4月分～　適用
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</si>
</sst>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.0;[Red]\-#,##0.0"/>
    <numFmt numFmtId="177" formatCode="0.000%\※"/>
    <numFmt numFmtId="178" formatCode="###.###&quot;％&quot;"/>
    <numFmt numFmtId="179" formatCode="#,##0.0;[Red]#,##0.0"/>
    <numFmt numFmtId="180" formatCode="&quot;◆介護保険第2号被保険者は、40歳以上65歳未満の方であり、健康保険料率(&quot;0.00%&quot;)に介護保険料率(1.58%）が加わります。&quot;"/>
  </numFmts>
  <fonts count="44">
    <font>
      <sz val="11"/>
      <color theme="1"/>
      <name val="ＭＳ 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ゴシック"/>
      <family val="3"/>
      <charset val="128"/>
    </font>
    <font>
      <sz val="6"/>
      <name val="ＭＳ Ｐゴシック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1"/>
      <name val="ＭＳ 明朝"/>
      <family val="1"/>
      <charset val="128"/>
    </font>
    <font>
      <sz val="8"/>
      <name val="ＭＳ 明朝"/>
      <family val="1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12"/>
      <color theme="1"/>
      <name val="ＭＳ ゴシック"/>
      <family val="3"/>
      <charset val="128"/>
    </font>
    <font>
      <sz val="16"/>
      <color theme="1"/>
      <name val="ＭＳ Ｐゴシック"/>
      <family val="3"/>
      <charset val="128"/>
    </font>
    <font>
      <sz val="14"/>
      <color theme="1"/>
      <name val="ＭＳ ゴシック"/>
      <family val="3"/>
      <charset val="128"/>
    </font>
    <font>
      <b/>
      <sz val="14"/>
      <color theme="1"/>
      <name val="ＭＳ ゴシック"/>
      <family val="3"/>
      <charset val="128"/>
    </font>
    <font>
      <sz val="12"/>
      <color theme="1"/>
      <name val="ＭＳ ゴシック"/>
      <family val="3"/>
      <charset val="128"/>
    </font>
    <font>
      <sz val="11"/>
      <color theme="1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10"/>
      <color theme="1"/>
      <name val="ＭＳ ゴシック"/>
      <family val="3"/>
      <charset val="128"/>
    </font>
    <font>
      <sz val="9"/>
      <color theme="1"/>
      <name val="HGPｺﾞｼｯｸM"/>
      <family val="3"/>
      <charset val="128"/>
    </font>
    <font>
      <sz val="11"/>
      <color theme="1"/>
      <name val="HGPｺﾞｼｯｸM"/>
      <family val="3"/>
      <charset val="128"/>
    </font>
    <font>
      <u/>
      <sz val="10"/>
      <color theme="1"/>
      <name val="ＭＳ 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8"/>
      <color theme="1"/>
      <name val="ＭＳ ゴシック"/>
      <family val="3"/>
      <charset val="128"/>
    </font>
    <font>
      <sz val="18"/>
      <color theme="1"/>
      <name val="ＭＳ Ｐゴシック"/>
      <family val="3"/>
      <charset val="128"/>
    </font>
    <font>
      <b/>
      <sz val="11"/>
      <color theme="1"/>
      <name val="ＭＳ 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9"/>
      <color indexed="27"/>
      <name val="明朝"/>
      <family val="1"/>
      <charset val="128"/>
    </font>
    <font>
      <sz val="6"/>
      <name val="ＭＳ Ｐゴシック"/>
      <family val="2"/>
      <charset val="128"/>
      <scheme val="minor"/>
    </font>
    <font>
      <sz val="1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4"/>
      <name val="ＭＳ Ｐゴシック"/>
      <family val="3"/>
      <charset val="128"/>
    </font>
    <font>
      <sz val="10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BEE8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mediumGray">
        <fgColor indexed="8"/>
        <bgColor indexed="37"/>
      </patternFill>
    </fill>
    <fill>
      <patternFill patternType="solid">
        <fgColor rgb="FFCCFFCC"/>
        <bgColor indexed="64"/>
      </patternFill>
    </fill>
  </fills>
  <borders count="1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8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8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8"/>
      </left>
      <right/>
      <top/>
      <bottom style="hair">
        <color indexed="8"/>
      </bottom>
      <diagonal/>
    </border>
    <border>
      <left/>
      <right style="thin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 style="hair">
        <color indexed="64"/>
      </right>
      <top/>
      <bottom style="hair">
        <color indexed="8"/>
      </bottom>
      <diagonal/>
    </border>
    <border>
      <left/>
      <right style="thin">
        <color indexed="64"/>
      </right>
      <top/>
      <bottom style="hair">
        <color indexed="8"/>
      </bottom>
      <diagonal/>
    </border>
    <border>
      <left/>
      <right style="double">
        <color indexed="64"/>
      </right>
      <top/>
      <bottom style="hair">
        <color indexed="8"/>
      </bottom>
      <diagonal/>
    </border>
    <border>
      <left/>
      <right style="thin">
        <color indexed="8"/>
      </right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 style="double">
        <color indexed="8"/>
      </right>
      <top style="hair">
        <color indexed="8"/>
      </top>
      <bottom style="hair">
        <color indexed="8"/>
      </bottom>
      <diagonal/>
    </border>
    <border>
      <left/>
      <right style="double">
        <color indexed="8"/>
      </right>
      <top/>
      <bottom style="hair">
        <color indexed="8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double">
        <color indexed="8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8"/>
      </right>
      <top style="hair">
        <color indexed="8"/>
      </top>
      <bottom/>
      <diagonal/>
    </border>
    <border>
      <left/>
      <right/>
      <top style="hair">
        <color indexed="8"/>
      </top>
      <bottom/>
      <diagonal/>
    </border>
    <border>
      <left/>
      <right style="double">
        <color indexed="64"/>
      </right>
      <top/>
      <bottom style="hair">
        <color indexed="64"/>
      </bottom>
      <diagonal/>
    </border>
    <border>
      <left/>
      <right style="double">
        <color indexed="8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8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8"/>
      </right>
      <top style="thin">
        <color indexed="8"/>
      </top>
      <bottom/>
      <diagonal/>
    </border>
    <border>
      <left style="double">
        <color indexed="64"/>
      </left>
      <right style="thin">
        <color indexed="8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46">
    <xf numFmtId="0" fontId="0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38" fontId="18" fillId="0" borderId="0" applyFont="0" applyFill="0" applyBorder="0" applyAlignment="0" applyProtection="0">
      <alignment vertical="center"/>
    </xf>
    <xf numFmtId="38" fontId="13" fillId="0" borderId="0" applyFont="0" applyFill="0" applyBorder="0" applyAlignment="0" applyProtection="0"/>
    <xf numFmtId="0" fontId="19" fillId="0" borderId="0">
      <alignment vertical="center"/>
    </xf>
    <xf numFmtId="0" fontId="13" fillId="0" borderId="0"/>
    <xf numFmtId="9" fontId="18" fillId="0" borderId="0" applyFont="0" applyFill="0" applyBorder="0" applyAlignment="0" applyProtection="0">
      <alignment vertical="center"/>
    </xf>
    <xf numFmtId="0" fontId="13" fillId="0" borderId="0"/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18" fillId="0" borderId="0">
      <alignment vertical="center"/>
    </xf>
    <xf numFmtId="38" fontId="18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0" fontId="3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4" fontId="37" fillId="9" borderId="0" applyNumberFormat="0" applyBorder="0" applyAlignment="0" applyProtection="0">
      <alignment horizontal="left"/>
    </xf>
    <xf numFmtId="38" fontId="13" fillId="0" borderId="0" applyFont="0" applyFill="0" applyBorder="0" applyAlignment="0" applyProtection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48">
    <xf numFmtId="0" fontId="0" fillId="0" borderId="0" xfId="0">
      <alignment vertical="center"/>
    </xf>
    <xf numFmtId="38" fontId="14" fillId="0" borderId="0" xfId="4" applyFont="1" applyAlignment="1">
      <alignment vertical="center"/>
    </xf>
    <xf numFmtId="38" fontId="15" fillId="0" borderId="0" xfId="4" applyFont="1" applyAlignment="1">
      <alignment vertical="center"/>
    </xf>
    <xf numFmtId="38" fontId="15" fillId="0" borderId="0" xfId="4" applyFont="1" applyFill="1" applyAlignment="1">
      <alignment vertical="center"/>
    </xf>
    <xf numFmtId="38" fontId="15" fillId="0" borderId="0" xfId="4" applyFont="1" applyBorder="1" applyAlignment="1">
      <alignment vertical="center"/>
    </xf>
    <xf numFmtId="38" fontId="15" fillId="0" borderId="0" xfId="4" applyFont="1" applyAlignment="1">
      <alignment horizontal="right" vertical="center"/>
    </xf>
    <xf numFmtId="176" fontId="15" fillId="0" borderId="0" xfId="4" applyNumberFormat="1" applyFont="1" applyAlignment="1">
      <alignment vertical="center"/>
    </xf>
    <xf numFmtId="38" fontId="14" fillId="0" borderId="0" xfId="4" applyFont="1" applyAlignment="1">
      <alignment horizontal="right" vertical="center"/>
    </xf>
    <xf numFmtId="176" fontId="14" fillId="0" borderId="0" xfId="4" applyNumberFormat="1" applyFont="1" applyAlignment="1">
      <alignment vertical="center"/>
    </xf>
    <xf numFmtId="0" fontId="8" fillId="2" borderId="0" xfId="0" applyFont="1" applyFill="1" applyProtection="1">
      <alignment vertical="center"/>
      <protection locked="0"/>
    </xf>
    <xf numFmtId="0" fontId="16" fillId="2" borderId="0" xfId="0" applyFont="1" applyFill="1" applyProtection="1">
      <alignment vertical="center"/>
      <protection locked="0"/>
    </xf>
    <xf numFmtId="0" fontId="16" fillId="2" borderId="0" xfId="0" applyFont="1" applyFill="1" applyAlignment="1" applyProtection="1">
      <alignment horizontal="center" vertical="center"/>
      <protection locked="0"/>
    </xf>
    <xf numFmtId="0" fontId="8" fillId="2" borderId="0" xfId="0" applyFont="1" applyFill="1" applyBorder="1" applyAlignment="1" applyProtection="1">
      <alignment horizontal="center" vertical="center"/>
    </xf>
    <xf numFmtId="38" fontId="8" fillId="3" borderId="57" xfId="3" applyFont="1" applyFill="1" applyBorder="1" applyAlignment="1" applyProtection="1">
      <alignment horizontal="center" vertical="center"/>
    </xf>
    <xf numFmtId="38" fontId="8" fillId="2" borderId="0" xfId="0" applyNumberFormat="1" applyFont="1" applyFill="1" applyBorder="1" applyAlignment="1" applyProtection="1">
      <alignment horizontal="left" vertical="center"/>
    </xf>
    <xf numFmtId="9" fontId="16" fillId="2" borderId="0" xfId="7" applyFont="1" applyFill="1" applyProtection="1">
      <alignment vertical="center"/>
      <protection locked="0"/>
    </xf>
    <xf numFmtId="38" fontId="8" fillId="5" borderId="100" xfId="3" applyFont="1" applyFill="1" applyBorder="1" applyProtection="1">
      <alignment vertical="center"/>
      <protection locked="0"/>
    </xf>
    <xf numFmtId="38" fontId="8" fillId="5" borderId="94" xfId="3" applyFont="1" applyFill="1" applyBorder="1" applyProtection="1">
      <alignment vertical="center"/>
      <protection locked="0"/>
    </xf>
    <xf numFmtId="38" fontId="8" fillId="4" borderId="9" xfId="3" applyFont="1" applyFill="1" applyBorder="1" applyAlignment="1" applyProtection="1">
      <alignment horizontal="right" vertical="center"/>
      <protection hidden="1"/>
    </xf>
    <xf numFmtId="38" fontId="8" fillId="4" borderId="62" xfId="3" applyFont="1" applyFill="1" applyBorder="1" applyAlignment="1" applyProtection="1">
      <alignment horizontal="right" vertical="center"/>
      <protection hidden="1"/>
    </xf>
    <xf numFmtId="38" fontId="8" fillId="4" borderId="103" xfId="0" applyNumberFormat="1" applyFont="1" applyFill="1" applyBorder="1" applyAlignment="1" applyProtection="1">
      <alignment horizontal="right" vertical="center"/>
      <protection hidden="1"/>
    </xf>
    <xf numFmtId="38" fontId="8" fillId="4" borderId="100" xfId="0" applyNumberFormat="1" applyFont="1" applyFill="1" applyBorder="1" applyAlignment="1" applyProtection="1">
      <alignment horizontal="right" vertical="center" wrapText="1"/>
      <protection hidden="1"/>
    </xf>
    <xf numFmtId="38" fontId="8" fillId="4" borderId="94" xfId="0" applyNumberFormat="1" applyFont="1" applyFill="1" applyBorder="1" applyAlignment="1" applyProtection="1">
      <alignment horizontal="right" vertical="center" wrapText="1"/>
      <protection hidden="1"/>
    </xf>
    <xf numFmtId="38" fontId="8" fillId="3" borderId="57" xfId="3" applyFont="1" applyFill="1" applyBorder="1" applyAlignment="1" applyProtection="1">
      <alignment horizontal="center" vertical="center"/>
      <protection locked="0"/>
    </xf>
    <xf numFmtId="0" fontId="8" fillId="3" borderId="94" xfId="0" applyFont="1" applyFill="1" applyBorder="1" applyAlignment="1" applyProtection="1">
      <alignment horizontal="center" vertical="center"/>
    </xf>
    <xf numFmtId="0" fontId="8" fillId="5" borderId="11" xfId="0" applyFont="1" applyFill="1" applyBorder="1" applyProtection="1">
      <alignment vertical="center"/>
      <protection hidden="1"/>
    </xf>
    <xf numFmtId="0" fontId="8" fillId="5" borderId="61" xfId="0" applyFont="1" applyFill="1" applyBorder="1" applyProtection="1">
      <alignment vertical="center"/>
      <protection hidden="1"/>
    </xf>
    <xf numFmtId="56" fontId="8" fillId="5" borderId="96" xfId="0" applyNumberFormat="1" applyFont="1" applyFill="1" applyBorder="1" applyProtection="1">
      <alignment vertical="center"/>
      <protection locked="0"/>
    </xf>
    <xf numFmtId="56" fontId="8" fillId="5" borderId="97" xfId="0" applyNumberFormat="1" applyFont="1" applyFill="1" applyBorder="1" applyProtection="1">
      <alignment vertical="center"/>
      <protection locked="0"/>
    </xf>
    <xf numFmtId="56" fontId="8" fillId="5" borderId="60" xfId="0" applyNumberFormat="1" applyFont="1" applyFill="1" applyBorder="1" applyProtection="1">
      <alignment vertical="center"/>
      <protection locked="0"/>
    </xf>
    <xf numFmtId="0" fontId="8" fillId="5" borderId="59" xfId="3" applyNumberFormat="1" applyFont="1" applyFill="1" applyBorder="1" applyAlignment="1" applyProtection="1">
      <alignment horizontal="right" vertical="center"/>
      <protection locked="0"/>
    </xf>
    <xf numFmtId="0" fontId="8" fillId="5" borderId="59" xfId="7" applyNumberFormat="1" applyFont="1" applyFill="1" applyBorder="1" applyAlignment="1" applyProtection="1">
      <alignment horizontal="right" vertical="center"/>
      <protection locked="0"/>
    </xf>
    <xf numFmtId="38" fontId="8" fillId="4" borderId="59" xfId="3" applyNumberFormat="1" applyFont="1" applyFill="1" applyBorder="1" applyAlignment="1" applyProtection="1">
      <alignment horizontal="right" vertical="center"/>
      <protection hidden="1"/>
    </xf>
    <xf numFmtId="38" fontId="8" fillId="4" borderId="102" xfId="0" applyNumberFormat="1" applyFont="1" applyFill="1" applyBorder="1" applyAlignment="1" applyProtection="1">
      <alignment horizontal="right" vertical="center" wrapText="1"/>
      <protection hidden="1"/>
    </xf>
    <xf numFmtId="179" fontId="14" fillId="0" borderId="0" xfId="4" applyNumberFormat="1" applyFont="1" applyAlignment="1">
      <alignment vertical="center"/>
    </xf>
    <xf numFmtId="38" fontId="15" fillId="0" borderId="0" xfId="4" applyFont="1" applyAlignment="1">
      <alignment vertical="center"/>
    </xf>
    <xf numFmtId="176" fontId="15" fillId="0" borderId="0" xfId="4" applyNumberFormat="1" applyFont="1" applyFill="1" applyBorder="1" applyAlignment="1">
      <alignment vertical="center" shrinkToFit="1"/>
    </xf>
    <xf numFmtId="179" fontId="15" fillId="0" borderId="0" xfId="4" applyNumberFormat="1" applyFont="1" applyAlignment="1">
      <alignment vertical="center"/>
    </xf>
    <xf numFmtId="0" fontId="13" fillId="0" borderId="0" xfId="6"/>
    <xf numFmtId="38" fontId="21" fillId="0" borderId="0" xfId="4" applyFont="1" applyFill="1" applyBorder="1" applyAlignment="1">
      <alignment vertical="center" wrapText="1"/>
    </xf>
    <xf numFmtId="0" fontId="22" fillId="0" borderId="0" xfId="6" applyFont="1" applyAlignment="1">
      <alignment horizontal="center" vertical="top" wrapText="1"/>
    </xf>
    <xf numFmtId="38" fontId="23" fillId="0" borderId="0" xfId="4" applyFont="1" applyAlignment="1">
      <alignment vertical="center"/>
    </xf>
    <xf numFmtId="38" fontId="24" fillId="0" borderId="0" xfId="4" applyFont="1" applyFill="1" applyBorder="1" applyAlignment="1">
      <alignment horizontal="center" vertical="center" wrapText="1"/>
    </xf>
    <xf numFmtId="38" fontId="25" fillId="0" borderId="0" xfId="4" applyFont="1" applyFill="1" applyBorder="1" applyAlignment="1">
      <alignment horizontal="left" vertical="center" wrapText="1"/>
    </xf>
    <xf numFmtId="0" fontId="26" fillId="0" borderId="0" xfId="6" applyFont="1"/>
    <xf numFmtId="38" fontId="27" fillId="0" borderId="0" xfId="4" applyFont="1" applyAlignment="1">
      <alignment vertical="center"/>
    </xf>
    <xf numFmtId="38" fontId="27" fillId="0" borderId="26" xfId="4" applyFont="1" applyFill="1" applyBorder="1" applyAlignment="1">
      <alignment horizontal="center" vertical="center"/>
    </xf>
    <xf numFmtId="38" fontId="27" fillId="0" borderId="27" xfId="4" applyFont="1" applyFill="1" applyBorder="1" applyAlignment="1">
      <alignment horizontal="right" vertical="center"/>
    </xf>
    <xf numFmtId="38" fontId="27" fillId="0" borderId="28" xfId="4" applyFont="1" applyFill="1" applyBorder="1" applyAlignment="1">
      <alignment horizontal="right" vertical="center"/>
    </xf>
    <xf numFmtId="38" fontId="27" fillId="0" borderId="22" xfId="4" applyFont="1" applyFill="1" applyBorder="1" applyAlignment="1">
      <alignment vertical="center"/>
    </xf>
    <xf numFmtId="38" fontId="27" fillId="0" borderId="0" xfId="4" applyFont="1" applyFill="1" applyBorder="1" applyAlignment="1">
      <alignment horizontal="right" vertical="center"/>
    </xf>
    <xf numFmtId="38" fontId="27" fillId="0" borderId="0" xfId="4" applyFont="1" applyFill="1" applyBorder="1" applyAlignment="1">
      <alignment vertical="center"/>
    </xf>
    <xf numFmtId="38" fontId="27" fillId="0" borderId="20" xfId="4" applyFont="1" applyFill="1" applyBorder="1" applyAlignment="1">
      <alignment horizontal="centerContinuous" vertical="center"/>
    </xf>
    <xf numFmtId="38" fontId="27" fillId="0" borderId="0" xfId="4" applyFont="1" applyFill="1" applyBorder="1" applyAlignment="1">
      <alignment horizontal="centerContinuous" vertical="center"/>
    </xf>
    <xf numFmtId="38" fontId="27" fillId="0" borderId="64" xfId="4" applyFont="1" applyFill="1" applyBorder="1" applyAlignment="1">
      <alignment horizontal="centerContinuous" vertical="center"/>
    </xf>
    <xf numFmtId="38" fontId="27" fillId="0" borderId="22" xfId="4" applyFont="1" applyFill="1" applyBorder="1" applyAlignment="1">
      <alignment horizontal="centerContinuous" vertical="center"/>
    </xf>
    <xf numFmtId="38" fontId="27" fillId="0" borderId="23" xfId="4" applyFont="1" applyFill="1" applyBorder="1" applyAlignment="1">
      <alignment horizontal="centerContinuous" vertical="center"/>
    </xf>
    <xf numFmtId="38" fontId="27" fillId="0" borderId="63" xfId="4" applyFont="1" applyFill="1" applyBorder="1" applyAlignment="1">
      <alignment horizontal="centerContinuous" vertical="center"/>
    </xf>
    <xf numFmtId="38" fontId="27" fillId="0" borderId="24" xfId="4" applyFont="1" applyFill="1" applyBorder="1" applyAlignment="1">
      <alignment horizontal="centerContinuous" vertical="center"/>
    </xf>
    <xf numFmtId="38" fontId="27" fillId="0" borderId="66" xfId="4" applyFont="1" applyFill="1" applyBorder="1" applyAlignment="1">
      <alignment horizontal="centerContinuous" vertical="center"/>
    </xf>
    <xf numFmtId="38" fontId="27" fillId="0" borderId="29" xfId="4" applyFont="1" applyFill="1" applyBorder="1" applyAlignment="1">
      <alignment horizontal="centerContinuous" vertical="center"/>
    </xf>
    <xf numFmtId="38" fontId="27" fillId="0" borderId="7" xfId="4" applyFont="1" applyFill="1" applyBorder="1" applyAlignment="1">
      <alignment horizontal="centerContinuous" vertical="center"/>
    </xf>
    <xf numFmtId="38" fontId="27" fillId="0" borderId="30" xfId="4" applyFont="1" applyFill="1" applyBorder="1" applyAlignment="1">
      <alignment horizontal="centerContinuous" vertical="center"/>
    </xf>
    <xf numFmtId="38" fontId="27" fillId="0" borderId="54" xfId="4" applyFont="1" applyFill="1" applyBorder="1" applyAlignment="1">
      <alignment horizontal="right" vertical="center" shrinkToFit="1"/>
    </xf>
    <xf numFmtId="38" fontId="27" fillId="0" borderId="55" xfId="4" applyFont="1" applyFill="1" applyBorder="1" applyAlignment="1">
      <alignment horizontal="right" vertical="center" shrinkToFit="1"/>
    </xf>
    <xf numFmtId="38" fontId="27" fillId="0" borderId="7" xfId="4" applyFont="1" applyFill="1" applyBorder="1" applyAlignment="1">
      <alignment vertical="center" shrinkToFit="1"/>
    </xf>
    <xf numFmtId="38" fontId="27" fillId="0" borderId="0" xfId="4" applyFont="1" applyFill="1" applyBorder="1" applyAlignment="1">
      <alignment horizontal="right" vertical="center" shrinkToFit="1"/>
    </xf>
    <xf numFmtId="38" fontId="27" fillId="0" borderId="0" xfId="4" applyFont="1" applyFill="1" applyBorder="1" applyAlignment="1">
      <alignment horizontal="center" vertical="center" shrinkToFit="1"/>
    </xf>
    <xf numFmtId="38" fontId="27" fillId="0" borderId="29" xfId="4" applyFont="1" applyFill="1" applyBorder="1" applyAlignment="1">
      <alignment vertical="center" shrinkToFit="1"/>
    </xf>
    <xf numFmtId="38" fontId="27" fillId="0" borderId="30" xfId="4" applyFont="1" applyFill="1" applyBorder="1" applyAlignment="1">
      <alignment horizontal="center" vertical="center" shrinkToFit="1"/>
    </xf>
    <xf numFmtId="38" fontId="27" fillId="6" borderId="31" xfId="4" applyFont="1" applyFill="1" applyBorder="1" applyAlignment="1">
      <alignment horizontal="right" vertical="center" shrinkToFit="1"/>
    </xf>
    <xf numFmtId="38" fontId="27" fillId="6" borderId="32" xfId="4" applyFont="1" applyFill="1" applyBorder="1" applyAlignment="1">
      <alignment horizontal="right" vertical="center" shrinkToFit="1"/>
    </xf>
    <xf numFmtId="38" fontId="27" fillId="6" borderId="33" xfId="4" applyFont="1" applyFill="1" applyBorder="1" applyAlignment="1">
      <alignment vertical="center" shrinkToFit="1"/>
    </xf>
    <xf numFmtId="38" fontId="27" fillId="6" borderId="34" xfId="4" applyFont="1" applyFill="1" applyBorder="1" applyAlignment="1">
      <alignment horizontal="right" vertical="center" shrinkToFit="1"/>
    </xf>
    <xf numFmtId="38" fontId="27" fillId="6" borderId="34" xfId="4" applyFont="1" applyFill="1" applyBorder="1" applyAlignment="1">
      <alignment horizontal="center" vertical="center" shrinkToFit="1"/>
    </xf>
    <xf numFmtId="38" fontId="27" fillId="6" borderId="35" xfId="4" applyFont="1" applyFill="1" applyBorder="1" applyAlignment="1">
      <alignment horizontal="center" vertical="center" shrinkToFit="1"/>
    </xf>
    <xf numFmtId="38" fontId="27" fillId="6" borderId="33" xfId="4" applyFont="1" applyFill="1" applyBorder="1" applyAlignment="1">
      <alignment horizontal="center" vertical="center" shrinkToFit="1"/>
    </xf>
    <xf numFmtId="38" fontId="27" fillId="6" borderId="36" xfId="4" applyFont="1" applyFill="1" applyBorder="1" applyAlignment="1">
      <alignment horizontal="center" vertical="center" shrinkToFit="1"/>
    </xf>
    <xf numFmtId="38" fontId="27" fillId="0" borderId="31" xfId="4" applyFont="1" applyFill="1" applyBorder="1" applyAlignment="1">
      <alignment horizontal="right" vertical="center" shrinkToFit="1"/>
    </xf>
    <xf numFmtId="38" fontId="27" fillId="0" borderId="32" xfId="4" applyFont="1" applyFill="1" applyBorder="1" applyAlignment="1">
      <alignment horizontal="right" vertical="center" shrinkToFit="1"/>
    </xf>
    <xf numFmtId="38" fontId="27" fillId="0" borderId="33" xfId="4" applyFont="1" applyFill="1" applyBorder="1" applyAlignment="1">
      <alignment vertical="center" shrinkToFit="1"/>
    </xf>
    <xf numFmtId="38" fontId="27" fillId="0" borderId="34" xfId="4" applyFont="1" applyFill="1" applyBorder="1" applyAlignment="1">
      <alignment horizontal="right" vertical="center" shrinkToFit="1"/>
    </xf>
    <xf numFmtId="38" fontId="27" fillId="0" borderId="34" xfId="4" applyFont="1" applyFill="1" applyBorder="1" applyAlignment="1">
      <alignment horizontal="center" vertical="center" shrinkToFit="1"/>
    </xf>
    <xf numFmtId="38" fontId="27" fillId="0" borderId="35" xfId="4" applyFont="1" applyFill="1" applyBorder="1" applyAlignment="1">
      <alignment horizontal="center" vertical="center" shrinkToFit="1"/>
    </xf>
    <xf numFmtId="38" fontId="27" fillId="0" borderId="33" xfId="4" applyFont="1" applyFill="1" applyBorder="1" applyAlignment="1">
      <alignment horizontal="center" vertical="center" shrinkToFit="1"/>
    </xf>
    <xf numFmtId="38" fontId="27" fillId="0" borderId="36" xfId="4" applyFont="1" applyFill="1" applyBorder="1" applyAlignment="1">
      <alignment horizontal="center" vertical="center" shrinkToFit="1"/>
    </xf>
    <xf numFmtId="38" fontId="27" fillId="0" borderId="35" xfId="4" applyFont="1" applyFill="1" applyBorder="1" applyAlignment="1">
      <alignment horizontal="right" vertical="center" shrinkToFit="1"/>
    </xf>
    <xf numFmtId="38" fontId="27" fillId="0" borderId="33" xfId="4" applyFont="1" applyFill="1" applyBorder="1" applyAlignment="1">
      <alignment horizontal="right" vertical="center" shrinkToFit="1"/>
    </xf>
    <xf numFmtId="176" fontId="27" fillId="0" borderId="36" xfId="4" applyNumberFormat="1" applyFont="1" applyFill="1" applyBorder="1" applyAlignment="1">
      <alignment horizontal="right" vertical="center" shrinkToFit="1"/>
    </xf>
    <xf numFmtId="176" fontId="27" fillId="0" borderId="69" xfId="4" applyNumberFormat="1" applyFont="1" applyFill="1" applyBorder="1" applyAlignment="1">
      <alignment horizontal="right" vertical="center" shrinkToFit="1"/>
    </xf>
    <xf numFmtId="38" fontId="27" fillId="0" borderId="0" xfId="4" applyFont="1" applyBorder="1" applyAlignment="1">
      <alignment vertical="center"/>
    </xf>
    <xf numFmtId="38" fontId="27" fillId="6" borderId="35" xfId="4" applyFont="1" applyFill="1" applyBorder="1" applyAlignment="1">
      <alignment horizontal="right" vertical="center" shrinkToFit="1"/>
    </xf>
    <xf numFmtId="38" fontId="27" fillId="6" borderId="33" xfId="4" applyFont="1" applyFill="1" applyBorder="1" applyAlignment="1">
      <alignment horizontal="right" vertical="center" shrinkToFit="1"/>
    </xf>
    <xf numFmtId="176" fontId="27" fillId="6" borderId="36" xfId="4" applyNumberFormat="1" applyFont="1" applyFill="1" applyBorder="1" applyAlignment="1">
      <alignment horizontal="right" vertical="center" shrinkToFit="1"/>
    </xf>
    <xf numFmtId="176" fontId="27" fillId="6" borderId="35" xfId="4" applyNumberFormat="1" applyFont="1" applyFill="1" applyBorder="1" applyAlignment="1">
      <alignment horizontal="right" vertical="center" shrinkToFit="1"/>
    </xf>
    <xf numFmtId="176" fontId="27" fillId="6" borderId="33" xfId="4" applyNumberFormat="1" applyFont="1" applyFill="1" applyBorder="1" applyAlignment="1">
      <alignment horizontal="right" vertical="center" shrinkToFit="1"/>
    </xf>
    <xf numFmtId="176" fontId="27" fillId="0" borderId="35" xfId="4" applyNumberFormat="1" applyFont="1" applyFill="1" applyBorder="1" applyAlignment="1">
      <alignment horizontal="right" vertical="center" shrinkToFit="1"/>
    </xf>
    <xf numFmtId="176" fontId="27" fillId="0" borderId="33" xfId="4" applyNumberFormat="1" applyFont="1" applyFill="1" applyBorder="1" applyAlignment="1">
      <alignment horizontal="right" vertical="center" shrinkToFit="1"/>
    </xf>
    <xf numFmtId="38" fontId="27" fillId="6" borderId="39" xfId="4" applyFont="1" applyFill="1" applyBorder="1" applyAlignment="1">
      <alignment horizontal="right" vertical="center" shrinkToFit="1"/>
    </xf>
    <xf numFmtId="38" fontId="27" fillId="6" borderId="40" xfId="4" applyFont="1" applyFill="1" applyBorder="1" applyAlignment="1">
      <alignment horizontal="right" vertical="center" shrinkToFit="1"/>
    </xf>
    <xf numFmtId="38" fontId="27" fillId="6" borderId="41" xfId="4" applyFont="1" applyFill="1" applyBorder="1" applyAlignment="1">
      <alignment horizontal="center" vertical="center" shrinkToFit="1"/>
    </xf>
    <xf numFmtId="38" fontId="27" fillId="6" borderId="42" xfId="4" applyFont="1" applyFill="1" applyBorder="1" applyAlignment="1">
      <alignment horizontal="right" vertical="center" shrinkToFit="1"/>
    </xf>
    <xf numFmtId="38" fontId="27" fillId="6" borderId="43" xfId="4" applyFont="1" applyFill="1" applyBorder="1" applyAlignment="1">
      <alignment horizontal="right" vertical="center" shrinkToFit="1"/>
    </xf>
    <xf numFmtId="176" fontId="27" fillId="6" borderId="44" xfId="4" applyNumberFormat="1" applyFont="1" applyFill="1" applyBorder="1" applyAlignment="1">
      <alignment horizontal="right" vertical="center" shrinkToFit="1"/>
    </xf>
    <xf numFmtId="38" fontId="27" fillId="0" borderId="39" xfId="4" applyFont="1" applyFill="1" applyBorder="1" applyAlignment="1">
      <alignment horizontal="right" vertical="center" shrinkToFit="1"/>
    </xf>
    <xf numFmtId="38" fontId="27" fillId="0" borderId="45" xfId="4" applyFont="1" applyFill="1" applyBorder="1" applyAlignment="1">
      <alignment horizontal="right" vertical="center" shrinkToFit="1"/>
    </xf>
    <xf numFmtId="38" fontId="27" fillId="0" borderId="46" xfId="4" applyFont="1" applyFill="1" applyBorder="1" applyAlignment="1">
      <alignment horizontal="center" vertical="center" shrinkToFit="1"/>
    </xf>
    <xf numFmtId="38" fontId="27" fillId="0" borderId="42" xfId="4" applyFont="1" applyFill="1" applyBorder="1" applyAlignment="1">
      <alignment horizontal="right" vertical="center" shrinkToFit="1"/>
    </xf>
    <xf numFmtId="38" fontId="27" fillId="0" borderId="43" xfId="4" applyFont="1" applyFill="1" applyBorder="1" applyAlignment="1">
      <alignment horizontal="right" vertical="center" shrinkToFit="1"/>
    </xf>
    <xf numFmtId="176" fontId="27" fillId="0" borderId="44" xfId="4" applyNumberFormat="1" applyFont="1" applyFill="1" applyBorder="1" applyAlignment="1">
      <alignment horizontal="right" vertical="center" shrinkToFit="1"/>
    </xf>
    <xf numFmtId="38" fontId="27" fillId="6" borderId="45" xfId="4" applyFont="1" applyFill="1" applyBorder="1" applyAlignment="1">
      <alignment horizontal="right" vertical="center" shrinkToFit="1"/>
    </xf>
    <xf numFmtId="38" fontId="27" fillId="6" borderId="46" xfId="4" applyFont="1" applyFill="1" applyBorder="1" applyAlignment="1">
      <alignment horizontal="center" vertical="center" shrinkToFit="1"/>
    </xf>
    <xf numFmtId="38" fontId="27" fillId="0" borderId="41" xfId="4" applyFont="1" applyFill="1" applyBorder="1" applyAlignment="1">
      <alignment horizontal="right" vertical="center" shrinkToFit="1"/>
    </xf>
    <xf numFmtId="38" fontId="27" fillId="6" borderId="41" xfId="4" applyFont="1" applyFill="1" applyBorder="1" applyAlignment="1">
      <alignment horizontal="right" vertical="center" shrinkToFit="1"/>
    </xf>
    <xf numFmtId="38" fontId="27" fillId="0" borderId="40" xfId="4" applyFont="1" applyFill="1" applyBorder="1" applyAlignment="1">
      <alignment horizontal="right" vertical="center" shrinkToFit="1"/>
    </xf>
    <xf numFmtId="38" fontId="27" fillId="0" borderId="41" xfId="4" applyFont="1" applyFill="1" applyBorder="1" applyAlignment="1">
      <alignment horizontal="center" vertical="center" shrinkToFit="1"/>
    </xf>
    <xf numFmtId="176" fontId="27" fillId="6" borderId="47" xfId="4" applyNumberFormat="1" applyFont="1" applyFill="1" applyBorder="1" applyAlignment="1">
      <alignment horizontal="right" vertical="center" shrinkToFit="1"/>
    </xf>
    <xf numFmtId="176" fontId="27" fillId="0" borderId="48" xfId="4" applyNumberFormat="1" applyFont="1" applyFill="1" applyBorder="1" applyAlignment="1">
      <alignment horizontal="right" vertical="center" shrinkToFit="1"/>
    </xf>
    <xf numFmtId="176" fontId="27" fillId="6" borderId="48" xfId="4" applyNumberFormat="1" applyFont="1" applyFill="1" applyBorder="1" applyAlignment="1">
      <alignment horizontal="right" vertical="center" shrinkToFit="1"/>
    </xf>
    <xf numFmtId="176" fontId="27" fillId="6" borderId="50" xfId="4" applyNumberFormat="1" applyFont="1" applyFill="1" applyBorder="1" applyAlignment="1">
      <alignment horizontal="right" vertical="center" shrinkToFit="1"/>
    </xf>
    <xf numFmtId="176" fontId="27" fillId="6" borderId="51" xfId="4" applyNumberFormat="1" applyFont="1" applyFill="1" applyBorder="1" applyAlignment="1">
      <alignment horizontal="right" vertical="center" shrinkToFit="1"/>
    </xf>
    <xf numFmtId="176" fontId="27" fillId="6" borderId="52" xfId="4" applyNumberFormat="1" applyFont="1" applyFill="1" applyBorder="1" applyAlignment="1">
      <alignment horizontal="right" vertical="center" shrinkToFit="1"/>
    </xf>
    <xf numFmtId="176" fontId="27" fillId="0" borderId="47" xfId="4" applyNumberFormat="1" applyFont="1" applyFill="1" applyBorder="1" applyAlignment="1">
      <alignment horizontal="right" vertical="center" shrinkToFit="1"/>
    </xf>
    <xf numFmtId="38" fontId="27" fillId="0" borderId="67" xfId="4" applyFont="1" applyFill="1" applyBorder="1" applyAlignment="1">
      <alignment horizontal="right" vertical="center" shrinkToFit="1"/>
    </xf>
    <xf numFmtId="38" fontId="27" fillId="0" borderId="68" xfId="4" applyFont="1" applyFill="1" applyBorder="1" applyAlignment="1">
      <alignment horizontal="center" vertical="center" shrinkToFit="1"/>
    </xf>
    <xf numFmtId="38" fontId="27" fillId="0" borderId="7" xfId="4" applyFont="1" applyFill="1" applyBorder="1" applyAlignment="1">
      <alignment horizontal="right" vertical="center" shrinkToFit="1"/>
    </xf>
    <xf numFmtId="38" fontId="27" fillId="0" borderId="29" xfId="4" applyFont="1" applyFill="1" applyBorder="1" applyAlignment="1">
      <alignment horizontal="right" vertical="center" shrinkToFit="1"/>
    </xf>
    <xf numFmtId="176" fontId="27" fillId="0" borderId="70" xfId="4" applyNumberFormat="1" applyFont="1" applyFill="1" applyBorder="1" applyAlignment="1">
      <alignment horizontal="right" vertical="center" shrinkToFit="1"/>
    </xf>
    <xf numFmtId="176" fontId="27" fillId="6" borderId="53" xfId="4" applyNumberFormat="1" applyFont="1" applyFill="1" applyBorder="1" applyAlignment="1">
      <alignment horizontal="right" vertical="center" shrinkToFit="1"/>
    </xf>
    <xf numFmtId="176" fontId="27" fillId="0" borderId="53" xfId="4" applyNumberFormat="1" applyFont="1" applyFill="1" applyBorder="1" applyAlignment="1">
      <alignment horizontal="right" vertical="center" shrinkToFit="1"/>
    </xf>
    <xf numFmtId="38" fontId="27" fillId="0" borderId="49" xfId="4" applyFont="1" applyFill="1" applyBorder="1" applyAlignment="1">
      <alignment horizontal="right" vertical="center" shrinkToFit="1"/>
    </xf>
    <xf numFmtId="38" fontId="27" fillId="0" borderId="51" xfId="4" applyFont="1" applyFill="1" applyBorder="1" applyAlignment="1">
      <alignment horizontal="right" vertical="center" shrinkToFit="1"/>
    </xf>
    <xf numFmtId="38" fontId="27" fillId="0" borderId="51" xfId="4" applyFont="1" applyFill="1" applyBorder="1" applyAlignment="1">
      <alignment horizontal="center" vertical="center" shrinkToFit="1"/>
    </xf>
    <xf numFmtId="38" fontId="27" fillId="0" borderId="50" xfId="4" applyFont="1" applyFill="1" applyBorder="1" applyAlignment="1">
      <alignment horizontal="right" vertical="center" shrinkToFit="1"/>
    </xf>
    <xf numFmtId="176" fontId="27" fillId="0" borderId="52" xfId="4" applyNumberFormat="1" applyFont="1" applyFill="1" applyBorder="1" applyAlignment="1">
      <alignment horizontal="right" vertical="center" shrinkToFit="1"/>
    </xf>
    <xf numFmtId="38" fontId="27" fillId="0" borderId="0" xfId="4" applyFont="1" applyFill="1" applyBorder="1" applyAlignment="1">
      <alignment vertical="center" wrapText="1"/>
    </xf>
    <xf numFmtId="38" fontId="28" fillId="0" borderId="0" xfId="4" applyFont="1" applyAlignment="1">
      <alignment vertical="center"/>
    </xf>
    <xf numFmtId="38" fontId="28" fillId="0" borderId="0" xfId="4" applyFont="1" applyFill="1" applyBorder="1" applyAlignment="1">
      <alignment vertical="center" wrapText="1"/>
    </xf>
    <xf numFmtId="38" fontId="28" fillId="0" borderId="0" xfId="4" applyFont="1" applyAlignment="1">
      <alignment horizontal="left" vertical="center"/>
    </xf>
    <xf numFmtId="38" fontId="28" fillId="0" borderId="105" xfId="4" applyFont="1" applyBorder="1" applyAlignment="1">
      <alignment vertical="center"/>
    </xf>
    <xf numFmtId="38" fontId="28" fillId="0" borderId="106" xfId="4" applyFont="1" applyBorder="1" applyAlignment="1">
      <alignment vertical="center"/>
    </xf>
    <xf numFmtId="38" fontId="28" fillId="0" borderId="106" xfId="4" applyFont="1" applyFill="1" applyBorder="1" applyAlignment="1">
      <alignment vertical="center" wrapText="1"/>
    </xf>
    <xf numFmtId="38" fontId="28" fillId="0" borderId="107" xfId="4" applyFont="1" applyFill="1" applyBorder="1" applyAlignment="1">
      <alignment vertical="center" wrapText="1"/>
    </xf>
    <xf numFmtId="38" fontId="28" fillId="0" borderId="0" xfId="4" applyFont="1" applyBorder="1" applyAlignment="1">
      <alignment horizontal="left" vertical="center"/>
    </xf>
    <xf numFmtId="38" fontId="28" fillId="0" borderId="109" xfId="4" applyFont="1" applyBorder="1" applyAlignment="1">
      <alignment vertical="center"/>
    </xf>
    <xf numFmtId="38" fontId="27" fillId="0" borderId="109" xfId="4" applyFont="1" applyBorder="1" applyAlignment="1">
      <alignment vertical="center"/>
    </xf>
    <xf numFmtId="38" fontId="27" fillId="0" borderId="0" xfId="4" applyFont="1" applyBorder="1" applyAlignment="1">
      <alignment horizontal="left" vertical="center"/>
    </xf>
    <xf numFmtId="38" fontId="27" fillId="0" borderId="108" xfId="4" applyFont="1" applyBorder="1" applyAlignment="1">
      <alignment horizontal="left" vertical="center"/>
    </xf>
    <xf numFmtId="38" fontId="27" fillId="0" borderId="111" xfId="4" applyFont="1" applyBorder="1" applyAlignment="1">
      <alignment horizontal="left" vertical="center"/>
    </xf>
    <xf numFmtId="38" fontId="27" fillId="0" borderId="112" xfId="4" applyFont="1" applyBorder="1" applyAlignment="1">
      <alignment vertical="center"/>
    </xf>
    <xf numFmtId="38" fontId="29" fillId="0" borderId="108" xfId="4" applyFont="1" applyBorder="1" applyAlignment="1">
      <alignment horizontal="left" vertical="center"/>
    </xf>
    <xf numFmtId="38" fontId="35" fillId="0" borderId="0" xfId="4" applyFont="1" applyFill="1" applyBorder="1" applyAlignment="1">
      <alignment vertical="top" wrapText="1"/>
    </xf>
    <xf numFmtId="176" fontId="27" fillId="0" borderId="0" xfId="4" applyNumberFormat="1" applyFont="1" applyFill="1" applyBorder="1" applyAlignment="1">
      <alignment horizontal="right" vertical="center" shrinkToFit="1"/>
    </xf>
    <xf numFmtId="176" fontId="27" fillId="6" borderId="0" xfId="4" applyNumberFormat="1" applyFont="1" applyFill="1" applyBorder="1" applyAlignment="1">
      <alignment horizontal="right" vertical="center" shrinkToFit="1"/>
    </xf>
    <xf numFmtId="176" fontId="27" fillId="0" borderId="37" xfId="4" applyNumberFormat="1" applyFont="1" applyFill="1" applyBorder="1" applyAlignment="1">
      <alignment horizontal="right" vertical="center" shrinkToFit="1"/>
    </xf>
    <xf numFmtId="176" fontId="27" fillId="0" borderId="38" xfId="4" applyNumberFormat="1" applyFont="1" applyFill="1" applyBorder="1" applyAlignment="1">
      <alignment horizontal="right" vertical="center" shrinkToFit="1"/>
    </xf>
    <xf numFmtId="38" fontId="8" fillId="3" borderId="56" xfId="3" applyFont="1" applyFill="1" applyBorder="1" applyAlignment="1" applyProtection="1">
      <alignment horizontal="center" vertical="center"/>
    </xf>
    <xf numFmtId="38" fontId="8" fillId="3" borderId="57" xfId="3" applyFont="1" applyFill="1" applyBorder="1" applyAlignment="1" applyProtection="1">
      <alignment horizontal="center" vertical="center"/>
    </xf>
    <xf numFmtId="3" fontId="13" fillId="0" borderId="19" xfId="8" applyNumberFormat="1" applyBorder="1"/>
    <xf numFmtId="3" fontId="13" fillId="0" borderId="119" xfId="8" applyNumberFormat="1" applyBorder="1"/>
    <xf numFmtId="3" fontId="13" fillId="0" borderId="118" xfId="8" applyNumberFormat="1" applyBorder="1"/>
    <xf numFmtId="0" fontId="16" fillId="5" borderId="12" xfId="0" applyFont="1" applyFill="1" applyBorder="1" applyProtection="1">
      <alignment vertical="center"/>
      <protection locked="0"/>
    </xf>
    <xf numFmtId="0" fontId="8" fillId="5" borderId="12" xfId="0" applyFont="1" applyFill="1" applyBorder="1" applyAlignment="1" applyProtection="1">
      <alignment horizontal="center" vertical="center"/>
      <protection locked="0"/>
    </xf>
    <xf numFmtId="0" fontId="16" fillId="5" borderId="12" xfId="0" applyFont="1" applyFill="1" applyBorder="1" applyAlignment="1" applyProtection="1">
      <alignment horizontal="center" vertical="center"/>
      <protection locked="0"/>
    </xf>
    <xf numFmtId="38" fontId="8" fillId="5" borderId="12" xfId="3" applyFont="1" applyFill="1" applyBorder="1" applyAlignment="1" applyProtection="1">
      <alignment horizontal="right" vertical="center"/>
      <protection locked="0"/>
    </xf>
    <xf numFmtId="0" fontId="8" fillId="5" borderId="12" xfId="3" applyNumberFormat="1" applyFont="1" applyFill="1" applyBorder="1" applyAlignment="1" applyProtection="1">
      <alignment horizontal="right" vertical="center"/>
      <protection locked="0"/>
    </xf>
    <xf numFmtId="0" fontId="8" fillId="5" borderId="12" xfId="7" applyNumberFormat="1" applyFont="1" applyFill="1" applyBorder="1" applyAlignment="1" applyProtection="1">
      <alignment horizontal="right" vertical="center"/>
      <protection locked="0"/>
    </xf>
    <xf numFmtId="0" fontId="16" fillId="5" borderId="57" xfId="0" applyFont="1" applyFill="1" applyBorder="1" applyProtection="1">
      <alignment vertical="center"/>
      <protection locked="0"/>
    </xf>
    <xf numFmtId="0" fontId="8" fillId="5" borderId="57" xfId="0" applyFont="1" applyFill="1" applyBorder="1" applyAlignment="1" applyProtection="1">
      <alignment horizontal="center" vertical="center"/>
      <protection locked="0"/>
    </xf>
    <xf numFmtId="0" fontId="16" fillId="5" borderId="57" xfId="0" applyFont="1" applyFill="1" applyBorder="1" applyAlignment="1" applyProtection="1">
      <alignment horizontal="center" vertical="center"/>
      <protection locked="0"/>
    </xf>
    <xf numFmtId="38" fontId="8" fillId="5" borderId="57" xfId="3" applyFont="1" applyFill="1" applyBorder="1" applyAlignment="1" applyProtection="1">
      <alignment horizontal="right" vertical="center"/>
      <protection locked="0"/>
    </xf>
    <xf numFmtId="0" fontId="8" fillId="5" borderId="57" xfId="3" applyNumberFormat="1" applyFont="1" applyFill="1" applyBorder="1" applyAlignment="1" applyProtection="1">
      <alignment horizontal="right" vertical="center"/>
      <protection locked="0"/>
    </xf>
    <xf numFmtId="0" fontId="8" fillId="5" borderId="57" xfId="7" applyNumberFormat="1" applyFont="1" applyFill="1" applyBorder="1" applyAlignment="1" applyProtection="1">
      <alignment horizontal="right" vertical="center"/>
      <protection locked="0"/>
    </xf>
    <xf numFmtId="38" fontId="8" fillId="4" borderId="15" xfId="0" applyNumberFormat="1" applyFont="1" applyFill="1" applyBorder="1" applyAlignment="1" applyProtection="1">
      <alignment horizontal="right" vertical="center"/>
      <protection hidden="1"/>
    </xf>
    <xf numFmtId="9" fontId="8" fillId="3" borderId="57" xfId="7" applyFont="1" applyFill="1" applyBorder="1" applyAlignment="1" applyProtection="1">
      <alignment horizontal="center" vertical="center"/>
      <protection locked="0"/>
    </xf>
    <xf numFmtId="38" fontId="8" fillId="4" borderId="12" xfId="3" applyFont="1" applyFill="1" applyBorder="1" applyAlignment="1" applyProtection="1">
      <alignment horizontal="right" vertical="center"/>
      <protection hidden="1"/>
    </xf>
    <xf numFmtId="38" fontId="8" fillId="4" borderId="57" xfId="3" applyFont="1" applyFill="1" applyBorder="1" applyAlignment="1" applyProtection="1">
      <alignment horizontal="right" vertical="center"/>
      <protection hidden="1"/>
    </xf>
    <xf numFmtId="0" fontId="8" fillId="3" borderId="94" xfId="0" applyFont="1" applyFill="1" applyBorder="1" applyAlignment="1" applyProtection="1">
      <alignment horizontal="center" vertical="center"/>
      <protection hidden="1"/>
    </xf>
    <xf numFmtId="38" fontId="8" fillId="4" borderId="12" xfId="3" applyNumberFormat="1" applyFont="1" applyFill="1" applyBorder="1" applyAlignment="1" applyProtection="1">
      <alignment horizontal="right" vertical="center"/>
      <protection hidden="1"/>
    </xf>
    <xf numFmtId="0" fontId="8" fillId="5" borderId="21" xfId="0" applyNumberFormat="1" applyFont="1" applyFill="1" applyBorder="1" applyProtection="1">
      <alignment vertical="center"/>
      <protection locked="0"/>
    </xf>
    <xf numFmtId="0" fontId="8" fillId="5" borderId="9" xfId="0" applyNumberFormat="1" applyFont="1" applyFill="1" applyBorder="1" applyProtection="1">
      <alignment vertical="center"/>
      <protection locked="0"/>
    </xf>
    <xf numFmtId="0" fontId="8" fillId="5" borderId="62" xfId="0" applyNumberFormat="1" applyFont="1" applyFill="1" applyBorder="1" applyProtection="1">
      <alignment vertical="center"/>
      <protection locked="0"/>
    </xf>
    <xf numFmtId="0" fontId="8" fillId="5" borderId="58" xfId="0" applyFont="1" applyFill="1" applyBorder="1" applyAlignment="1" applyProtection="1">
      <alignment horizontal="left" vertical="center"/>
      <protection locked="0"/>
    </xf>
    <xf numFmtId="0" fontId="16" fillId="5" borderId="59" xfId="0" applyFont="1" applyFill="1" applyBorder="1" applyProtection="1">
      <alignment vertical="center"/>
      <protection locked="0"/>
    </xf>
    <xf numFmtId="0" fontId="8" fillId="5" borderId="59" xfId="0" applyFont="1" applyFill="1" applyBorder="1" applyAlignment="1" applyProtection="1">
      <alignment horizontal="center" vertical="center"/>
      <protection locked="0"/>
    </xf>
    <xf numFmtId="0" fontId="16" fillId="5" borderId="59" xfId="0" applyFont="1" applyFill="1" applyBorder="1" applyAlignment="1" applyProtection="1">
      <alignment horizontal="center" vertical="center"/>
      <protection locked="0"/>
    </xf>
    <xf numFmtId="38" fontId="8" fillId="4" borderId="59" xfId="3" applyFont="1" applyFill="1" applyBorder="1" applyAlignment="1" applyProtection="1">
      <alignment horizontal="right" vertical="center"/>
      <protection hidden="1"/>
    </xf>
    <xf numFmtId="38" fontId="8" fillId="5" borderId="59" xfId="3" applyFont="1" applyFill="1" applyBorder="1" applyAlignment="1" applyProtection="1">
      <alignment horizontal="right" vertical="center"/>
      <protection locked="0"/>
    </xf>
    <xf numFmtId="0" fontId="8" fillId="5" borderId="99" xfId="0" applyFont="1" applyFill="1" applyBorder="1" applyAlignment="1" applyProtection="1">
      <alignment horizontal="left" vertical="center"/>
      <protection locked="0"/>
    </xf>
    <xf numFmtId="0" fontId="8" fillId="5" borderId="56" xfId="0" applyFont="1" applyFill="1" applyBorder="1" applyAlignment="1" applyProtection="1">
      <alignment horizontal="left" vertical="center"/>
      <protection locked="0"/>
    </xf>
    <xf numFmtId="38" fontId="8" fillId="4" borderId="57" xfId="3" applyNumberFormat="1" applyFont="1" applyFill="1" applyBorder="1" applyAlignment="1" applyProtection="1">
      <alignment horizontal="right" vertical="center"/>
      <protection hidden="1"/>
    </xf>
    <xf numFmtId="0" fontId="8" fillId="3" borderId="56" xfId="0" applyFont="1" applyFill="1" applyBorder="1" applyAlignment="1" applyProtection="1">
      <alignment horizontal="center" vertical="center"/>
      <protection hidden="1"/>
    </xf>
    <xf numFmtId="38" fontId="8" fillId="5" borderId="102" xfId="3" applyFont="1" applyFill="1" applyBorder="1" applyProtection="1">
      <alignment vertical="center"/>
      <protection locked="0"/>
    </xf>
    <xf numFmtId="38" fontId="8" fillId="4" borderId="4" xfId="3" applyFont="1" applyFill="1" applyBorder="1" applyAlignment="1" applyProtection="1">
      <alignment horizontal="right" vertical="center"/>
      <protection hidden="1"/>
    </xf>
    <xf numFmtId="38" fontId="8" fillId="3" borderId="61" xfId="3" applyFont="1" applyFill="1" applyBorder="1" applyAlignment="1" applyProtection="1">
      <alignment horizontal="center" vertical="center"/>
    </xf>
    <xf numFmtId="38" fontId="8" fillId="3" borderId="113" xfId="3" applyFont="1" applyFill="1" applyBorder="1" applyAlignment="1" applyProtection="1">
      <alignment horizontal="center" vertical="center"/>
    </xf>
    <xf numFmtId="38" fontId="8" fillId="4" borderId="3" xfId="3" applyFont="1" applyFill="1" applyBorder="1" applyAlignment="1" applyProtection="1">
      <alignment horizontal="right" vertical="center"/>
      <protection hidden="1"/>
    </xf>
    <xf numFmtId="38" fontId="8" fillId="4" borderId="8" xfId="3" applyFont="1" applyFill="1" applyBorder="1" applyAlignment="1" applyProtection="1">
      <alignment horizontal="right" vertical="center"/>
      <protection hidden="1"/>
    </xf>
    <xf numFmtId="38" fontId="8" fillId="4" borderId="113" xfId="3" applyFont="1" applyFill="1" applyBorder="1" applyAlignment="1" applyProtection="1">
      <alignment horizontal="right" vertical="center"/>
      <protection hidden="1"/>
    </xf>
    <xf numFmtId="38" fontId="8" fillId="4" borderId="98" xfId="0" applyNumberFormat="1" applyFont="1" applyFill="1" applyBorder="1" applyAlignment="1" applyProtection="1">
      <alignment horizontal="right" vertical="center"/>
      <protection hidden="1"/>
    </xf>
    <xf numFmtId="38" fontId="8" fillId="4" borderId="58" xfId="3" applyNumberFormat="1" applyFont="1" applyFill="1" applyBorder="1" applyAlignment="1" applyProtection="1">
      <alignment horizontal="right" vertical="center"/>
      <protection hidden="1"/>
    </xf>
    <xf numFmtId="38" fontId="8" fillId="4" borderId="99" xfId="3" applyNumberFormat="1" applyFont="1" applyFill="1" applyBorder="1" applyAlignment="1" applyProtection="1">
      <alignment horizontal="right" vertical="center"/>
      <protection hidden="1"/>
    </xf>
    <xf numFmtId="38" fontId="8" fillId="4" borderId="56" xfId="3" applyNumberFormat="1" applyFont="1" applyFill="1" applyBorder="1" applyAlignment="1" applyProtection="1">
      <alignment horizontal="right" vertical="center"/>
      <protection hidden="1"/>
    </xf>
    <xf numFmtId="0" fontId="36" fillId="7" borderId="125" xfId="0" applyFont="1" applyFill="1" applyBorder="1" applyAlignment="1">
      <alignment horizontal="center" vertical="center"/>
    </xf>
    <xf numFmtId="38" fontId="36" fillId="7" borderId="120" xfId="3" applyFont="1" applyFill="1" applyBorder="1">
      <alignment vertical="center"/>
    </xf>
    <xf numFmtId="0" fontId="36" fillId="10" borderId="125" xfId="0" applyFont="1" applyFill="1" applyBorder="1" applyAlignment="1">
      <alignment horizontal="center" vertical="center"/>
    </xf>
    <xf numFmtId="38" fontId="36" fillId="10" borderId="12" xfId="3" applyFont="1" applyFill="1" applyBorder="1">
      <alignment vertical="center"/>
    </xf>
    <xf numFmtId="38" fontId="36" fillId="7" borderId="12" xfId="3" applyFont="1" applyFill="1" applyBorder="1">
      <alignment vertical="center"/>
    </xf>
    <xf numFmtId="0" fontId="36" fillId="7" borderId="126" xfId="0" applyFont="1" applyFill="1" applyBorder="1" applyAlignment="1">
      <alignment horizontal="center" vertical="center"/>
    </xf>
    <xf numFmtId="38" fontId="36" fillId="7" borderId="17" xfId="3" applyFont="1" applyFill="1" applyBorder="1">
      <alignment vertical="center"/>
    </xf>
    <xf numFmtId="0" fontId="36" fillId="10" borderId="127" xfId="0" applyFont="1" applyFill="1" applyBorder="1" applyAlignment="1">
      <alignment horizontal="center" vertical="center"/>
    </xf>
    <xf numFmtId="0" fontId="36" fillId="10" borderId="128" xfId="0" applyFont="1" applyFill="1" applyBorder="1" applyAlignment="1">
      <alignment horizontal="center" vertical="center"/>
    </xf>
    <xf numFmtId="38" fontId="36" fillId="10" borderId="121" xfId="3" applyFont="1" applyFill="1" applyBorder="1">
      <alignment vertical="center"/>
    </xf>
    <xf numFmtId="38" fontId="36" fillId="7" borderId="124" xfId="3" applyFont="1" applyFill="1" applyBorder="1">
      <alignment vertical="center"/>
    </xf>
    <xf numFmtId="38" fontId="36" fillId="7" borderId="21" xfId="3" applyFont="1" applyFill="1" applyBorder="1">
      <alignment vertical="center"/>
    </xf>
    <xf numFmtId="38" fontId="36" fillId="7" borderId="11" xfId="3" applyFont="1" applyFill="1" applyBorder="1">
      <alignment vertical="center"/>
    </xf>
    <xf numFmtId="38" fontId="36" fillId="10" borderId="124" xfId="3" applyFont="1" applyFill="1" applyBorder="1">
      <alignment vertical="center"/>
    </xf>
    <xf numFmtId="38" fontId="36" fillId="10" borderId="21" xfId="3" applyFont="1" applyFill="1" applyBorder="1">
      <alignment vertical="center"/>
    </xf>
    <xf numFmtId="38" fontId="36" fillId="10" borderId="101" xfId="3" applyFont="1" applyFill="1" applyBorder="1">
      <alignment vertical="center"/>
    </xf>
    <xf numFmtId="38" fontId="36" fillId="7" borderId="8" xfId="3" applyFont="1" applyFill="1" applyBorder="1">
      <alignment vertical="center"/>
    </xf>
    <xf numFmtId="38" fontId="36" fillId="7" borderId="101" xfId="3" applyFont="1" applyFill="1" applyBorder="1">
      <alignment vertical="center"/>
    </xf>
    <xf numFmtId="38" fontId="36" fillId="10" borderId="8" xfId="3" applyFont="1" applyFill="1" applyBorder="1">
      <alignment vertical="center"/>
    </xf>
    <xf numFmtId="38" fontId="36" fillId="7" borderId="23" xfId="3" applyFont="1" applyFill="1" applyBorder="1">
      <alignment vertical="center"/>
    </xf>
    <xf numFmtId="38" fontId="36" fillId="7" borderId="0" xfId="3" applyFont="1" applyFill="1" applyBorder="1">
      <alignment vertical="center"/>
    </xf>
    <xf numFmtId="38" fontId="36" fillId="7" borderId="22" xfId="3" applyFont="1" applyFill="1" applyBorder="1">
      <alignment vertical="center"/>
    </xf>
    <xf numFmtId="38" fontId="36" fillId="10" borderId="9" xfId="3" applyFont="1" applyFill="1" applyBorder="1">
      <alignment vertical="center"/>
    </xf>
    <xf numFmtId="38" fontId="36" fillId="10" borderId="129" xfId="3" applyFont="1" applyFill="1" applyBorder="1">
      <alignment vertical="center"/>
    </xf>
    <xf numFmtId="38" fontId="36" fillId="10" borderId="130" xfId="3" applyFont="1" applyFill="1" applyBorder="1">
      <alignment vertical="center"/>
    </xf>
    <xf numFmtId="38" fontId="36" fillId="10" borderId="131" xfId="3" applyFont="1" applyFill="1" applyBorder="1">
      <alignment vertical="center"/>
    </xf>
    <xf numFmtId="176" fontId="36" fillId="7" borderId="120" xfId="3" applyNumberFormat="1" applyFont="1" applyFill="1" applyBorder="1">
      <alignment vertical="center"/>
    </xf>
    <xf numFmtId="176" fontId="36" fillId="10" borderId="12" xfId="3" applyNumberFormat="1" applyFont="1" applyFill="1" applyBorder="1">
      <alignment vertical="center"/>
    </xf>
    <xf numFmtId="176" fontId="36" fillId="7" borderId="12" xfId="3" applyNumberFormat="1" applyFont="1" applyFill="1" applyBorder="1">
      <alignment vertical="center"/>
    </xf>
    <xf numFmtId="176" fontId="36" fillId="7" borderId="8" xfId="3" applyNumberFormat="1" applyFont="1" applyFill="1" applyBorder="1">
      <alignment vertical="center"/>
    </xf>
    <xf numFmtId="176" fontId="36" fillId="10" borderId="8" xfId="3" applyNumberFormat="1" applyFont="1" applyFill="1" applyBorder="1">
      <alignment vertical="center"/>
    </xf>
    <xf numFmtId="176" fontId="36" fillId="7" borderId="17" xfId="3" applyNumberFormat="1" applyFont="1" applyFill="1" applyBorder="1">
      <alignment vertical="center"/>
    </xf>
    <xf numFmtId="176" fontId="36" fillId="7" borderId="114" xfId="3" applyNumberFormat="1" applyFont="1" applyFill="1" applyBorder="1">
      <alignment vertical="center"/>
    </xf>
    <xf numFmtId="176" fontId="36" fillId="10" borderId="114" xfId="3" applyNumberFormat="1" applyFont="1" applyFill="1" applyBorder="1">
      <alignment vertical="center"/>
    </xf>
    <xf numFmtId="176" fontId="36" fillId="10" borderId="121" xfId="3" applyNumberFormat="1" applyFont="1" applyFill="1" applyBorder="1">
      <alignment vertical="center"/>
    </xf>
    <xf numFmtId="176" fontId="36" fillId="10" borderId="132" xfId="3" applyNumberFormat="1" applyFont="1" applyFill="1" applyBorder="1">
      <alignment vertical="center"/>
    </xf>
    <xf numFmtId="40" fontId="36" fillId="10" borderId="120" xfId="3" applyNumberFormat="1" applyFont="1" applyFill="1" applyBorder="1">
      <alignment vertical="center"/>
    </xf>
    <xf numFmtId="40" fontId="36" fillId="0" borderId="120" xfId="3" applyNumberFormat="1" applyFont="1" applyFill="1" applyBorder="1">
      <alignment vertical="center"/>
    </xf>
    <xf numFmtId="40" fontId="36" fillId="10" borderId="12" xfId="3" applyNumberFormat="1" applyFont="1" applyFill="1" applyBorder="1">
      <alignment vertical="center"/>
    </xf>
    <xf numFmtId="40" fontId="36" fillId="7" borderId="12" xfId="3" applyNumberFormat="1" applyFont="1" applyFill="1" applyBorder="1">
      <alignment vertical="center"/>
    </xf>
    <xf numFmtId="40" fontId="36" fillId="10" borderId="17" xfId="3" applyNumberFormat="1" applyFont="1" applyFill="1" applyBorder="1">
      <alignment vertical="center"/>
    </xf>
    <xf numFmtId="40" fontId="36" fillId="10" borderId="116" xfId="3" applyNumberFormat="1" applyFont="1" applyFill="1" applyBorder="1">
      <alignment vertical="center"/>
    </xf>
    <xf numFmtId="40" fontId="36" fillId="0" borderId="116" xfId="3" applyNumberFormat="1" applyFont="1" applyFill="1" applyBorder="1">
      <alignment vertical="center"/>
    </xf>
    <xf numFmtId="40" fontId="36" fillId="10" borderId="114" xfId="3" applyNumberFormat="1" applyFont="1" applyFill="1" applyBorder="1">
      <alignment vertical="center"/>
    </xf>
    <xf numFmtId="40" fontId="36" fillId="7" borderId="114" xfId="3" applyNumberFormat="1" applyFont="1" applyFill="1" applyBorder="1">
      <alignment vertical="center"/>
    </xf>
    <xf numFmtId="40" fontId="36" fillId="10" borderId="115" xfId="3" applyNumberFormat="1" applyFont="1" applyFill="1" applyBorder="1">
      <alignment vertical="center"/>
    </xf>
    <xf numFmtId="0" fontId="13" fillId="0" borderId="0" xfId="8"/>
    <xf numFmtId="0" fontId="41" fillId="0" borderId="0" xfId="8" applyFont="1" applyAlignment="1">
      <alignment vertical="center" wrapText="1"/>
    </xf>
    <xf numFmtId="0" fontId="11" fillId="0" borderId="0" xfId="8" applyFont="1"/>
    <xf numFmtId="0" fontId="11" fillId="0" borderId="1" xfId="8" applyFont="1" applyBorder="1" applyAlignment="1">
      <alignment horizontal="left" vertical="center"/>
    </xf>
    <xf numFmtId="0" fontId="11" fillId="0" borderId="2" xfId="8" applyFont="1" applyBorder="1" applyAlignment="1">
      <alignment horizontal="left" vertical="center"/>
    </xf>
    <xf numFmtId="0" fontId="11" fillId="0" borderId="3" xfId="8" applyFont="1" applyBorder="1" applyAlignment="1">
      <alignment horizontal="centerContinuous" vertical="center"/>
    </xf>
    <xf numFmtId="0" fontId="11" fillId="0" borderId="4" xfId="8" applyFont="1" applyBorder="1" applyAlignment="1">
      <alignment horizontal="centerContinuous" vertical="center"/>
    </xf>
    <xf numFmtId="0" fontId="11" fillId="0" borderId="5" xfId="8" applyFont="1" applyBorder="1" applyAlignment="1">
      <alignment horizontal="center" vertical="center"/>
    </xf>
    <xf numFmtId="0" fontId="11" fillId="0" borderId="6" xfId="8" applyFont="1" applyBorder="1" applyAlignment="1">
      <alignment horizontal="left" vertical="center"/>
    </xf>
    <xf numFmtId="0" fontId="11" fillId="0" borderId="117" xfId="8" applyFont="1" applyBorder="1" applyAlignment="1">
      <alignment horizontal="left" vertical="center"/>
    </xf>
    <xf numFmtId="0" fontId="11" fillId="0" borderId="8" xfId="8" applyFont="1" applyBorder="1" applyAlignment="1">
      <alignment horizontal="centerContinuous" vertical="center"/>
    </xf>
    <xf numFmtId="0" fontId="11" fillId="0" borderId="9" xfId="8" applyFont="1" applyBorder="1" applyAlignment="1">
      <alignment horizontal="centerContinuous" vertical="center"/>
    </xf>
    <xf numFmtId="0" fontId="11" fillId="0" borderId="118" xfId="8" applyFont="1" applyBorder="1" applyAlignment="1">
      <alignment horizontal="center" vertical="center"/>
    </xf>
    <xf numFmtId="0" fontId="11" fillId="0" borderId="10" xfId="8" applyFont="1" applyBorder="1" applyAlignment="1">
      <alignment vertical="center"/>
    </xf>
    <xf numFmtId="0" fontId="11" fillId="0" borderId="11" xfId="8" applyFont="1" applyBorder="1" applyAlignment="1">
      <alignment vertical="center"/>
    </xf>
    <xf numFmtId="0" fontId="11" fillId="0" borderId="12" xfId="8" applyFont="1" applyBorder="1" applyAlignment="1">
      <alignment horizontal="center" vertical="center"/>
    </xf>
    <xf numFmtId="0" fontId="11" fillId="0" borderId="13" xfId="8" applyFont="1" applyBorder="1" applyAlignment="1">
      <alignment vertical="center"/>
    </xf>
    <xf numFmtId="0" fontId="11" fillId="0" borderId="14" xfId="8" applyFont="1" applyBorder="1" applyAlignment="1">
      <alignment horizontal="center" vertical="center"/>
    </xf>
    <xf numFmtId="0" fontId="11" fillId="0" borderId="12" xfId="8" applyFont="1" applyBorder="1" applyAlignment="1">
      <alignment horizontal="centerContinuous" vertical="center"/>
    </xf>
    <xf numFmtId="0" fontId="11" fillId="0" borderId="15" xfId="8" applyFont="1" applyBorder="1" applyAlignment="1">
      <alignment horizontal="center" vertical="center"/>
    </xf>
    <xf numFmtId="0" fontId="12" fillId="0" borderId="16" xfId="8" applyFont="1" applyBorder="1" applyAlignment="1">
      <alignment horizontal="right" vertical="top"/>
    </xf>
    <xf numFmtId="0" fontId="12" fillId="0" borderId="17" xfId="8" applyFont="1" applyBorder="1" applyAlignment="1">
      <alignment horizontal="right" vertical="top"/>
    </xf>
    <xf numFmtId="0" fontId="12" fillId="0" borderId="18" xfId="8" applyFont="1" applyBorder="1" applyAlignment="1">
      <alignment horizontal="right" vertical="top"/>
    </xf>
    <xf numFmtId="3" fontId="13" fillId="0" borderId="19" xfId="8" applyNumberFormat="1" applyBorder="1" applyAlignment="1">
      <alignment vertical="top"/>
    </xf>
    <xf numFmtId="3" fontId="13" fillId="0" borderId="119" xfId="8" applyNumberFormat="1" applyBorder="1" applyAlignment="1">
      <alignment vertical="top"/>
    </xf>
    <xf numFmtId="3" fontId="43" fillId="0" borderId="118" xfId="8" applyNumberFormat="1" applyFont="1" applyBorder="1" applyAlignment="1">
      <alignment wrapText="1"/>
    </xf>
    <xf numFmtId="1" fontId="13" fillId="0" borderId="0" xfId="8" applyNumberFormat="1"/>
    <xf numFmtId="3" fontId="13" fillId="8" borderId="118" xfId="8" applyNumberFormat="1" applyFill="1" applyBorder="1"/>
    <xf numFmtId="3" fontId="13" fillId="8" borderId="119" xfId="8" applyNumberFormat="1" applyFill="1" applyBorder="1"/>
    <xf numFmtId="38" fontId="13" fillId="8" borderId="120" xfId="42" applyFont="1" applyFill="1" applyBorder="1" applyAlignment="1"/>
    <xf numFmtId="3" fontId="13" fillId="8" borderId="13" xfId="8" applyNumberFormat="1" applyFill="1" applyBorder="1"/>
    <xf numFmtId="0" fontId="13" fillId="0" borderId="118" xfId="0" applyFont="1" applyBorder="1" applyAlignment="1">
      <alignment vertical="top"/>
    </xf>
    <xf numFmtId="38" fontId="8" fillId="5" borderId="93" xfId="3" applyFont="1" applyFill="1" applyBorder="1" applyProtection="1">
      <alignment vertical="center"/>
      <protection locked="0"/>
    </xf>
    <xf numFmtId="38" fontId="8" fillId="5" borderId="101" xfId="3" applyFont="1" applyFill="1" applyBorder="1" applyProtection="1">
      <alignment vertical="center"/>
      <protection locked="0"/>
    </xf>
    <xf numFmtId="38" fontId="8" fillId="5" borderId="61" xfId="3" applyFont="1" applyFill="1" applyBorder="1" applyProtection="1">
      <alignment vertical="center"/>
      <protection locked="0"/>
    </xf>
    <xf numFmtId="0" fontId="16" fillId="5" borderId="102" xfId="0" applyFont="1" applyFill="1" applyBorder="1" applyAlignment="1" applyProtection="1">
      <alignment horizontal="center" vertical="center"/>
      <protection locked="0"/>
    </xf>
    <xf numFmtId="0" fontId="16" fillId="5" borderId="100" xfId="0" applyFont="1" applyFill="1" applyBorder="1" applyAlignment="1" applyProtection="1">
      <alignment horizontal="center" vertical="center"/>
      <protection locked="0"/>
    </xf>
    <xf numFmtId="0" fontId="16" fillId="5" borderId="94" xfId="0" applyFont="1" applyFill="1" applyBorder="1" applyAlignment="1" applyProtection="1">
      <alignment horizontal="center" vertical="center"/>
      <protection locked="0"/>
    </xf>
    <xf numFmtId="0" fontId="8" fillId="5" borderId="133" xfId="0" applyFont="1" applyFill="1" applyBorder="1" applyAlignment="1" applyProtection="1">
      <alignment horizontal="right" vertical="center"/>
      <protection locked="0"/>
    </xf>
    <xf numFmtId="0" fontId="8" fillId="5" borderId="14" xfId="0" applyFont="1" applyFill="1" applyBorder="1" applyAlignment="1" applyProtection="1">
      <alignment horizontal="right" vertical="center"/>
      <protection locked="0"/>
    </xf>
    <xf numFmtId="0" fontId="8" fillId="5" borderId="134" xfId="0" applyFont="1" applyFill="1" applyBorder="1" applyAlignment="1" applyProtection="1">
      <alignment horizontal="right" vertical="center"/>
      <protection locked="0"/>
    </xf>
    <xf numFmtId="38" fontId="8" fillId="5" borderId="58" xfId="3" applyFont="1" applyFill="1" applyBorder="1" applyAlignment="1" applyProtection="1">
      <alignment horizontal="right" vertical="center"/>
      <protection locked="0"/>
    </xf>
    <xf numFmtId="38" fontId="8" fillId="5" borderId="99" xfId="3" applyFont="1" applyFill="1" applyBorder="1" applyAlignment="1" applyProtection="1">
      <alignment horizontal="right" vertical="center"/>
      <protection locked="0"/>
    </xf>
    <xf numFmtId="38" fontId="8" fillId="5" borderId="56" xfId="3" applyFont="1" applyFill="1" applyBorder="1" applyAlignment="1" applyProtection="1">
      <alignment horizontal="right" vertical="center"/>
      <protection locked="0"/>
    </xf>
    <xf numFmtId="38" fontId="8" fillId="4" borderId="136" xfId="3" applyNumberFormat="1" applyFont="1" applyFill="1" applyBorder="1" applyAlignment="1" applyProtection="1">
      <alignment horizontal="right" vertical="center"/>
      <protection hidden="1"/>
    </xf>
    <xf numFmtId="38" fontId="29" fillId="0" borderId="108" xfId="4" applyFont="1" applyBorder="1" applyAlignment="1">
      <alignment horizontal="left" vertical="center"/>
    </xf>
    <xf numFmtId="38" fontId="29" fillId="0" borderId="0" xfId="4" applyFont="1" applyBorder="1" applyAlignment="1">
      <alignment horizontal="left" vertical="center"/>
    </xf>
    <xf numFmtId="38" fontId="27" fillId="0" borderId="110" xfId="4" applyFont="1" applyBorder="1" applyAlignment="1">
      <alignment horizontal="left" vertical="center"/>
    </xf>
    <xf numFmtId="38" fontId="27" fillId="0" borderId="111" xfId="4" applyFont="1" applyBorder="1" applyAlignment="1">
      <alignment horizontal="left" vertical="center"/>
    </xf>
    <xf numFmtId="38" fontId="28" fillId="0" borderId="108" xfId="4" applyFont="1" applyBorder="1" applyAlignment="1">
      <alignment horizontal="left" vertical="center"/>
    </xf>
    <xf numFmtId="38" fontId="28" fillId="0" borderId="0" xfId="4" applyFont="1" applyBorder="1" applyAlignment="1">
      <alignment horizontal="left" vertical="center"/>
    </xf>
    <xf numFmtId="38" fontId="29" fillId="0" borderId="108" xfId="4" applyFont="1" applyBorder="1" applyAlignment="1">
      <alignment horizontal="left" vertical="center" shrinkToFit="1"/>
    </xf>
    <xf numFmtId="38" fontId="29" fillId="0" borderId="0" xfId="4" applyFont="1" applyBorder="1" applyAlignment="1">
      <alignment horizontal="left" vertical="center" shrinkToFit="1"/>
    </xf>
    <xf numFmtId="176" fontId="27" fillId="6" borderId="23" xfId="4" applyNumberFormat="1" applyFont="1" applyFill="1" applyBorder="1" applyAlignment="1">
      <alignment horizontal="center" vertical="center" wrapText="1"/>
    </xf>
    <xf numFmtId="176" fontId="27" fillId="6" borderId="24" xfId="4" applyNumberFormat="1" applyFont="1" applyFill="1" applyBorder="1" applyAlignment="1">
      <alignment horizontal="center" vertical="center" wrapText="1"/>
    </xf>
    <xf numFmtId="176" fontId="27" fillId="6" borderId="66" xfId="4" applyNumberFormat="1" applyFont="1" applyFill="1" applyBorder="1" applyAlignment="1">
      <alignment horizontal="center" vertical="center" wrapText="1"/>
    </xf>
    <xf numFmtId="176" fontId="27" fillId="6" borderId="20" xfId="4" applyNumberFormat="1" applyFont="1" applyFill="1" applyBorder="1" applyAlignment="1">
      <alignment horizontal="center" vertical="center" wrapText="1"/>
    </xf>
    <xf numFmtId="176" fontId="27" fillId="6" borderId="0" xfId="4" applyNumberFormat="1" applyFont="1" applyFill="1" applyBorder="1" applyAlignment="1">
      <alignment horizontal="center" vertical="center" wrapText="1"/>
    </xf>
    <xf numFmtId="176" fontId="27" fillId="6" borderId="30" xfId="4" applyNumberFormat="1" applyFont="1" applyFill="1" applyBorder="1" applyAlignment="1">
      <alignment horizontal="center" vertical="center" wrapText="1"/>
    </xf>
    <xf numFmtId="0" fontId="26" fillId="6" borderId="124" xfId="6" applyFont="1" applyFill="1" applyBorder="1" applyAlignment="1">
      <alignment horizontal="center" vertical="center" wrapText="1"/>
    </xf>
    <xf numFmtId="0" fontId="26" fillId="6" borderId="21" xfId="6" applyFont="1" applyFill="1" applyBorder="1" applyAlignment="1">
      <alignment horizontal="center" vertical="center" wrapText="1"/>
    </xf>
    <xf numFmtId="0" fontId="26" fillId="6" borderId="80" xfId="6" applyFont="1" applyFill="1" applyBorder="1" applyAlignment="1">
      <alignment horizontal="center" vertical="center" wrapText="1"/>
    </xf>
    <xf numFmtId="10" fontId="18" fillId="0" borderId="23" xfId="2" quotePrefix="1" applyNumberFormat="1" applyFont="1" applyFill="1" applyBorder="1" applyAlignment="1" applyProtection="1">
      <alignment horizontal="center" vertical="center"/>
      <protection locked="0"/>
    </xf>
    <xf numFmtId="10" fontId="18" fillId="0" borderId="24" xfId="2" quotePrefix="1" applyNumberFormat="1" applyFont="1" applyFill="1" applyBorder="1" applyAlignment="1" applyProtection="1">
      <alignment horizontal="center" vertical="center"/>
      <protection locked="0"/>
    </xf>
    <xf numFmtId="10" fontId="18" fillId="0" borderId="22" xfId="2" quotePrefix="1" applyNumberFormat="1" applyFont="1" applyFill="1" applyBorder="1" applyAlignment="1" applyProtection="1">
      <alignment horizontal="center" vertical="center"/>
      <protection locked="0"/>
    </xf>
    <xf numFmtId="10" fontId="18" fillId="0" borderId="124" xfId="2" quotePrefix="1" applyNumberFormat="1" applyFont="1" applyFill="1" applyBorder="1" applyAlignment="1" applyProtection="1">
      <alignment horizontal="center" vertical="center"/>
      <protection locked="0"/>
    </xf>
    <xf numFmtId="10" fontId="18" fillId="0" borderId="21" xfId="2" quotePrefix="1" applyNumberFormat="1" applyFont="1" applyFill="1" applyBorder="1" applyAlignment="1" applyProtection="1">
      <alignment horizontal="center" vertical="center"/>
      <protection locked="0"/>
    </xf>
    <xf numFmtId="10" fontId="18" fillId="0" borderId="11" xfId="2" quotePrefix="1" applyNumberFormat="1" applyFont="1" applyFill="1" applyBorder="1" applyAlignment="1" applyProtection="1">
      <alignment horizontal="center" vertical="center"/>
      <protection locked="0"/>
    </xf>
    <xf numFmtId="177" fontId="18" fillId="0" borderId="0" xfId="2" quotePrefix="1" applyNumberFormat="1" applyFont="1" applyFill="1" applyBorder="1" applyAlignment="1" applyProtection="1">
      <alignment horizontal="center" vertical="center"/>
      <protection locked="0"/>
    </xf>
    <xf numFmtId="177" fontId="18" fillId="0" borderId="7" xfId="2" quotePrefix="1" applyNumberFormat="1" applyFont="1" applyFill="1" applyBorder="1" applyAlignment="1" applyProtection="1">
      <alignment horizontal="center" vertical="center"/>
      <protection locked="0"/>
    </xf>
    <xf numFmtId="38" fontId="27" fillId="0" borderId="108" xfId="4" applyFont="1" applyBorder="1" applyAlignment="1">
      <alignment horizontal="left" vertical="center"/>
    </xf>
    <xf numFmtId="38" fontId="27" fillId="0" borderId="0" xfId="4" applyFont="1" applyBorder="1" applyAlignment="1">
      <alignment horizontal="left" vertical="center"/>
    </xf>
    <xf numFmtId="0" fontId="30" fillId="0" borderId="0" xfId="6" applyFont="1" applyBorder="1" applyAlignment="1">
      <alignment horizontal="left" vertical="center" shrinkToFit="1"/>
    </xf>
    <xf numFmtId="180" fontId="28" fillId="0" borderId="0" xfId="4" applyNumberFormat="1" applyFont="1" applyFill="1" applyBorder="1" applyAlignment="1">
      <alignment horizontal="left" vertical="center" wrapText="1"/>
    </xf>
    <xf numFmtId="38" fontId="28" fillId="0" borderId="0" xfId="4" applyFont="1" applyAlignment="1">
      <alignment horizontal="left" vertical="center"/>
    </xf>
    <xf numFmtId="38" fontId="27" fillId="0" borderId="23" xfId="4" applyFont="1" applyFill="1" applyBorder="1" applyAlignment="1">
      <alignment horizontal="center" vertical="center"/>
    </xf>
    <xf numFmtId="38" fontId="27" fillId="0" borderId="63" xfId="4" quotePrefix="1" applyFont="1" applyFill="1" applyBorder="1" applyAlignment="1">
      <alignment horizontal="center" vertical="center"/>
    </xf>
    <xf numFmtId="38" fontId="27" fillId="0" borderId="124" xfId="4" quotePrefix="1" applyFont="1" applyFill="1" applyBorder="1" applyAlignment="1">
      <alignment horizontal="center" vertical="center"/>
    </xf>
    <xf numFmtId="38" fontId="27" fillId="0" borderId="86" xfId="4" quotePrefix="1" applyFont="1" applyFill="1" applyBorder="1" applyAlignment="1">
      <alignment horizontal="center" vertical="center"/>
    </xf>
    <xf numFmtId="38" fontId="27" fillId="0" borderId="24" xfId="4" applyFont="1" applyFill="1" applyBorder="1" applyAlignment="1">
      <alignment horizontal="center" vertical="center"/>
    </xf>
    <xf numFmtId="0" fontId="26" fillId="0" borderId="63" xfId="6" applyFont="1" applyBorder="1" applyAlignment="1">
      <alignment horizontal="center" vertical="center"/>
    </xf>
    <xf numFmtId="0" fontId="26" fillId="0" borderId="21" xfId="6" applyFont="1" applyBorder="1" applyAlignment="1">
      <alignment horizontal="center" vertical="center"/>
    </xf>
    <xf numFmtId="0" fontId="26" fillId="0" borderId="86" xfId="6" applyFont="1" applyBorder="1" applyAlignment="1">
      <alignment horizontal="center" vertical="center"/>
    </xf>
    <xf numFmtId="38" fontId="27" fillId="0" borderId="64" xfId="4" quotePrefix="1" applyFont="1" applyFill="1" applyBorder="1" applyAlignment="1">
      <alignment horizontal="center" vertical="center"/>
    </xf>
    <xf numFmtId="38" fontId="27" fillId="0" borderId="22" xfId="4" quotePrefix="1" applyFont="1" applyFill="1" applyBorder="1" applyAlignment="1">
      <alignment horizontal="center" vertical="center"/>
    </xf>
    <xf numFmtId="38" fontId="27" fillId="0" borderId="81" xfId="4" quotePrefix="1" applyFont="1" applyFill="1" applyBorder="1" applyAlignment="1">
      <alignment horizontal="center" vertical="center"/>
    </xf>
    <xf numFmtId="38" fontId="27" fillId="0" borderId="11" xfId="4" quotePrefix="1" applyFont="1" applyFill="1" applyBorder="1" applyAlignment="1">
      <alignment horizontal="center" vertical="center"/>
    </xf>
    <xf numFmtId="38" fontId="27" fillId="0" borderId="66" xfId="4" quotePrefix="1" applyFont="1" applyFill="1" applyBorder="1" applyAlignment="1">
      <alignment horizontal="center" vertical="center"/>
    </xf>
    <xf numFmtId="38" fontId="27" fillId="0" borderId="21" xfId="4" quotePrefix="1" applyFont="1" applyFill="1" applyBorder="1" applyAlignment="1">
      <alignment horizontal="center" vertical="center"/>
    </xf>
    <xf numFmtId="38" fontId="27" fillId="0" borderId="80" xfId="4" quotePrefix="1" applyFont="1" applyFill="1" applyBorder="1" applyAlignment="1">
      <alignment horizontal="center" vertical="center"/>
    </xf>
    <xf numFmtId="38" fontId="27" fillId="0" borderId="82" xfId="4" applyFont="1" applyFill="1" applyBorder="1" applyAlignment="1">
      <alignment horizontal="center" vertical="center"/>
    </xf>
    <xf numFmtId="38" fontId="27" fillId="0" borderId="83" xfId="4" applyFont="1" applyFill="1" applyBorder="1" applyAlignment="1">
      <alignment horizontal="center" vertical="center"/>
    </xf>
    <xf numFmtId="38" fontId="28" fillId="0" borderId="0" xfId="4" applyFont="1" applyFill="1" applyBorder="1" applyAlignment="1">
      <alignment horizontal="left" vertical="center" wrapText="1"/>
    </xf>
    <xf numFmtId="38" fontId="31" fillId="0" borderId="0" xfId="4" applyFont="1" applyBorder="1" applyAlignment="1">
      <alignment horizontal="left" vertical="center"/>
    </xf>
    <xf numFmtId="0" fontId="30" fillId="0" borderId="0" xfId="6" applyFont="1" applyBorder="1" applyAlignment="1">
      <alignment horizontal="left" vertical="center"/>
    </xf>
    <xf numFmtId="38" fontId="28" fillId="0" borderId="0" xfId="4" applyFont="1" applyFill="1" applyBorder="1" applyAlignment="1">
      <alignment vertical="center" wrapText="1"/>
    </xf>
    <xf numFmtId="0" fontId="32" fillId="0" borderId="0" xfId="6" applyFont="1" applyAlignment="1">
      <alignment vertical="center"/>
    </xf>
    <xf numFmtId="38" fontId="33" fillId="0" borderId="0" xfId="4" applyFont="1" applyFill="1" applyBorder="1" applyAlignment="1">
      <alignment horizontal="center" vertical="top" wrapText="1"/>
    </xf>
    <xf numFmtId="0" fontId="34" fillId="0" borderId="0" xfId="6" applyFont="1" applyAlignment="1">
      <alignment horizontal="center" vertical="top" wrapText="1"/>
    </xf>
    <xf numFmtId="38" fontId="0" fillId="0" borderId="72" xfId="4" applyFont="1" applyFill="1" applyBorder="1" applyAlignment="1">
      <alignment horizontal="left" vertical="center" wrapText="1"/>
    </xf>
    <xf numFmtId="38" fontId="18" fillId="0" borderId="72" xfId="4" applyFont="1" applyFill="1" applyBorder="1" applyAlignment="1">
      <alignment horizontal="left" vertical="center" wrapText="1"/>
    </xf>
    <xf numFmtId="38" fontId="27" fillId="0" borderId="73" xfId="4" applyFont="1" applyFill="1" applyBorder="1" applyAlignment="1">
      <alignment horizontal="center" vertical="center"/>
    </xf>
    <xf numFmtId="38" fontId="27" fillId="0" borderId="74" xfId="4" applyFont="1" applyFill="1" applyBorder="1" applyAlignment="1">
      <alignment horizontal="center" vertical="center"/>
    </xf>
    <xf numFmtId="38" fontId="27" fillId="0" borderId="75" xfId="4" applyFont="1" applyFill="1" applyBorder="1" applyAlignment="1">
      <alignment horizontal="center" vertical="center"/>
    </xf>
    <xf numFmtId="38" fontId="27" fillId="0" borderId="65" xfId="4" applyFont="1" applyFill="1" applyBorder="1" applyAlignment="1">
      <alignment horizontal="center" vertical="center"/>
    </xf>
    <xf numFmtId="38" fontId="27" fillId="0" borderId="0" xfId="4" applyFont="1" applyFill="1" applyBorder="1" applyAlignment="1">
      <alignment horizontal="center" vertical="center"/>
    </xf>
    <xf numFmtId="38" fontId="27" fillId="0" borderId="117" xfId="4" applyFont="1" applyFill="1" applyBorder="1" applyAlignment="1">
      <alignment horizontal="center" vertical="center"/>
    </xf>
    <xf numFmtId="38" fontId="27" fillId="0" borderId="7" xfId="4" applyFont="1" applyFill="1" applyBorder="1" applyAlignment="1">
      <alignment horizontal="center" vertical="center"/>
    </xf>
    <xf numFmtId="38" fontId="27" fillId="0" borderId="21" xfId="4" applyFont="1" applyFill="1" applyBorder="1" applyAlignment="1">
      <alignment horizontal="center" vertical="center"/>
    </xf>
    <xf numFmtId="38" fontId="27" fillId="6" borderId="76" xfId="4" applyFont="1" applyFill="1" applyBorder="1" applyAlignment="1">
      <alignment horizontal="center" vertical="center"/>
    </xf>
    <xf numFmtId="38" fontId="27" fillId="6" borderId="77" xfId="4" applyFont="1" applyFill="1" applyBorder="1" applyAlignment="1">
      <alignment horizontal="center" vertical="center"/>
    </xf>
    <xf numFmtId="38" fontId="27" fillId="6" borderId="78" xfId="4" applyFont="1" applyFill="1" applyBorder="1" applyAlignment="1">
      <alignment horizontal="center" vertical="center"/>
    </xf>
    <xf numFmtId="0" fontId="26" fillId="6" borderId="77" xfId="6" applyFont="1" applyFill="1" applyBorder="1" applyAlignment="1">
      <alignment horizontal="center" vertical="center"/>
    </xf>
    <xf numFmtId="0" fontId="26" fillId="6" borderId="78" xfId="6" applyFont="1" applyFill="1" applyBorder="1" applyAlignment="1">
      <alignment horizontal="center" vertical="center"/>
    </xf>
    <xf numFmtId="38" fontId="27" fillId="6" borderId="27" xfId="4" applyFont="1" applyFill="1" applyBorder="1" applyAlignment="1">
      <alignment horizontal="center" vertical="center" wrapText="1"/>
    </xf>
    <xf numFmtId="38" fontId="27" fillId="6" borderId="24" xfId="4" applyFont="1" applyFill="1" applyBorder="1" applyAlignment="1">
      <alignment horizontal="center" vertical="center" wrapText="1"/>
    </xf>
    <xf numFmtId="38" fontId="27" fillId="6" borderId="28" xfId="4" applyFont="1" applyFill="1" applyBorder="1" applyAlignment="1">
      <alignment horizontal="center" vertical="center" wrapText="1"/>
    </xf>
    <xf numFmtId="38" fontId="27" fillId="6" borderId="54" xfId="4" applyFont="1" applyFill="1" applyBorder="1" applyAlignment="1">
      <alignment horizontal="center" vertical="center" wrapText="1"/>
    </xf>
    <xf numFmtId="38" fontId="27" fillId="6" borderId="0" xfId="4" applyFont="1" applyFill="1" applyBorder="1" applyAlignment="1">
      <alignment horizontal="center" vertical="center" wrapText="1"/>
    </xf>
    <xf numFmtId="38" fontId="27" fillId="6" borderId="55" xfId="4" applyFont="1" applyFill="1" applyBorder="1" applyAlignment="1">
      <alignment horizontal="center" vertical="center" wrapText="1"/>
    </xf>
    <xf numFmtId="38" fontId="27" fillId="6" borderId="135" xfId="4" applyFont="1" applyFill="1" applyBorder="1" applyAlignment="1">
      <alignment horizontal="center" vertical="center" wrapText="1"/>
    </xf>
    <xf numFmtId="38" fontId="27" fillId="6" borderId="21" xfId="4" applyFont="1" applyFill="1" applyBorder="1" applyAlignment="1">
      <alignment horizontal="center" vertical="center" wrapText="1"/>
    </xf>
    <xf numFmtId="38" fontId="27" fillId="6" borderId="79" xfId="4" applyFont="1" applyFill="1" applyBorder="1" applyAlignment="1">
      <alignment horizontal="center" vertical="center" wrapText="1"/>
    </xf>
    <xf numFmtId="176" fontId="27" fillId="6" borderId="27" xfId="4" applyNumberFormat="1" applyFont="1" applyFill="1" applyBorder="1" applyAlignment="1">
      <alignment horizontal="center" vertical="center" wrapText="1"/>
    </xf>
    <xf numFmtId="176" fontId="27" fillId="6" borderId="54" xfId="4" applyNumberFormat="1" applyFont="1" applyFill="1" applyBorder="1" applyAlignment="1">
      <alignment horizontal="center" vertical="center" wrapText="1"/>
    </xf>
    <xf numFmtId="176" fontId="27" fillId="6" borderId="135" xfId="4" applyNumberFormat="1" applyFont="1" applyFill="1" applyBorder="1" applyAlignment="1">
      <alignment horizontal="center" vertical="center" wrapText="1"/>
    </xf>
    <xf numFmtId="176" fontId="27" fillId="6" borderId="21" xfId="4" applyNumberFormat="1" applyFont="1" applyFill="1" applyBorder="1" applyAlignment="1">
      <alignment horizontal="center" vertical="center" wrapText="1"/>
    </xf>
    <xf numFmtId="176" fontId="27" fillId="6" borderId="80" xfId="4" applyNumberFormat="1" applyFont="1" applyFill="1" applyBorder="1" applyAlignment="1">
      <alignment horizontal="center" vertical="center" wrapText="1"/>
    </xf>
    <xf numFmtId="176" fontId="27" fillId="6" borderId="84" xfId="4" applyNumberFormat="1" applyFont="1" applyFill="1" applyBorder="1" applyAlignment="1">
      <alignment horizontal="center" vertical="center" wrapText="1"/>
    </xf>
    <xf numFmtId="176" fontId="27" fillId="6" borderId="22" xfId="4" applyNumberFormat="1" applyFont="1" applyFill="1" applyBorder="1" applyAlignment="1">
      <alignment horizontal="center" vertical="center" wrapText="1"/>
    </xf>
    <xf numFmtId="176" fontId="27" fillId="6" borderId="65" xfId="4" applyNumberFormat="1" applyFont="1" applyFill="1" applyBorder="1" applyAlignment="1">
      <alignment horizontal="center" vertical="center" wrapText="1"/>
    </xf>
    <xf numFmtId="176" fontId="27" fillId="6" borderId="7" xfId="4" applyNumberFormat="1" applyFont="1" applyFill="1" applyBorder="1" applyAlignment="1">
      <alignment horizontal="center" vertical="center" wrapText="1"/>
    </xf>
    <xf numFmtId="0" fontId="26" fillId="6" borderId="85" xfId="6" applyFont="1" applyFill="1" applyBorder="1" applyAlignment="1">
      <alignment horizontal="center" vertical="center" wrapText="1"/>
    </xf>
    <xf numFmtId="0" fontId="26" fillId="6" borderId="11" xfId="6" applyFont="1" applyFill="1" applyBorder="1" applyAlignment="1">
      <alignment horizontal="center" vertical="center" wrapText="1"/>
    </xf>
    <xf numFmtId="10" fontId="18" fillId="0" borderId="88" xfId="2" quotePrefix="1" applyNumberFormat="1" applyFont="1" applyFill="1" applyBorder="1" applyAlignment="1" applyProtection="1">
      <alignment horizontal="center" vertical="center"/>
      <protection locked="0"/>
    </xf>
    <xf numFmtId="178" fontId="18" fillId="0" borderId="89" xfId="2" quotePrefix="1" applyNumberFormat="1" applyFont="1" applyFill="1" applyBorder="1" applyAlignment="1" applyProtection="1">
      <alignment horizontal="center" vertical="center"/>
      <protection locked="0"/>
    </xf>
    <xf numFmtId="178" fontId="18" fillId="0" borderId="90" xfId="2" quotePrefix="1" applyNumberFormat="1" applyFont="1" applyFill="1" applyBorder="1" applyAlignment="1" applyProtection="1">
      <alignment horizontal="center" vertical="center"/>
      <protection locked="0"/>
    </xf>
    <xf numFmtId="178" fontId="18" fillId="0" borderId="124" xfId="2" quotePrefix="1" applyNumberFormat="1" applyFont="1" applyFill="1" applyBorder="1" applyAlignment="1" applyProtection="1">
      <alignment horizontal="center" vertical="center"/>
      <protection locked="0"/>
    </xf>
    <xf numFmtId="178" fontId="18" fillId="0" borderId="21" xfId="2" quotePrefix="1" applyNumberFormat="1" applyFont="1" applyFill="1" applyBorder="1" applyAlignment="1" applyProtection="1">
      <alignment horizontal="center" vertical="center"/>
      <protection locked="0"/>
    </xf>
    <xf numFmtId="178" fontId="18" fillId="0" borderId="80" xfId="2" quotePrefix="1" applyNumberFormat="1" applyFont="1" applyFill="1" applyBorder="1" applyAlignment="1" applyProtection="1">
      <alignment horizontal="center" vertical="center"/>
      <protection locked="0"/>
    </xf>
    <xf numFmtId="38" fontId="35" fillId="0" borderId="0" xfId="4" applyFont="1" applyFill="1" applyBorder="1" applyAlignment="1">
      <alignment vertical="top" wrapText="1"/>
    </xf>
    <xf numFmtId="38" fontId="27" fillId="0" borderId="87" xfId="4" applyFont="1" applyFill="1" applyBorder="1" applyAlignment="1">
      <alignment horizontal="center" vertical="center"/>
    </xf>
    <xf numFmtId="38" fontId="27" fillId="0" borderId="91" xfId="4" applyFont="1" applyFill="1" applyBorder="1" applyAlignment="1">
      <alignment horizontal="center" vertical="center"/>
    </xf>
    <xf numFmtId="38" fontId="27" fillId="0" borderId="135" xfId="4" applyFont="1" applyFill="1" applyBorder="1" applyAlignment="1">
      <alignment horizontal="center" vertical="center"/>
    </xf>
    <xf numFmtId="38" fontId="27" fillId="0" borderId="22" xfId="4" applyFont="1" applyFill="1" applyBorder="1" applyAlignment="1">
      <alignment horizontal="center" vertical="center"/>
    </xf>
    <xf numFmtId="38" fontId="27" fillId="0" borderId="124" xfId="4" applyFont="1" applyFill="1" applyBorder="1" applyAlignment="1">
      <alignment horizontal="center" vertical="center"/>
    </xf>
    <xf numFmtId="38" fontId="27" fillId="0" borderId="11" xfId="4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0" fillId="0" borderId="25" xfId="0" applyFont="1" applyBorder="1" applyAlignment="1">
      <alignment horizontal="center" vertical="center" shrinkToFit="1"/>
    </xf>
    <xf numFmtId="0" fontId="13" fillId="8" borderId="118" xfId="0" applyFont="1" applyFill="1" applyBorder="1">
      <alignment vertical="center"/>
    </xf>
    <xf numFmtId="0" fontId="13" fillId="0" borderId="118" xfId="0" applyFont="1" applyBorder="1" applyAlignment="1">
      <alignment vertical="top" wrapText="1"/>
    </xf>
    <xf numFmtId="0" fontId="8" fillId="3" borderId="59" xfId="0" applyFont="1" applyFill="1" applyBorder="1" applyAlignment="1" applyProtection="1">
      <alignment horizontal="center" vertical="center"/>
      <protection hidden="1"/>
    </xf>
    <xf numFmtId="0" fontId="8" fillId="3" borderId="57" xfId="0" applyFont="1" applyFill="1" applyBorder="1" applyAlignment="1" applyProtection="1">
      <alignment horizontal="center" vertical="center"/>
      <protection hidden="1"/>
    </xf>
    <xf numFmtId="0" fontId="8" fillId="3" borderId="71" xfId="0" applyFont="1" applyFill="1" applyBorder="1" applyAlignment="1" applyProtection="1">
      <alignment horizontal="center" vertical="center"/>
      <protection hidden="1"/>
    </xf>
    <xf numFmtId="0" fontId="8" fillId="3" borderId="60" xfId="0" applyFont="1" applyFill="1" applyBorder="1" applyAlignment="1" applyProtection="1">
      <alignment horizontal="center" vertical="center"/>
      <protection hidden="1"/>
    </xf>
    <xf numFmtId="0" fontId="8" fillId="3" borderId="93" xfId="0" applyFont="1" applyFill="1" applyBorder="1" applyAlignment="1" applyProtection="1">
      <alignment horizontal="center" vertical="center"/>
      <protection hidden="1"/>
    </xf>
    <xf numFmtId="0" fontId="17" fillId="3" borderId="61" xfId="0" applyFont="1" applyFill="1" applyBorder="1" applyAlignment="1" applyProtection="1">
      <alignment horizontal="center" vertical="center"/>
      <protection hidden="1"/>
    </xf>
    <xf numFmtId="0" fontId="8" fillId="3" borderId="4" xfId="0" applyFont="1" applyFill="1" applyBorder="1" applyAlignment="1" applyProtection="1">
      <alignment horizontal="center" vertical="center" wrapText="1"/>
      <protection hidden="1"/>
    </xf>
    <xf numFmtId="0" fontId="8" fillId="3" borderId="62" xfId="0" applyFont="1" applyFill="1" applyBorder="1" applyAlignment="1" applyProtection="1">
      <alignment horizontal="center" vertical="center"/>
      <protection hidden="1"/>
    </xf>
    <xf numFmtId="0" fontId="8" fillId="3" borderId="93" xfId="0" applyFont="1" applyFill="1" applyBorder="1" applyAlignment="1" applyProtection="1">
      <alignment horizontal="center" vertical="center"/>
    </xf>
    <xf numFmtId="0" fontId="8" fillId="3" borderId="59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9" fontId="8" fillId="5" borderId="120" xfId="7" applyFont="1" applyFill="1" applyBorder="1" applyAlignment="1" applyProtection="1">
      <alignment horizontal="center" vertical="center"/>
      <protection hidden="1"/>
    </xf>
    <xf numFmtId="9" fontId="0" fillId="5" borderId="17" xfId="7" applyFont="1" applyFill="1" applyBorder="1" applyAlignment="1" applyProtection="1">
      <alignment horizontal="center" vertical="center"/>
      <protection hidden="1"/>
    </xf>
    <xf numFmtId="0" fontId="8" fillId="3" borderId="58" xfId="0" applyFont="1" applyFill="1" applyBorder="1" applyAlignment="1" applyProtection="1">
      <alignment horizontal="center" vertical="center"/>
    </xf>
    <xf numFmtId="0" fontId="8" fillId="3" borderId="102" xfId="0" applyFont="1" applyFill="1" applyBorder="1" applyAlignment="1" applyProtection="1">
      <alignment horizontal="center" vertical="center"/>
    </xf>
    <xf numFmtId="0" fontId="8" fillId="5" borderId="96" xfId="0" applyFont="1" applyFill="1" applyBorder="1" applyAlignment="1" applyProtection="1">
      <alignment horizontal="center" vertical="center"/>
      <protection hidden="1"/>
    </xf>
    <xf numFmtId="0" fontId="0" fillId="5" borderId="122" xfId="0" applyFill="1" applyBorder="1" applyAlignment="1" applyProtection="1">
      <alignment horizontal="center" vertical="center"/>
      <protection hidden="1"/>
    </xf>
    <xf numFmtId="0" fontId="8" fillId="5" borderId="11" xfId="0" applyFont="1" applyFill="1" applyBorder="1" applyAlignment="1" applyProtection="1">
      <alignment horizontal="center" vertical="center"/>
      <protection hidden="1"/>
    </xf>
    <xf numFmtId="0" fontId="0" fillId="5" borderId="22" xfId="0" applyFill="1" applyBorder="1" applyAlignment="1" applyProtection="1">
      <alignment horizontal="center" vertical="center"/>
      <protection hidden="1"/>
    </xf>
    <xf numFmtId="0" fontId="8" fillId="5" borderId="92" xfId="0" applyFont="1" applyFill="1" applyBorder="1" applyAlignment="1" applyProtection="1">
      <alignment horizontal="center" vertical="center"/>
      <protection hidden="1"/>
    </xf>
    <xf numFmtId="0" fontId="0" fillId="5" borderId="17" xfId="0" applyFill="1" applyBorder="1" applyAlignment="1" applyProtection="1">
      <alignment horizontal="center" vertical="center"/>
      <protection hidden="1"/>
    </xf>
    <xf numFmtId="0" fontId="8" fillId="4" borderId="21" xfId="0" applyFont="1" applyFill="1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alignment horizontal="center" vertical="center"/>
      <protection hidden="1"/>
    </xf>
    <xf numFmtId="0" fontId="8" fillId="4" borderId="120" xfId="0" applyFont="1" applyFill="1" applyBorder="1" applyAlignment="1" applyProtection="1">
      <alignment horizontal="center" vertical="center"/>
      <protection hidden="1"/>
    </xf>
    <xf numFmtId="0" fontId="0" fillId="4" borderId="17" xfId="0" applyFill="1" applyBorder="1" applyAlignment="1" applyProtection="1">
      <alignment horizontal="center" vertical="center"/>
      <protection hidden="1"/>
    </xf>
    <xf numFmtId="0" fontId="8" fillId="5" borderId="124" xfId="0" applyFont="1" applyFill="1" applyBorder="1" applyAlignment="1" applyProtection="1">
      <alignment horizontal="center" vertical="center"/>
      <protection hidden="1"/>
    </xf>
    <xf numFmtId="0" fontId="0" fillId="5" borderId="23" xfId="0" applyFill="1" applyBorder="1" applyAlignment="1" applyProtection="1">
      <alignment horizontal="center" vertical="center"/>
      <protection hidden="1"/>
    </xf>
    <xf numFmtId="0" fontId="8" fillId="5" borderId="95" xfId="0" applyFont="1" applyFill="1" applyBorder="1" applyAlignment="1" applyProtection="1">
      <alignment horizontal="center" vertical="center"/>
      <protection hidden="1"/>
    </xf>
    <xf numFmtId="0" fontId="0" fillId="5" borderId="16" xfId="0" applyFill="1" applyBorder="1" applyAlignment="1" applyProtection="1">
      <alignment horizontal="center" vertical="center"/>
      <protection hidden="1"/>
    </xf>
    <xf numFmtId="0" fontId="8" fillId="3" borderId="3" xfId="0" applyFont="1" applyFill="1" applyBorder="1" applyAlignment="1" applyProtection="1">
      <alignment horizontal="center" vertical="center"/>
      <protection hidden="1"/>
    </xf>
    <xf numFmtId="0" fontId="8" fillId="3" borderId="113" xfId="0" applyFont="1" applyFill="1" applyBorder="1" applyAlignment="1" applyProtection="1">
      <alignment horizontal="center" vertical="center"/>
      <protection hidden="1"/>
    </xf>
    <xf numFmtId="0" fontId="8" fillId="3" borderId="58" xfId="0" applyFont="1" applyFill="1" applyBorder="1" applyAlignment="1" applyProtection="1">
      <alignment horizontal="center" vertical="center"/>
      <protection hidden="1"/>
    </xf>
    <xf numFmtId="0" fontId="0" fillId="0" borderId="102" xfId="0" applyBorder="1" applyAlignment="1">
      <alignment horizontal="center" vertical="center"/>
    </xf>
    <xf numFmtId="0" fontId="0" fillId="5" borderId="60" xfId="0" applyFill="1" applyBorder="1" applyAlignment="1" applyProtection="1">
      <alignment horizontal="center" vertical="center"/>
      <protection hidden="1"/>
    </xf>
    <xf numFmtId="0" fontId="8" fillId="3" borderId="98" xfId="0" applyFont="1" applyFill="1" applyBorder="1" applyAlignment="1" applyProtection="1">
      <alignment horizontal="center" vertical="center"/>
    </xf>
    <xf numFmtId="0" fontId="8" fillId="3" borderId="103" xfId="0" applyFont="1" applyFill="1" applyBorder="1" applyAlignment="1" applyProtection="1">
      <alignment horizontal="center" vertical="center"/>
    </xf>
    <xf numFmtId="0" fontId="8" fillId="5" borderId="13" xfId="0" applyFont="1" applyFill="1" applyBorder="1" applyAlignment="1" applyProtection="1">
      <alignment horizontal="center" vertical="center"/>
      <protection hidden="1"/>
    </xf>
    <xf numFmtId="0" fontId="0" fillId="5" borderId="18" xfId="0" applyFill="1" applyBorder="1" applyAlignment="1" applyProtection="1">
      <alignment horizontal="center" vertical="center"/>
      <protection hidden="1"/>
    </xf>
    <xf numFmtId="0" fontId="8" fillId="5" borderId="120" xfId="0" applyFont="1" applyFill="1" applyBorder="1" applyAlignment="1" applyProtection="1">
      <alignment horizontal="center" vertical="center"/>
      <protection hidden="1"/>
    </xf>
    <xf numFmtId="0" fontId="8" fillId="4" borderId="13" xfId="0" applyFont="1" applyFill="1" applyBorder="1" applyAlignment="1" applyProtection="1">
      <alignment horizontal="center" vertical="center"/>
      <protection hidden="1"/>
    </xf>
    <xf numFmtId="0" fontId="0" fillId="4" borderId="18" xfId="0" applyFill="1" applyBorder="1" applyAlignment="1" applyProtection="1">
      <alignment horizontal="center" vertical="center"/>
      <protection hidden="1"/>
    </xf>
    <xf numFmtId="0" fontId="8" fillId="4" borderId="104" xfId="0" applyFont="1" applyFill="1" applyBorder="1" applyAlignment="1" applyProtection="1">
      <alignment horizontal="center" vertical="center"/>
      <protection hidden="1"/>
    </xf>
    <xf numFmtId="0" fontId="0" fillId="4" borderId="123" xfId="0" applyFill="1" applyBorder="1" applyAlignment="1" applyProtection="1">
      <alignment horizontal="center" vertical="center"/>
      <protection hidden="1"/>
    </xf>
    <xf numFmtId="0" fontId="8" fillId="4" borderId="92" xfId="0" applyFont="1" applyFill="1" applyBorder="1" applyAlignment="1" applyProtection="1">
      <alignment horizontal="center" vertical="center"/>
      <protection hidden="1"/>
    </xf>
    <xf numFmtId="0" fontId="8" fillId="4" borderId="124" xfId="0" applyFont="1" applyFill="1" applyBorder="1" applyAlignment="1" applyProtection="1">
      <alignment horizontal="center" vertical="center"/>
      <protection hidden="1"/>
    </xf>
    <xf numFmtId="0" fontId="0" fillId="4" borderId="23" xfId="0" applyFill="1" applyBorder="1" applyAlignment="1" applyProtection="1">
      <alignment horizontal="center" vertical="center"/>
      <protection hidden="1"/>
    </xf>
    <xf numFmtId="0" fontId="8" fillId="4" borderId="95" xfId="0" applyFont="1" applyFill="1" applyBorder="1" applyAlignment="1" applyProtection="1">
      <alignment horizontal="center" vertical="center"/>
      <protection hidden="1"/>
    </xf>
    <xf numFmtId="0" fontId="0" fillId="4" borderId="16" xfId="0" applyFill="1" applyBorder="1" applyAlignment="1" applyProtection="1">
      <alignment horizontal="center" vertical="center"/>
      <protection hidden="1"/>
    </xf>
  </cellXfs>
  <cellStyles count="46">
    <cellStyle name="Background" xfId="41" xr:uid="{00000000-0005-0000-0000-000000000000}"/>
    <cellStyle name="パーセント" xfId="7" builtinId="5"/>
    <cellStyle name="パーセント 2" xfId="1" xr:uid="{00000000-0005-0000-0000-000002000000}"/>
    <cellStyle name="パーセント 3" xfId="2" xr:uid="{00000000-0005-0000-0000-000003000000}"/>
    <cellStyle name="パーセント 4" xfId="11" xr:uid="{00000000-0005-0000-0000-000004000000}"/>
    <cellStyle name="パーセント 4 2" xfId="21" xr:uid="{00000000-0005-0000-0000-000005000000}"/>
    <cellStyle name="パーセント 4 2 2" xfId="36" xr:uid="{00000000-0005-0000-0000-000006000000}"/>
    <cellStyle name="パーセント 4 3" xfId="30" xr:uid="{00000000-0005-0000-0000-000007000000}"/>
    <cellStyle name="パーセント 5" xfId="14" xr:uid="{00000000-0005-0000-0000-000008000000}"/>
    <cellStyle name="パーセント 5 2" xfId="24" xr:uid="{00000000-0005-0000-0000-000009000000}"/>
    <cellStyle name="パーセント 5 3" xfId="33" xr:uid="{00000000-0005-0000-0000-00000A000000}"/>
    <cellStyle name="パーセント 6" xfId="27" xr:uid="{00000000-0005-0000-0000-00000B000000}"/>
    <cellStyle name="パーセント 6 2" xfId="39" xr:uid="{00000000-0005-0000-0000-00000C000000}"/>
    <cellStyle name="パーセント 7" xfId="18" xr:uid="{00000000-0005-0000-0000-00000D000000}"/>
    <cellStyle name="パーセント 8" xfId="45" xr:uid="{00000000-0005-0000-0000-00000E000000}"/>
    <cellStyle name="桁区切り" xfId="3" builtinId="6"/>
    <cellStyle name="桁区切り 2" xfId="4" xr:uid="{00000000-0005-0000-0000-000010000000}"/>
    <cellStyle name="桁区切り 3" xfId="10" xr:uid="{00000000-0005-0000-0000-000011000000}"/>
    <cellStyle name="桁区切り 3 2" xfId="20" xr:uid="{00000000-0005-0000-0000-000012000000}"/>
    <cellStyle name="桁区切り 3 2 2" xfId="35" xr:uid="{00000000-0005-0000-0000-000013000000}"/>
    <cellStyle name="桁区切り 3 3" xfId="29" xr:uid="{00000000-0005-0000-0000-000014000000}"/>
    <cellStyle name="桁区切り 4" xfId="13" xr:uid="{00000000-0005-0000-0000-000015000000}"/>
    <cellStyle name="桁区切り 4 2" xfId="23" xr:uid="{00000000-0005-0000-0000-000016000000}"/>
    <cellStyle name="桁区切り 4 3" xfId="32" xr:uid="{00000000-0005-0000-0000-000017000000}"/>
    <cellStyle name="桁区切り 5" xfId="26" xr:uid="{00000000-0005-0000-0000-000018000000}"/>
    <cellStyle name="桁区切り 5 2" xfId="38" xr:uid="{00000000-0005-0000-0000-000019000000}"/>
    <cellStyle name="桁区切り 6" xfId="17" xr:uid="{00000000-0005-0000-0000-00001A000000}"/>
    <cellStyle name="桁区切り 6 2" xfId="42" xr:uid="{00000000-0005-0000-0000-00001B000000}"/>
    <cellStyle name="桁区切り 7" xfId="44" xr:uid="{00000000-0005-0000-0000-00001C000000}"/>
    <cellStyle name="標準" xfId="0" builtinId="0"/>
    <cellStyle name="標準 2" xfId="5" xr:uid="{00000000-0005-0000-0000-00001E000000}"/>
    <cellStyle name="標準 3" xfId="6" xr:uid="{00000000-0005-0000-0000-00001F000000}"/>
    <cellStyle name="標準 4" xfId="9" xr:uid="{00000000-0005-0000-0000-000020000000}"/>
    <cellStyle name="標準 4 2" xfId="19" xr:uid="{00000000-0005-0000-0000-000021000000}"/>
    <cellStyle name="標準 4 2 2" xfId="34" xr:uid="{00000000-0005-0000-0000-000022000000}"/>
    <cellStyle name="標準 4 3" xfId="28" xr:uid="{00000000-0005-0000-0000-000023000000}"/>
    <cellStyle name="標準 5" xfId="12" xr:uid="{00000000-0005-0000-0000-000024000000}"/>
    <cellStyle name="標準 5 2" xfId="22" xr:uid="{00000000-0005-0000-0000-000025000000}"/>
    <cellStyle name="標準 5 3" xfId="31" xr:uid="{00000000-0005-0000-0000-000026000000}"/>
    <cellStyle name="標準 6" xfId="25" xr:uid="{00000000-0005-0000-0000-000027000000}"/>
    <cellStyle name="標準 6 2" xfId="37" xr:uid="{00000000-0005-0000-0000-000028000000}"/>
    <cellStyle name="標準 7" xfId="16" xr:uid="{00000000-0005-0000-0000-000029000000}"/>
    <cellStyle name="標準 7 2" xfId="40" xr:uid="{00000000-0005-0000-0000-00002A000000}"/>
    <cellStyle name="標準 8" xfId="15" xr:uid="{00000000-0005-0000-0000-00002B000000}"/>
    <cellStyle name="標準 9" xfId="43" xr:uid="{00000000-0005-0000-0000-00002C000000}"/>
    <cellStyle name="標準_01_21" xfId="8" xr:uid="{00000000-0005-0000-0000-00002D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AV112"/>
  <sheetViews>
    <sheetView workbookViewId="0">
      <selection activeCell="C47" sqref="C47"/>
    </sheetView>
  </sheetViews>
  <sheetFormatPr defaultRowHeight="13.5"/>
  <cols>
    <col min="1" max="1" width="0.75" style="1" customWidth="1"/>
    <col min="2" max="2" width="5.125" style="1" customWidth="1"/>
    <col min="3" max="3" width="7.875" style="7" customWidth="1"/>
    <col min="4" max="4" width="0.5" style="7" customWidth="1"/>
    <col min="5" max="5" width="6.875" style="1" customWidth="1"/>
    <col min="6" max="6" width="1.25" style="1" customWidth="1"/>
    <col min="7" max="7" width="8.125" style="1" customWidth="1"/>
    <col min="8" max="8" width="2.5" style="1" customWidth="1"/>
    <col min="9" max="9" width="8.125" style="1" customWidth="1"/>
    <col min="10" max="10" width="8.75" style="1" customWidth="1"/>
    <col min="11" max="11" width="0.5" style="1" customWidth="1"/>
    <col min="12" max="12" width="8.75" style="1" customWidth="1"/>
    <col min="13" max="13" width="0.5" style="1" customWidth="1"/>
    <col min="14" max="14" width="8.75" style="8" customWidth="1"/>
    <col min="15" max="15" width="0.5" style="8" customWidth="1"/>
    <col min="16" max="16" width="8.75" style="8" customWidth="1"/>
    <col min="17" max="17" width="0.5" style="8" customWidth="1"/>
    <col min="18" max="18" width="8.75" style="8" customWidth="1"/>
    <col min="19" max="19" width="0.5" style="8" customWidth="1"/>
    <col min="20" max="20" width="8.75" style="8" customWidth="1"/>
    <col min="21" max="21" width="0.5" style="8" customWidth="1"/>
    <col min="22" max="22" width="8.75" style="8" customWidth="1"/>
    <col min="23" max="23" width="0.5" style="8" customWidth="1"/>
    <col min="24" max="24" width="8.75" style="8" customWidth="1"/>
    <col min="25" max="25" width="0.5" style="8" customWidth="1"/>
    <col min="26" max="26" width="0.75" style="1" customWidth="1"/>
    <col min="27" max="27" width="9" style="1"/>
    <col min="28" max="28" width="9" style="34"/>
    <col min="29" max="255" width="9" style="1"/>
    <col min="256" max="256" width="0.75" style="1" customWidth="1"/>
    <col min="257" max="257" width="5.125" style="1" customWidth="1"/>
    <col min="258" max="258" width="7.875" style="1" customWidth="1"/>
    <col min="259" max="259" width="0.5" style="1" customWidth="1"/>
    <col min="260" max="260" width="6.875" style="1" customWidth="1"/>
    <col min="261" max="261" width="1.25" style="1" customWidth="1"/>
    <col min="262" max="262" width="8.125" style="1" customWidth="1"/>
    <col min="263" max="263" width="2.5" style="1" customWidth="1"/>
    <col min="264" max="264" width="8.125" style="1" customWidth="1"/>
    <col min="265" max="265" width="8.75" style="1" customWidth="1"/>
    <col min="266" max="266" width="0.5" style="1" customWidth="1"/>
    <col min="267" max="267" width="8.75" style="1" customWidth="1"/>
    <col min="268" max="268" width="0.5" style="1" customWidth="1"/>
    <col min="269" max="269" width="8.75" style="1" customWidth="1"/>
    <col min="270" max="270" width="0.5" style="1" customWidth="1"/>
    <col min="271" max="271" width="8.75" style="1" customWidth="1"/>
    <col min="272" max="272" width="0.5" style="1" customWidth="1"/>
    <col min="273" max="273" width="8.75" style="1" customWidth="1"/>
    <col min="274" max="274" width="0.5" style="1" customWidth="1"/>
    <col min="275" max="275" width="8.75" style="1" customWidth="1"/>
    <col min="276" max="276" width="0.5" style="1" customWidth="1"/>
    <col min="277" max="277" width="8.75" style="1" customWidth="1"/>
    <col min="278" max="278" width="0.5" style="1" customWidth="1"/>
    <col min="279" max="279" width="8.75" style="1" customWidth="1"/>
    <col min="280" max="280" width="0.5" style="1" customWidth="1"/>
    <col min="281" max="281" width="0.75" style="1" customWidth="1"/>
    <col min="282" max="511" width="9" style="1"/>
    <col min="512" max="512" width="0.75" style="1" customWidth="1"/>
    <col min="513" max="513" width="5.125" style="1" customWidth="1"/>
    <col min="514" max="514" width="7.875" style="1" customWidth="1"/>
    <col min="515" max="515" width="0.5" style="1" customWidth="1"/>
    <col min="516" max="516" width="6.875" style="1" customWidth="1"/>
    <col min="517" max="517" width="1.25" style="1" customWidth="1"/>
    <col min="518" max="518" width="8.125" style="1" customWidth="1"/>
    <col min="519" max="519" width="2.5" style="1" customWidth="1"/>
    <col min="520" max="520" width="8.125" style="1" customWidth="1"/>
    <col min="521" max="521" width="8.75" style="1" customWidth="1"/>
    <col min="522" max="522" width="0.5" style="1" customWidth="1"/>
    <col min="523" max="523" width="8.75" style="1" customWidth="1"/>
    <col min="524" max="524" width="0.5" style="1" customWidth="1"/>
    <col min="525" max="525" width="8.75" style="1" customWidth="1"/>
    <col min="526" max="526" width="0.5" style="1" customWidth="1"/>
    <col min="527" max="527" width="8.75" style="1" customWidth="1"/>
    <col min="528" max="528" width="0.5" style="1" customWidth="1"/>
    <col min="529" max="529" width="8.75" style="1" customWidth="1"/>
    <col min="530" max="530" width="0.5" style="1" customWidth="1"/>
    <col min="531" max="531" width="8.75" style="1" customWidth="1"/>
    <col min="532" max="532" width="0.5" style="1" customWidth="1"/>
    <col min="533" max="533" width="8.75" style="1" customWidth="1"/>
    <col min="534" max="534" width="0.5" style="1" customWidth="1"/>
    <col min="535" max="535" width="8.75" style="1" customWidth="1"/>
    <col min="536" max="536" width="0.5" style="1" customWidth="1"/>
    <col min="537" max="537" width="0.75" style="1" customWidth="1"/>
    <col min="538" max="767" width="9" style="1"/>
    <col min="768" max="768" width="0.75" style="1" customWidth="1"/>
    <col min="769" max="769" width="5.125" style="1" customWidth="1"/>
    <col min="770" max="770" width="7.875" style="1" customWidth="1"/>
    <col min="771" max="771" width="0.5" style="1" customWidth="1"/>
    <col min="772" max="772" width="6.875" style="1" customWidth="1"/>
    <col min="773" max="773" width="1.25" style="1" customWidth="1"/>
    <col min="774" max="774" width="8.125" style="1" customWidth="1"/>
    <col min="775" max="775" width="2.5" style="1" customWidth="1"/>
    <col min="776" max="776" width="8.125" style="1" customWidth="1"/>
    <col min="777" max="777" width="8.75" style="1" customWidth="1"/>
    <col min="778" max="778" width="0.5" style="1" customWidth="1"/>
    <col min="779" max="779" width="8.75" style="1" customWidth="1"/>
    <col min="780" max="780" width="0.5" style="1" customWidth="1"/>
    <col min="781" max="781" width="8.75" style="1" customWidth="1"/>
    <col min="782" max="782" width="0.5" style="1" customWidth="1"/>
    <col min="783" max="783" width="8.75" style="1" customWidth="1"/>
    <col min="784" max="784" width="0.5" style="1" customWidth="1"/>
    <col min="785" max="785" width="8.75" style="1" customWidth="1"/>
    <col min="786" max="786" width="0.5" style="1" customWidth="1"/>
    <col min="787" max="787" width="8.75" style="1" customWidth="1"/>
    <col min="788" max="788" width="0.5" style="1" customWidth="1"/>
    <col min="789" max="789" width="8.75" style="1" customWidth="1"/>
    <col min="790" max="790" width="0.5" style="1" customWidth="1"/>
    <col min="791" max="791" width="8.75" style="1" customWidth="1"/>
    <col min="792" max="792" width="0.5" style="1" customWidth="1"/>
    <col min="793" max="793" width="0.75" style="1" customWidth="1"/>
    <col min="794" max="1023" width="9" style="1"/>
    <col min="1024" max="1024" width="0.75" style="1" customWidth="1"/>
    <col min="1025" max="1025" width="5.125" style="1" customWidth="1"/>
    <col min="1026" max="1026" width="7.875" style="1" customWidth="1"/>
    <col min="1027" max="1027" width="0.5" style="1" customWidth="1"/>
    <col min="1028" max="1028" width="6.875" style="1" customWidth="1"/>
    <col min="1029" max="1029" width="1.25" style="1" customWidth="1"/>
    <col min="1030" max="1030" width="8.125" style="1" customWidth="1"/>
    <col min="1031" max="1031" width="2.5" style="1" customWidth="1"/>
    <col min="1032" max="1032" width="8.125" style="1" customWidth="1"/>
    <col min="1033" max="1033" width="8.75" style="1" customWidth="1"/>
    <col min="1034" max="1034" width="0.5" style="1" customWidth="1"/>
    <col min="1035" max="1035" width="8.75" style="1" customWidth="1"/>
    <col min="1036" max="1036" width="0.5" style="1" customWidth="1"/>
    <col min="1037" max="1037" width="8.75" style="1" customWidth="1"/>
    <col min="1038" max="1038" width="0.5" style="1" customWidth="1"/>
    <col min="1039" max="1039" width="8.75" style="1" customWidth="1"/>
    <col min="1040" max="1040" width="0.5" style="1" customWidth="1"/>
    <col min="1041" max="1041" width="8.75" style="1" customWidth="1"/>
    <col min="1042" max="1042" width="0.5" style="1" customWidth="1"/>
    <col min="1043" max="1043" width="8.75" style="1" customWidth="1"/>
    <col min="1044" max="1044" width="0.5" style="1" customWidth="1"/>
    <col min="1045" max="1045" width="8.75" style="1" customWidth="1"/>
    <col min="1046" max="1046" width="0.5" style="1" customWidth="1"/>
    <col min="1047" max="1047" width="8.75" style="1" customWidth="1"/>
    <col min="1048" max="1048" width="0.5" style="1" customWidth="1"/>
    <col min="1049" max="1049" width="0.75" style="1" customWidth="1"/>
    <col min="1050" max="1279" width="9" style="1"/>
    <col min="1280" max="1280" width="0.75" style="1" customWidth="1"/>
    <col min="1281" max="1281" width="5.125" style="1" customWidth="1"/>
    <col min="1282" max="1282" width="7.875" style="1" customWidth="1"/>
    <col min="1283" max="1283" width="0.5" style="1" customWidth="1"/>
    <col min="1284" max="1284" width="6.875" style="1" customWidth="1"/>
    <col min="1285" max="1285" width="1.25" style="1" customWidth="1"/>
    <col min="1286" max="1286" width="8.125" style="1" customWidth="1"/>
    <col min="1287" max="1287" width="2.5" style="1" customWidth="1"/>
    <col min="1288" max="1288" width="8.125" style="1" customWidth="1"/>
    <col min="1289" max="1289" width="8.75" style="1" customWidth="1"/>
    <col min="1290" max="1290" width="0.5" style="1" customWidth="1"/>
    <col min="1291" max="1291" width="8.75" style="1" customWidth="1"/>
    <col min="1292" max="1292" width="0.5" style="1" customWidth="1"/>
    <col min="1293" max="1293" width="8.75" style="1" customWidth="1"/>
    <col min="1294" max="1294" width="0.5" style="1" customWidth="1"/>
    <col min="1295" max="1295" width="8.75" style="1" customWidth="1"/>
    <col min="1296" max="1296" width="0.5" style="1" customWidth="1"/>
    <col min="1297" max="1297" width="8.75" style="1" customWidth="1"/>
    <col min="1298" max="1298" width="0.5" style="1" customWidth="1"/>
    <col min="1299" max="1299" width="8.75" style="1" customWidth="1"/>
    <col min="1300" max="1300" width="0.5" style="1" customWidth="1"/>
    <col min="1301" max="1301" width="8.75" style="1" customWidth="1"/>
    <col min="1302" max="1302" width="0.5" style="1" customWidth="1"/>
    <col min="1303" max="1303" width="8.75" style="1" customWidth="1"/>
    <col min="1304" max="1304" width="0.5" style="1" customWidth="1"/>
    <col min="1305" max="1305" width="0.75" style="1" customWidth="1"/>
    <col min="1306" max="1535" width="9" style="1"/>
    <col min="1536" max="1536" width="0.75" style="1" customWidth="1"/>
    <col min="1537" max="1537" width="5.125" style="1" customWidth="1"/>
    <col min="1538" max="1538" width="7.875" style="1" customWidth="1"/>
    <col min="1539" max="1539" width="0.5" style="1" customWidth="1"/>
    <col min="1540" max="1540" width="6.875" style="1" customWidth="1"/>
    <col min="1541" max="1541" width="1.25" style="1" customWidth="1"/>
    <col min="1542" max="1542" width="8.125" style="1" customWidth="1"/>
    <col min="1543" max="1543" width="2.5" style="1" customWidth="1"/>
    <col min="1544" max="1544" width="8.125" style="1" customWidth="1"/>
    <col min="1545" max="1545" width="8.75" style="1" customWidth="1"/>
    <col min="1546" max="1546" width="0.5" style="1" customWidth="1"/>
    <col min="1547" max="1547" width="8.75" style="1" customWidth="1"/>
    <col min="1548" max="1548" width="0.5" style="1" customWidth="1"/>
    <col min="1549" max="1549" width="8.75" style="1" customWidth="1"/>
    <col min="1550" max="1550" width="0.5" style="1" customWidth="1"/>
    <col min="1551" max="1551" width="8.75" style="1" customWidth="1"/>
    <col min="1552" max="1552" width="0.5" style="1" customWidth="1"/>
    <col min="1553" max="1553" width="8.75" style="1" customWidth="1"/>
    <col min="1554" max="1554" width="0.5" style="1" customWidth="1"/>
    <col min="1555" max="1555" width="8.75" style="1" customWidth="1"/>
    <col min="1556" max="1556" width="0.5" style="1" customWidth="1"/>
    <col min="1557" max="1557" width="8.75" style="1" customWidth="1"/>
    <col min="1558" max="1558" width="0.5" style="1" customWidth="1"/>
    <col min="1559" max="1559" width="8.75" style="1" customWidth="1"/>
    <col min="1560" max="1560" width="0.5" style="1" customWidth="1"/>
    <col min="1561" max="1561" width="0.75" style="1" customWidth="1"/>
    <col min="1562" max="1791" width="9" style="1"/>
    <col min="1792" max="1792" width="0.75" style="1" customWidth="1"/>
    <col min="1793" max="1793" width="5.125" style="1" customWidth="1"/>
    <col min="1794" max="1794" width="7.875" style="1" customWidth="1"/>
    <col min="1795" max="1795" width="0.5" style="1" customWidth="1"/>
    <col min="1796" max="1796" width="6.875" style="1" customWidth="1"/>
    <col min="1797" max="1797" width="1.25" style="1" customWidth="1"/>
    <col min="1798" max="1798" width="8.125" style="1" customWidth="1"/>
    <col min="1799" max="1799" width="2.5" style="1" customWidth="1"/>
    <col min="1800" max="1800" width="8.125" style="1" customWidth="1"/>
    <col min="1801" max="1801" width="8.75" style="1" customWidth="1"/>
    <col min="1802" max="1802" width="0.5" style="1" customWidth="1"/>
    <col min="1803" max="1803" width="8.75" style="1" customWidth="1"/>
    <col min="1804" max="1804" width="0.5" style="1" customWidth="1"/>
    <col min="1805" max="1805" width="8.75" style="1" customWidth="1"/>
    <col min="1806" max="1806" width="0.5" style="1" customWidth="1"/>
    <col min="1807" max="1807" width="8.75" style="1" customWidth="1"/>
    <col min="1808" max="1808" width="0.5" style="1" customWidth="1"/>
    <col min="1809" max="1809" width="8.75" style="1" customWidth="1"/>
    <col min="1810" max="1810" width="0.5" style="1" customWidth="1"/>
    <col min="1811" max="1811" width="8.75" style="1" customWidth="1"/>
    <col min="1812" max="1812" width="0.5" style="1" customWidth="1"/>
    <col min="1813" max="1813" width="8.75" style="1" customWidth="1"/>
    <col min="1814" max="1814" width="0.5" style="1" customWidth="1"/>
    <col min="1815" max="1815" width="8.75" style="1" customWidth="1"/>
    <col min="1816" max="1816" width="0.5" style="1" customWidth="1"/>
    <col min="1817" max="1817" width="0.75" style="1" customWidth="1"/>
    <col min="1818" max="2047" width="9" style="1"/>
    <col min="2048" max="2048" width="0.75" style="1" customWidth="1"/>
    <col min="2049" max="2049" width="5.125" style="1" customWidth="1"/>
    <col min="2050" max="2050" width="7.875" style="1" customWidth="1"/>
    <col min="2051" max="2051" width="0.5" style="1" customWidth="1"/>
    <col min="2052" max="2052" width="6.875" style="1" customWidth="1"/>
    <col min="2053" max="2053" width="1.25" style="1" customWidth="1"/>
    <col min="2054" max="2054" width="8.125" style="1" customWidth="1"/>
    <col min="2055" max="2055" width="2.5" style="1" customWidth="1"/>
    <col min="2056" max="2056" width="8.125" style="1" customWidth="1"/>
    <col min="2057" max="2057" width="8.75" style="1" customWidth="1"/>
    <col min="2058" max="2058" width="0.5" style="1" customWidth="1"/>
    <col min="2059" max="2059" width="8.75" style="1" customWidth="1"/>
    <col min="2060" max="2060" width="0.5" style="1" customWidth="1"/>
    <col min="2061" max="2061" width="8.75" style="1" customWidth="1"/>
    <col min="2062" max="2062" width="0.5" style="1" customWidth="1"/>
    <col min="2063" max="2063" width="8.75" style="1" customWidth="1"/>
    <col min="2064" max="2064" width="0.5" style="1" customWidth="1"/>
    <col min="2065" max="2065" width="8.75" style="1" customWidth="1"/>
    <col min="2066" max="2066" width="0.5" style="1" customWidth="1"/>
    <col min="2067" max="2067" width="8.75" style="1" customWidth="1"/>
    <col min="2068" max="2068" width="0.5" style="1" customWidth="1"/>
    <col min="2069" max="2069" width="8.75" style="1" customWidth="1"/>
    <col min="2070" max="2070" width="0.5" style="1" customWidth="1"/>
    <col min="2071" max="2071" width="8.75" style="1" customWidth="1"/>
    <col min="2072" max="2072" width="0.5" style="1" customWidth="1"/>
    <col min="2073" max="2073" width="0.75" style="1" customWidth="1"/>
    <col min="2074" max="2303" width="9" style="1"/>
    <col min="2304" max="2304" width="0.75" style="1" customWidth="1"/>
    <col min="2305" max="2305" width="5.125" style="1" customWidth="1"/>
    <col min="2306" max="2306" width="7.875" style="1" customWidth="1"/>
    <col min="2307" max="2307" width="0.5" style="1" customWidth="1"/>
    <col min="2308" max="2308" width="6.875" style="1" customWidth="1"/>
    <col min="2309" max="2309" width="1.25" style="1" customWidth="1"/>
    <col min="2310" max="2310" width="8.125" style="1" customWidth="1"/>
    <col min="2311" max="2311" width="2.5" style="1" customWidth="1"/>
    <col min="2312" max="2312" width="8.125" style="1" customWidth="1"/>
    <col min="2313" max="2313" width="8.75" style="1" customWidth="1"/>
    <col min="2314" max="2314" width="0.5" style="1" customWidth="1"/>
    <col min="2315" max="2315" width="8.75" style="1" customWidth="1"/>
    <col min="2316" max="2316" width="0.5" style="1" customWidth="1"/>
    <col min="2317" max="2317" width="8.75" style="1" customWidth="1"/>
    <col min="2318" max="2318" width="0.5" style="1" customWidth="1"/>
    <col min="2319" max="2319" width="8.75" style="1" customWidth="1"/>
    <col min="2320" max="2320" width="0.5" style="1" customWidth="1"/>
    <col min="2321" max="2321" width="8.75" style="1" customWidth="1"/>
    <col min="2322" max="2322" width="0.5" style="1" customWidth="1"/>
    <col min="2323" max="2323" width="8.75" style="1" customWidth="1"/>
    <col min="2324" max="2324" width="0.5" style="1" customWidth="1"/>
    <col min="2325" max="2325" width="8.75" style="1" customWidth="1"/>
    <col min="2326" max="2326" width="0.5" style="1" customWidth="1"/>
    <col min="2327" max="2327" width="8.75" style="1" customWidth="1"/>
    <col min="2328" max="2328" width="0.5" style="1" customWidth="1"/>
    <col min="2329" max="2329" width="0.75" style="1" customWidth="1"/>
    <col min="2330" max="2559" width="9" style="1"/>
    <col min="2560" max="2560" width="0.75" style="1" customWidth="1"/>
    <col min="2561" max="2561" width="5.125" style="1" customWidth="1"/>
    <col min="2562" max="2562" width="7.875" style="1" customWidth="1"/>
    <col min="2563" max="2563" width="0.5" style="1" customWidth="1"/>
    <col min="2564" max="2564" width="6.875" style="1" customWidth="1"/>
    <col min="2565" max="2565" width="1.25" style="1" customWidth="1"/>
    <col min="2566" max="2566" width="8.125" style="1" customWidth="1"/>
    <col min="2567" max="2567" width="2.5" style="1" customWidth="1"/>
    <col min="2568" max="2568" width="8.125" style="1" customWidth="1"/>
    <col min="2569" max="2569" width="8.75" style="1" customWidth="1"/>
    <col min="2570" max="2570" width="0.5" style="1" customWidth="1"/>
    <col min="2571" max="2571" width="8.75" style="1" customWidth="1"/>
    <col min="2572" max="2572" width="0.5" style="1" customWidth="1"/>
    <col min="2573" max="2573" width="8.75" style="1" customWidth="1"/>
    <col min="2574" max="2574" width="0.5" style="1" customWidth="1"/>
    <col min="2575" max="2575" width="8.75" style="1" customWidth="1"/>
    <col min="2576" max="2576" width="0.5" style="1" customWidth="1"/>
    <col min="2577" max="2577" width="8.75" style="1" customWidth="1"/>
    <col min="2578" max="2578" width="0.5" style="1" customWidth="1"/>
    <col min="2579" max="2579" width="8.75" style="1" customWidth="1"/>
    <col min="2580" max="2580" width="0.5" style="1" customWidth="1"/>
    <col min="2581" max="2581" width="8.75" style="1" customWidth="1"/>
    <col min="2582" max="2582" width="0.5" style="1" customWidth="1"/>
    <col min="2583" max="2583" width="8.75" style="1" customWidth="1"/>
    <col min="2584" max="2584" width="0.5" style="1" customWidth="1"/>
    <col min="2585" max="2585" width="0.75" style="1" customWidth="1"/>
    <col min="2586" max="2815" width="9" style="1"/>
    <col min="2816" max="2816" width="0.75" style="1" customWidth="1"/>
    <col min="2817" max="2817" width="5.125" style="1" customWidth="1"/>
    <col min="2818" max="2818" width="7.875" style="1" customWidth="1"/>
    <col min="2819" max="2819" width="0.5" style="1" customWidth="1"/>
    <col min="2820" max="2820" width="6.875" style="1" customWidth="1"/>
    <col min="2821" max="2821" width="1.25" style="1" customWidth="1"/>
    <col min="2822" max="2822" width="8.125" style="1" customWidth="1"/>
    <col min="2823" max="2823" width="2.5" style="1" customWidth="1"/>
    <col min="2824" max="2824" width="8.125" style="1" customWidth="1"/>
    <col min="2825" max="2825" width="8.75" style="1" customWidth="1"/>
    <col min="2826" max="2826" width="0.5" style="1" customWidth="1"/>
    <col min="2827" max="2827" width="8.75" style="1" customWidth="1"/>
    <col min="2828" max="2828" width="0.5" style="1" customWidth="1"/>
    <col min="2829" max="2829" width="8.75" style="1" customWidth="1"/>
    <col min="2830" max="2830" width="0.5" style="1" customWidth="1"/>
    <col min="2831" max="2831" width="8.75" style="1" customWidth="1"/>
    <col min="2832" max="2832" width="0.5" style="1" customWidth="1"/>
    <col min="2833" max="2833" width="8.75" style="1" customWidth="1"/>
    <col min="2834" max="2834" width="0.5" style="1" customWidth="1"/>
    <col min="2835" max="2835" width="8.75" style="1" customWidth="1"/>
    <col min="2836" max="2836" width="0.5" style="1" customWidth="1"/>
    <col min="2837" max="2837" width="8.75" style="1" customWidth="1"/>
    <col min="2838" max="2838" width="0.5" style="1" customWidth="1"/>
    <col min="2839" max="2839" width="8.75" style="1" customWidth="1"/>
    <col min="2840" max="2840" width="0.5" style="1" customWidth="1"/>
    <col min="2841" max="2841" width="0.75" style="1" customWidth="1"/>
    <col min="2842" max="3071" width="9" style="1"/>
    <col min="3072" max="3072" width="0.75" style="1" customWidth="1"/>
    <col min="3073" max="3073" width="5.125" style="1" customWidth="1"/>
    <col min="3074" max="3074" width="7.875" style="1" customWidth="1"/>
    <col min="3075" max="3075" width="0.5" style="1" customWidth="1"/>
    <col min="3076" max="3076" width="6.875" style="1" customWidth="1"/>
    <col min="3077" max="3077" width="1.25" style="1" customWidth="1"/>
    <col min="3078" max="3078" width="8.125" style="1" customWidth="1"/>
    <col min="3079" max="3079" width="2.5" style="1" customWidth="1"/>
    <col min="3080" max="3080" width="8.125" style="1" customWidth="1"/>
    <col min="3081" max="3081" width="8.75" style="1" customWidth="1"/>
    <col min="3082" max="3082" width="0.5" style="1" customWidth="1"/>
    <col min="3083" max="3083" width="8.75" style="1" customWidth="1"/>
    <col min="3084" max="3084" width="0.5" style="1" customWidth="1"/>
    <col min="3085" max="3085" width="8.75" style="1" customWidth="1"/>
    <col min="3086" max="3086" width="0.5" style="1" customWidth="1"/>
    <col min="3087" max="3087" width="8.75" style="1" customWidth="1"/>
    <col min="3088" max="3088" width="0.5" style="1" customWidth="1"/>
    <col min="3089" max="3089" width="8.75" style="1" customWidth="1"/>
    <col min="3090" max="3090" width="0.5" style="1" customWidth="1"/>
    <col min="3091" max="3091" width="8.75" style="1" customWidth="1"/>
    <col min="3092" max="3092" width="0.5" style="1" customWidth="1"/>
    <col min="3093" max="3093" width="8.75" style="1" customWidth="1"/>
    <col min="3094" max="3094" width="0.5" style="1" customWidth="1"/>
    <col min="3095" max="3095" width="8.75" style="1" customWidth="1"/>
    <col min="3096" max="3096" width="0.5" style="1" customWidth="1"/>
    <col min="3097" max="3097" width="0.75" style="1" customWidth="1"/>
    <col min="3098" max="3327" width="9" style="1"/>
    <col min="3328" max="3328" width="0.75" style="1" customWidth="1"/>
    <col min="3329" max="3329" width="5.125" style="1" customWidth="1"/>
    <col min="3330" max="3330" width="7.875" style="1" customWidth="1"/>
    <col min="3331" max="3331" width="0.5" style="1" customWidth="1"/>
    <col min="3332" max="3332" width="6.875" style="1" customWidth="1"/>
    <col min="3333" max="3333" width="1.25" style="1" customWidth="1"/>
    <col min="3334" max="3334" width="8.125" style="1" customWidth="1"/>
    <col min="3335" max="3335" width="2.5" style="1" customWidth="1"/>
    <col min="3336" max="3336" width="8.125" style="1" customWidth="1"/>
    <col min="3337" max="3337" width="8.75" style="1" customWidth="1"/>
    <col min="3338" max="3338" width="0.5" style="1" customWidth="1"/>
    <col min="3339" max="3339" width="8.75" style="1" customWidth="1"/>
    <col min="3340" max="3340" width="0.5" style="1" customWidth="1"/>
    <col min="3341" max="3341" width="8.75" style="1" customWidth="1"/>
    <col min="3342" max="3342" width="0.5" style="1" customWidth="1"/>
    <col min="3343" max="3343" width="8.75" style="1" customWidth="1"/>
    <col min="3344" max="3344" width="0.5" style="1" customWidth="1"/>
    <col min="3345" max="3345" width="8.75" style="1" customWidth="1"/>
    <col min="3346" max="3346" width="0.5" style="1" customWidth="1"/>
    <col min="3347" max="3347" width="8.75" style="1" customWidth="1"/>
    <col min="3348" max="3348" width="0.5" style="1" customWidth="1"/>
    <col min="3349" max="3349" width="8.75" style="1" customWidth="1"/>
    <col min="3350" max="3350" width="0.5" style="1" customWidth="1"/>
    <col min="3351" max="3351" width="8.75" style="1" customWidth="1"/>
    <col min="3352" max="3352" width="0.5" style="1" customWidth="1"/>
    <col min="3353" max="3353" width="0.75" style="1" customWidth="1"/>
    <col min="3354" max="3583" width="9" style="1"/>
    <col min="3584" max="3584" width="0.75" style="1" customWidth="1"/>
    <col min="3585" max="3585" width="5.125" style="1" customWidth="1"/>
    <col min="3586" max="3586" width="7.875" style="1" customWidth="1"/>
    <col min="3587" max="3587" width="0.5" style="1" customWidth="1"/>
    <col min="3588" max="3588" width="6.875" style="1" customWidth="1"/>
    <col min="3589" max="3589" width="1.25" style="1" customWidth="1"/>
    <col min="3590" max="3590" width="8.125" style="1" customWidth="1"/>
    <col min="3591" max="3591" width="2.5" style="1" customWidth="1"/>
    <col min="3592" max="3592" width="8.125" style="1" customWidth="1"/>
    <col min="3593" max="3593" width="8.75" style="1" customWidth="1"/>
    <col min="3594" max="3594" width="0.5" style="1" customWidth="1"/>
    <col min="3595" max="3595" width="8.75" style="1" customWidth="1"/>
    <col min="3596" max="3596" width="0.5" style="1" customWidth="1"/>
    <col min="3597" max="3597" width="8.75" style="1" customWidth="1"/>
    <col min="3598" max="3598" width="0.5" style="1" customWidth="1"/>
    <col min="3599" max="3599" width="8.75" style="1" customWidth="1"/>
    <col min="3600" max="3600" width="0.5" style="1" customWidth="1"/>
    <col min="3601" max="3601" width="8.75" style="1" customWidth="1"/>
    <col min="3602" max="3602" width="0.5" style="1" customWidth="1"/>
    <col min="3603" max="3603" width="8.75" style="1" customWidth="1"/>
    <col min="3604" max="3604" width="0.5" style="1" customWidth="1"/>
    <col min="3605" max="3605" width="8.75" style="1" customWidth="1"/>
    <col min="3606" max="3606" width="0.5" style="1" customWidth="1"/>
    <col min="3607" max="3607" width="8.75" style="1" customWidth="1"/>
    <col min="3608" max="3608" width="0.5" style="1" customWidth="1"/>
    <col min="3609" max="3609" width="0.75" style="1" customWidth="1"/>
    <col min="3610" max="3839" width="9" style="1"/>
    <col min="3840" max="3840" width="0.75" style="1" customWidth="1"/>
    <col min="3841" max="3841" width="5.125" style="1" customWidth="1"/>
    <col min="3842" max="3842" width="7.875" style="1" customWidth="1"/>
    <col min="3843" max="3843" width="0.5" style="1" customWidth="1"/>
    <col min="3844" max="3844" width="6.875" style="1" customWidth="1"/>
    <col min="3845" max="3845" width="1.25" style="1" customWidth="1"/>
    <col min="3846" max="3846" width="8.125" style="1" customWidth="1"/>
    <col min="3847" max="3847" width="2.5" style="1" customWidth="1"/>
    <col min="3848" max="3848" width="8.125" style="1" customWidth="1"/>
    <col min="3849" max="3849" width="8.75" style="1" customWidth="1"/>
    <col min="3850" max="3850" width="0.5" style="1" customWidth="1"/>
    <col min="3851" max="3851" width="8.75" style="1" customWidth="1"/>
    <col min="3852" max="3852" width="0.5" style="1" customWidth="1"/>
    <col min="3853" max="3853" width="8.75" style="1" customWidth="1"/>
    <col min="3854" max="3854" width="0.5" style="1" customWidth="1"/>
    <col min="3855" max="3855" width="8.75" style="1" customWidth="1"/>
    <col min="3856" max="3856" width="0.5" style="1" customWidth="1"/>
    <col min="3857" max="3857" width="8.75" style="1" customWidth="1"/>
    <col min="3858" max="3858" width="0.5" style="1" customWidth="1"/>
    <col min="3859" max="3859" width="8.75" style="1" customWidth="1"/>
    <col min="3860" max="3860" width="0.5" style="1" customWidth="1"/>
    <col min="3861" max="3861" width="8.75" style="1" customWidth="1"/>
    <col min="3862" max="3862" width="0.5" style="1" customWidth="1"/>
    <col min="3863" max="3863" width="8.75" style="1" customWidth="1"/>
    <col min="3864" max="3864" width="0.5" style="1" customWidth="1"/>
    <col min="3865" max="3865" width="0.75" style="1" customWidth="1"/>
    <col min="3866" max="4095" width="9" style="1"/>
    <col min="4096" max="4096" width="0.75" style="1" customWidth="1"/>
    <col min="4097" max="4097" width="5.125" style="1" customWidth="1"/>
    <col min="4098" max="4098" width="7.875" style="1" customWidth="1"/>
    <col min="4099" max="4099" width="0.5" style="1" customWidth="1"/>
    <col min="4100" max="4100" width="6.875" style="1" customWidth="1"/>
    <col min="4101" max="4101" width="1.25" style="1" customWidth="1"/>
    <col min="4102" max="4102" width="8.125" style="1" customWidth="1"/>
    <col min="4103" max="4103" width="2.5" style="1" customWidth="1"/>
    <col min="4104" max="4104" width="8.125" style="1" customWidth="1"/>
    <col min="4105" max="4105" width="8.75" style="1" customWidth="1"/>
    <col min="4106" max="4106" width="0.5" style="1" customWidth="1"/>
    <col min="4107" max="4107" width="8.75" style="1" customWidth="1"/>
    <col min="4108" max="4108" width="0.5" style="1" customWidth="1"/>
    <col min="4109" max="4109" width="8.75" style="1" customWidth="1"/>
    <col min="4110" max="4110" width="0.5" style="1" customWidth="1"/>
    <col min="4111" max="4111" width="8.75" style="1" customWidth="1"/>
    <col min="4112" max="4112" width="0.5" style="1" customWidth="1"/>
    <col min="4113" max="4113" width="8.75" style="1" customWidth="1"/>
    <col min="4114" max="4114" width="0.5" style="1" customWidth="1"/>
    <col min="4115" max="4115" width="8.75" style="1" customWidth="1"/>
    <col min="4116" max="4116" width="0.5" style="1" customWidth="1"/>
    <col min="4117" max="4117" width="8.75" style="1" customWidth="1"/>
    <col min="4118" max="4118" width="0.5" style="1" customWidth="1"/>
    <col min="4119" max="4119" width="8.75" style="1" customWidth="1"/>
    <col min="4120" max="4120" width="0.5" style="1" customWidth="1"/>
    <col min="4121" max="4121" width="0.75" style="1" customWidth="1"/>
    <col min="4122" max="4351" width="9" style="1"/>
    <col min="4352" max="4352" width="0.75" style="1" customWidth="1"/>
    <col min="4353" max="4353" width="5.125" style="1" customWidth="1"/>
    <col min="4354" max="4354" width="7.875" style="1" customWidth="1"/>
    <col min="4355" max="4355" width="0.5" style="1" customWidth="1"/>
    <col min="4356" max="4356" width="6.875" style="1" customWidth="1"/>
    <col min="4357" max="4357" width="1.25" style="1" customWidth="1"/>
    <col min="4358" max="4358" width="8.125" style="1" customWidth="1"/>
    <col min="4359" max="4359" width="2.5" style="1" customWidth="1"/>
    <col min="4360" max="4360" width="8.125" style="1" customWidth="1"/>
    <col min="4361" max="4361" width="8.75" style="1" customWidth="1"/>
    <col min="4362" max="4362" width="0.5" style="1" customWidth="1"/>
    <col min="4363" max="4363" width="8.75" style="1" customWidth="1"/>
    <col min="4364" max="4364" width="0.5" style="1" customWidth="1"/>
    <col min="4365" max="4365" width="8.75" style="1" customWidth="1"/>
    <col min="4366" max="4366" width="0.5" style="1" customWidth="1"/>
    <col min="4367" max="4367" width="8.75" style="1" customWidth="1"/>
    <col min="4368" max="4368" width="0.5" style="1" customWidth="1"/>
    <col min="4369" max="4369" width="8.75" style="1" customWidth="1"/>
    <col min="4370" max="4370" width="0.5" style="1" customWidth="1"/>
    <col min="4371" max="4371" width="8.75" style="1" customWidth="1"/>
    <col min="4372" max="4372" width="0.5" style="1" customWidth="1"/>
    <col min="4373" max="4373" width="8.75" style="1" customWidth="1"/>
    <col min="4374" max="4374" width="0.5" style="1" customWidth="1"/>
    <col min="4375" max="4375" width="8.75" style="1" customWidth="1"/>
    <col min="4376" max="4376" width="0.5" style="1" customWidth="1"/>
    <col min="4377" max="4377" width="0.75" style="1" customWidth="1"/>
    <col min="4378" max="4607" width="9" style="1"/>
    <col min="4608" max="4608" width="0.75" style="1" customWidth="1"/>
    <col min="4609" max="4609" width="5.125" style="1" customWidth="1"/>
    <col min="4610" max="4610" width="7.875" style="1" customWidth="1"/>
    <col min="4611" max="4611" width="0.5" style="1" customWidth="1"/>
    <col min="4612" max="4612" width="6.875" style="1" customWidth="1"/>
    <col min="4613" max="4613" width="1.25" style="1" customWidth="1"/>
    <col min="4614" max="4614" width="8.125" style="1" customWidth="1"/>
    <col min="4615" max="4615" width="2.5" style="1" customWidth="1"/>
    <col min="4616" max="4616" width="8.125" style="1" customWidth="1"/>
    <col min="4617" max="4617" width="8.75" style="1" customWidth="1"/>
    <col min="4618" max="4618" width="0.5" style="1" customWidth="1"/>
    <col min="4619" max="4619" width="8.75" style="1" customWidth="1"/>
    <col min="4620" max="4620" width="0.5" style="1" customWidth="1"/>
    <col min="4621" max="4621" width="8.75" style="1" customWidth="1"/>
    <col min="4622" max="4622" width="0.5" style="1" customWidth="1"/>
    <col min="4623" max="4623" width="8.75" style="1" customWidth="1"/>
    <col min="4624" max="4624" width="0.5" style="1" customWidth="1"/>
    <col min="4625" max="4625" width="8.75" style="1" customWidth="1"/>
    <col min="4626" max="4626" width="0.5" style="1" customWidth="1"/>
    <col min="4627" max="4627" width="8.75" style="1" customWidth="1"/>
    <col min="4628" max="4628" width="0.5" style="1" customWidth="1"/>
    <col min="4629" max="4629" width="8.75" style="1" customWidth="1"/>
    <col min="4630" max="4630" width="0.5" style="1" customWidth="1"/>
    <col min="4631" max="4631" width="8.75" style="1" customWidth="1"/>
    <col min="4632" max="4632" width="0.5" style="1" customWidth="1"/>
    <col min="4633" max="4633" width="0.75" style="1" customWidth="1"/>
    <col min="4634" max="4863" width="9" style="1"/>
    <col min="4864" max="4864" width="0.75" style="1" customWidth="1"/>
    <col min="4865" max="4865" width="5.125" style="1" customWidth="1"/>
    <col min="4866" max="4866" width="7.875" style="1" customWidth="1"/>
    <col min="4867" max="4867" width="0.5" style="1" customWidth="1"/>
    <col min="4868" max="4868" width="6.875" style="1" customWidth="1"/>
    <col min="4869" max="4869" width="1.25" style="1" customWidth="1"/>
    <col min="4870" max="4870" width="8.125" style="1" customWidth="1"/>
    <col min="4871" max="4871" width="2.5" style="1" customWidth="1"/>
    <col min="4872" max="4872" width="8.125" style="1" customWidth="1"/>
    <col min="4873" max="4873" width="8.75" style="1" customWidth="1"/>
    <col min="4874" max="4874" width="0.5" style="1" customWidth="1"/>
    <col min="4875" max="4875" width="8.75" style="1" customWidth="1"/>
    <col min="4876" max="4876" width="0.5" style="1" customWidth="1"/>
    <col min="4877" max="4877" width="8.75" style="1" customWidth="1"/>
    <col min="4878" max="4878" width="0.5" style="1" customWidth="1"/>
    <col min="4879" max="4879" width="8.75" style="1" customWidth="1"/>
    <col min="4880" max="4880" width="0.5" style="1" customWidth="1"/>
    <col min="4881" max="4881" width="8.75" style="1" customWidth="1"/>
    <col min="4882" max="4882" width="0.5" style="1" customWidth="1"/>
    <col min="4883" max="4883" width="8.75" style="1" customWidth="1"/>
    <col min="4884" max="4884" width="0.5" style="1" customWidth="1"/>
    <col min="4885" max="4885" width="8.75" style="1" customWidth="1"/>
    <col min="4886" max="4886" width="0.5" style="1" customWidth="1"/>
    <col min="4887" max="4887" width="8.75" style="1" customWidth="1"/>
    <col min="4888" max="4888" width="0.5" style="1" customWidth="1"/>
    <col min="4889" max="4889" width="0.75" style="1" customWidth="1"/>
    <col min="4890" max="5119" width="9" style="1"/>
    <col min="5120" max="5120" width="0.75" style="1" customWidth="1"/>
    <col min="5121" max="5121" width="5.125" style="1" customWidth="1"/>
    <col min="5122" max="5122" width="7.875" style="1" customWidth="1"/>
    <col min="5123" max="5123" width="0.5" style="1" customWidth="1"/>
    <col min="5124" max="5124" width="6.875" style="1" customWidth="1"/>
    <col min="5125" max="5125" width="1.25" style="1" customWidth="1"/>
    <col min="5126" max="5126" width="8.125" style="1" customWidth="1"/>
    <col min="5127" max="5127" width="2.5" style="1" customWidth="1"/>
    <col min="5128" max="5128" width="8.125" style="1" customWidth="1"/>
    <col min="5129" max="5129" width="8.75" style="1" customWidth="1"/>
    <col min="5130" max="5130" width="0.5" style="1" customWidth="1"/>
    <col min="5131" max="5131" width="8.75" style="1" customWidth="1"/>
    <col min="5132" max="5132" width="0.5" style="1" customWidth="1"/>
    <col min="5133" max="5133" width="8.75" style="1" customWidth="1"/>
    <col min="5134" max="5134" width="0.5" style="1" customWidth="1"/>
    <col min="5135" max="5135" width="8.75" style="1" customWidth="1"/>
    <col min="5136" max="5136" width="0.5" style="1" customWidth="1"/>
    <col min="5137" max="5137" width="8.75" style="1" customWidth="1"/>
    <col min="5138" max="5138" width="0.5" style="1" customWidth="1"/>
    <col min="5139" max="5139" width="8.75" style="1" customWidth="1"/>
    <col min="5140" max="5140" width="0.5" style="1" customWidth="1"/>
    <col min="5141" max="5141" width="8.75" style="1" customWidth="1"/>
    <col min="5142" max="5142" width="0.5" style="1" customWidth="1"/>
    <col min="5143" max="5143" width="8.75" style="1" customWidth="1"/>
    <col min="5144" max="5144" width="0.5" style="1" customWidth="1"/>
    <col min="5145" max="5145" width="0.75" style="1" customWidth="1"/>
    <col min="5146" max="5375" width="9" style="1"/>
    <col min="5376" max="5376" width="0.75" style="1" customWidth="1"/>
    <col min="5377" max="5377" width="5.125" style="1" customWidth="1"/>
    <col min="5378" max="5378" width="7.875" style="1" customWidth="1"/>
    <col min="5379" max="5379" width="0.5" style="1" customWidth="1"/>
    <col min="5380" max="5380" width="6.875" style="1" customWidth="1"/>
    <col min="5381" max="5381" width="1.25" style="1" customWidth="1"/>
    <col min="5382" max="5382" width="8.125" style="1" customWidth="1"/>
    <col min="5383" max="5383" width="2.5" style="1" customWidth="1"/>
    <col min="5384" max="5384" width="8.125" style="1" customWidth="1"/>
    <col min="5385" max="5385" width="8.75" style="1" customWidth="1"/>
    <col min="5386" max="5386" width="0.5" style="1" customWidth="1"/>
    <col min="5387" max="5387" width="8.75" style="1" customWidth="1"/>
    <col min="5388" max="5388" width="0.5" style="1" customWidth="1"/>
    <col min="5389" max="5389" width="8.75" style="1" customWidth="1"/>
    <col min="5390" max="5390" width="0.5" style="1" customWidth="1"/>
    <col min="5391" max="5391" width="8.75" style="1" customWidth="1"/>
    <col min="5392" max="5392" width="0.5" style="1" customWidth="1"/>
    <col min="5393" max="5393" width="8.75" style="1" customWidth="1"/>
    <col min="5394" max="5394" width="0.5" style="1" customWidth="1"/>
    <col min="5395" max="5395" width="8.75" style="1" customWidth="1"/>
    <col min="5396" max="5396" width="0.5" style="1" customWidth="1"/>
    <col min="5397" max="5397" width="8.75" style="1" customWidth="1"/>
    <col min="5398" max="5398" width="0.5" style="1" customWidth="1"/>
    <col min="5399" max="5399" width="8.75" style="1" customWidth="1"/>
    <col min="5400" max="5400" width="0.5" style="1" customWidth="1"/>
    <col min="5401" max="5401" width="0.75" style="1" customWidth="1"/>
    <col min="5402" max="5631" width="9" style="1"/>
    <col min="5632" max="5632" width="0.75" style="1" customWidth="1"/>
    <col min="5633" max="5633" width="5.125" style="1" customWidth="1"/>
    <col min="5634" max="5634" width="7.875" style="1" customWidth="1"/>
    <col min="5635" max="5635" width="0.5" style="1" customWidth="1"/>
    <col min="5636" max="5636" width="6.875" style="1" customWidth="1"/>
    <col min="5637" max="5637" width="1.25" style="1" customWidth="1"/>
    <col min="5638" max="5638" width="8.125" style="1" customWidth="1"/>
    <col min="5639" max="5639" width="2.5" style="1" customWidth="1"/>
    <col min="5640" max="5640" width="8.125" style="1" customWidth="1"/>
    <col min="5641" max="5641" width="8.75" style="1" customWidth="1"/>
    <col min="5642" max="5642" width="0.5" style="1" customWidth="1"/>
    <col min="5643" max="5643" width="8.75" style="1" customWidth="1"/>
    <col min="5644" max="5644" width="0.5" style="1" customWidth="1"/>
    <col min="5645" max="5645" width="8.75" style="1" customWidth="1"/>
    <col min="5646" max="5646" width="0.5" style="1" customWidth="1"/>
    <col min="5647" max="5647" width="8.75" style="1" customWidth="1"/>
    <col min="5648" max="5648" width="0.5" style="1" customWidth="1"/>
    <col min="5649" max="5649" width="8.75" style="1" customWidth="1"/>
    <col min="5650" max="5650" width="0.5" style="1" customWidth="1"/>
    <col min="5651" max="5651" width="8.75" style="1" customWidth="1"/>
    <col min="5652" max="5652" width="0.5" style="1" customWidth="1"/>
    <col min="5653" max="5653" width="8.75" style="1" customWidth="1"/>
    <col min="5654" max="5654" width="0.5" style="1" customWidth="1"/>
    <col min="5655" max="5655" width="8.75" style="1" customWidth="1"/>
    <col min="5656" max="5656" width="0.5" style="1" customWidth="1"/>
    <col min="5657" max="5657" width="0.75" style="1" customWidth="1"/>
    <col min="5658" max="5887" width="9" style="1"/>
    <col min="5888" max="5888" width="0.75" style="1" customWidth="1"/>
    <col min="5889" max="5889" width="5.125" style="1" customWidth="1"/>
    <col min="5890" max="5890" width="7.875" style="1" customWidth="1"/>
    <col min="5891" max="5891" width="0.5" style="1" customWidth="1"/>
    <col min="5892" max="5892" width="6.875" style="1" customWidth="1"/>
    <col min="5893" max="5893" width="1.25" style="1" customWidth="1"/>
    <col min="5894" max="5894" width="8.125" style="1" customWidth="1"/>
    <col min="5895" max="5895" width="2.5" style="1" customWidth="1"/>
    <col min="5896" max="5896" width="8.125" style="1" customWidth="1"/>
    <col min="5897" max="5897" width="8.75" style="1" customWidth="1"/>
    <col min="5898" max="5898" width="0.5" style="1" customWidth="1"/>
    <col min="5899" max="5899" width="8.75" style="1" customWidth="1"/>
    <col min="5900" max="5900" width="0.5" style="1" customWidth="1"/>
    <col min="5901" max="5901" width="8.75" style="1" customWidth="1"/>
    <col min="5902" max="5902" width="0.5" style="1" customWidth="1"/>
    <col min="5903" max="5903" width="8.75" style="1" customWidth="1"/>
    <col min="5904" max="5904" width="0.5" style="1" customWidth="1"/>
    <col min="5905" max="5905" width="8.75" style="1" customWidth="1"/>
    <col min="5906" max="5906" width="0.5" style="1" customWidth="1"/>
    <col min="5907" max="5907" width="8.75" style="1" customWidth="1"/>
    <col min="5908" max="5908" width="0.5" style="1" customWidth="1"/>
    <col min="5909" max="5909" width="8.75" style="1" customWidth="1"/>
    <col min="5910" max="5910" width="0.5" style="1" customWidth="1"/>
    <col min="5911" max="5911" width="8.75" style="1" customWidth="1"/>
    <col min="5912" max="5912" width="0.5" style="1" customWidth="1"/>
    <col min="5913" max="5913" width="0.75" style="1" customWidth="1"/>
    <col min="5914" max="6143" width="9" style="1"/>
    <col min="6144" max="6144" width="0.75" style="1" customWidth="1"/>
    <col min="6145" max="6145" width="5.125" style="1" customWidth="1"/>
    <col min="6146" max="6146" width="7.875" style="1" customWidth="1"/>
    <col min="6147" max="6147" width="0.5" style="1" customWidth="1"/>
    <col min="6148" max="6148" width="6.875" style="1" customWidth="1"/>
    <col min="6149" max="6149" width="1.25" style="1" customWidth="1"/>
    <col min="6150" max="6150" width="8.125" style="1" customWidth="1"/>
    <col min="6151" max="6151" width="2.5" style="1" customWidth="1"/>
    <col min="6152" max="6152" width="8.125" style="1" customWidth="1"/>
    <col min="6153" max="6153" width="8.75" style="1" customWidth="1"/>
    <col min="6154" max="6154" width="0.5" style="1" customWidth="1"/>
    <col min="6155" max="6155" width="8.75" style="1" customWidth="1"/>
    <col min="6156" max="6156" width="0.5" style="1" customWidth="1"/>
    <col min="6157" max="6157" width="8.75" style="1" customWidth="1"/>
    <col min="6158" max="6158" width="0.5" style="1" customWidth="1"/>
    <col min="6159" max="6159" width="8.75" style="1" customWidth="1"/>
    <col min="6160" max="6160" width="0.5" style="1" customWidth="1"/>
    <col min="6161" max="6161" width="8.75" style="1" customWidth="1"/>
    <col min="6162" max="6162" width="0.5" style="1" customWidth="1"/>
    <col min="6163" max="6163" width="8.75" style="1" customWidth="1"/>
    <col min="6164" max="6164" width="0.5" style="1" customWidth="1"/>
    <col min="6165" max="6165" width="8.75" style="1" customWidth="1"/>
    <col min="6166" max="6166" width="0.5" style="1" customWidth="1"/>
    <col min="6167" max="6167" width="8.75" style="1" customWidth="1"/>
    <col min="6168" max="6168" width="0.5" style="1" customWidth="1"/>
    <col min="6169" max="6169" width="0.75" style="1" customWidth="1"/>
    <col min="6170" max="6399" width="9" style="1"/>
    <col min="6400" max="6400" width="0.75" style="1" customWidth="1"/>
    <col min="6401" max="6401" width="5.125" style="1" customWidth="1"/>
    <col min="6402" max="6402" width="7.875" style="1" customWidth="1"/>
    <col min="6403" max="6403" width="0.5" style="1" customWidth="1"/>
    <col min="6404" max="6404" width="6.875" style="1" customWidth="1"/>
    <col min="6405" max="6405" width="1.25" style="1" customWidth="1"/>
    <col min="6406" max="6406" width="8.125" style="1" customWidth="1"/>
    <col min="6407" max="6407" width="2.5" style="1" customWidth="1"/>
    <col min="6408" max="6408" width="8.125" style="1" customWidth="1"/>
    <col min="6409" max="6409" width="8.75" style="1" customWidth="1"/>
    <col min="6410" max="6410" width="0.5" style="1" customWidth="1"/>
    <col min="6411" max="6411" width="8.75" style="1" customWidth="1"/>
    <col min="6412" max="6412" width="0.5" style="1" customWidth="1"/>
    <col min="6413" max="6413" width="8.75" style="1" customWidth="1"/>
    <col min="6414" max="6414" width="0.5" style="1" customWidth="1"/>
    <col min="6415" max="6415" width="8.75" style="1" customWidth="1"/>
    <col min="6416" max="6416" width="0.5" style="1" customWidth="1"/>
    <col min="6417" max="6417" width="8.75" style="1" customWidth="1"/>
    <col min="6418" max="6418" width="0.5" style="1" customWidth="1"/>
    <col min="6419" max="6419" width="8.75" style="1" customWidth="1"/>
    <col min="6420" max="6420" width="0.5" style="1" customWidth="1"/>
    <col min="6421" max="6421" width="8.75" style="1" customWidth="1"/>
    <col min="6422" max="6422" width="0.5" style="1" customWidth="1"/>
    <col min="6423" max="6423" width="8.75" style="1" customWidth="1"/>
    <col min="6424" max="6424" width="0.5" style="1" customWidth="1"/>
    <col min="6425" max="6425" width="0.75" style="1" customWidth="1"/>
    <col min="6426" max="6655" width="9" style="1"/>
    <col min="6656" max="6656" width="0.75" style="1" customWidth="1"/>
    <col min="6657" max="6657" width="5.125" style="1" customWidth="1"/>
    <col min="6658" max="6658" width="7.875" style="1" customWidth="1"/>
    <col min="6659" max="6659" width="0.5" style="1" customWidth="1"/>
    <col min="6660" max="6660" width="6.875" style="1" customWidth="1"/>
    <col min="6661" max="6661" width="1.25" style="1" customWidth="1"/>
    <col min="6662" max="6662" width="8.125" style="1" customWidth="1"/>
    <col min="6663" max="6663" width="2.5" style="1" customWidth="1"/>
    <col min="6664" max="6664" width="8.125" style="1" customWidth="1"/>
    <col min="6665" max="6665" width="8.75" style="1" customWidth="1"/>
    <col min="6666" max="6666" width="0.5" style="1" customWidth="1"/>
    <col min="6667" max="6667" width="8.75" style="1" customWidth="1"/>
    <col min="6668" max="6668" width="0.5" style="1" customWidth="1"/>
    <col min="6669" max="6669" width="8.75" style="1" customWidth="1"/>
    <col min="6670" max="6670" width="0.5" style="1" customWidth="1"/>
    <col min="6671" max="6671" width="8.75" style="1" customWidth="1"/>
    <col min="6672" max="6672" width="0.5" style="1" customWidth="1"/>
    <col min="6673" max="6673" width="8.75" style="1" customWidth="1"/>
    <col min="6674" max="6674" width="0.5" style="1" customWidth="1"/>
    <col min="6675" max="6675" width="8.75" style="1" customWidth="1"/>
    <col min="6676" max="6676" width="0.5" style="1" customWidth="1"/>
    <col min="6677" max="6677" width="8.75" style="1" customWidth="1"/>
    <col min="6678" max="6678" width="0.5" style="1" customWidth="1"/>
    <col min="6679" max="6679" width="8.75" style="1" customWidth="1"/>
    <col min="6680" max="6680" width="0.5" style="1" customWidth="1"/>
    <col min="6681" max="6681" width="0.75" style="1" customWidth="1"/>
    <col min="6682" max="6911" width="9" style="1"/>
    <col min="6912" max="6912" width="0.75" style="1" customWidth="1"/>
    <col min="6913" max="6913" width="5.125" style="1" customWidth="1"/>
    <col min="6914" max="6914" width="7.875" style="1" customWidth="1"/>
    <col min="6915" max="6915" width="0.5" style="1" customWidth="1"/>
    <col min="6916" max="6916" width="6.875" style="1" customWidth="1"/>
    <col min="6917" max="6917" width="1.25" style="1" customWidth="1"/>
    <col min="6918" max="6918" width="8.125" style="1" customWidth="1"/>
    <col min="6919" max="6919" width="2.5" style="1" customWidth="1"/>
    <col min="6920" max="6920" width="8.125" style="1" customWidth="1"/>
    <col min="6921" max="6921" width="8.75" style="1" customWidth="1"/>
    <col min="6922" max="6922" width="0.5" style="1" customWidth="1"/>
    <col min="6923" max="6923" width="8.75" style="1" customWidth="1"/>
    <col min="6924" max="6924" width="0.5" style="1" customWidth="1"/>
    <col min="6925" max="6925" width="8.75" style="1" customWidth="1"/>
    <col min="6926" max="6926" width="0.5" style="1" customWidth="1"/>
    <col min="6927" max="6927" width="8.75" style="1" customWidth="1"/>
    <col min="6928" max="6928" width="0.5" style="1" customWidth="1"/>
    <col min="6929" max="6929" width="8.75" style="1" customWidth="1"/>
    <col min="6930" max="6930" width="0.5" style="1" customWidth="1"/>
    <col min="6931" max="6931" width="8.75" style="1" customWidth="1"/>
    <col min="6932" max="6932" width="0.5" style="1" customWidth="1"/>
    <col min="6933" max="6933" width="8.75" style="1" customWidth="1"/>
    <col min="6934" max="6934" width="0.5" style="1" customWidth="1"/>
    <col min="6935" max="6935" width="8.75" style="1" customWidth="1"/>
    <col min="6936" max="6936" width="0.5" style="1" customWidth="1"/>
    <col min="6937" max="6937" width="0.75" style="1" customWidth="1"/>
    <col min="6938" max="7167" width="9" style="1"/>
    <col min="7168" max="7168" width="0.75" style="1" customWidth="1"/>
    <col min="7169" max="7169" width="5.125" style="1" customWidth="1"/>
    <col min="7170" max="7170" width="7.875" style="1" customWidth="1"/>
    <col min="7171" max="7171" width="0.5" style="1" customWidth="1"/>
    <col min="7172" max="7172" width="6.875" style="1" customWidth="1"/>
    <col min="7173" max="7173" width="1.25" style="1" customWidth="1"/>
    <col min="7174" max="7174" width="8.125" style="1" customWidth="1"/>
    <col min="7175" max="7175" width="2.5" style="1" customWidth="1"/>
    <col min="7176" max="7176" width="8.125" style="1" customWidth="1"/>
    <col min="7177" max="7177" width="8.75" style="1" customWidth="1"/>
    <col min="7178" max="7178" width="0.5" style="1" customWidth="1"/>
    <col min="7179" max="7179" width="8.75" style="1" customWidth="1"/>
    <col min="7180" max="7180" width="0.5" style="1" customWidth="1"/>
    <col min="7181" max="7181" width="8.75" style="1" customWidth="1"/>
    <col min="7182" max="7182" width="0.5" style="1" customWidth="1"/>
    <col min="7183" max="7183" width="8.75" style="1" customWidth="1"/>
    <col min="7184" max="7184" width="0.5" style="1" customWidth="1"/>
    <col min="7185" max="7185" width="8.75" style="1" customWidth="1"/>
    <col min="7186" max="7186" width="0.5" style="1" customWidth="1"/>
    <col min="7187" max="7187" width="8.75" style="1" customWidth="1"/>
    <col min="7188" max="7188" width="0.5" style="1" customWidth="1"/>
    <col min="7189" max="7189" width="8.75" style="1" customWidth="1"/>
    <col min="7190" max="7190" width="0.5" style="1" customWidth="1"/>
    <col min="7191" max="7191" width="8.75" style="1" customWidth="1"/>
    <col min="7192" max="7192" width="0.5" style="1" customWidth="1"/>
    <col min="7193" max="7193" width="0.75" style="1" customWidth="1"/>
    <col min="7194" max="7423" width="9" style="1"/>
    <col min="7424" max="7424" width="0.75" style="1" customWidth="1"/>
    <col min="7425" max="7425" width="5.125" style="1" customWidth="1"/>
    <col min="7426" max="7426" width="7.875" style="1" customWidth="1"/>
    <col min="7427" max="7427" width="0.5" style="1" customWidth="1"/>
    <col min="7428" max="7428" width="6.875" style="1" customWidth="1"/>
    <col min="7429" max="7429" width="1.25" style="1" customWidth="1"/>
    <col min="7430" max="7430" width="8.125" style="1" customWidth="1"/>
    <col min="7431" max="7431" width="2.5" style="1" customWidth="1"/>
    <col min="7432" max="7432" width="8.125" style="1" customWidth="1"/>
    <col min="7433" max="7433" width="8.75" style="1" customWidth="1"/>
    <col min="7434" max="7434" width="0.5" style="1" customWidth="1"/>
    <col min="7435" max="7435" width="8.75" style="1" customWidth="1"/>
    <col min="7436" max="7436" width="0.5" style="1" customWidth="1"/>
    <col min="7437" max="7437" width="8.75" style="1" customWidth="1"/>
    <col min="7438" max="7438" width="0.5" style="1" customWidth="1"/>
    <col min="7439" max="7439" width="8.75" style="1" customWidth="1"/>
    <col min="7440" max="7440" width="0.5" style="1" customWidth="1"/>
    <col min="7441" max="7441" width="8.75" style="1" customWidth="1"/>
    <col min="7442" max="7442" width="0.5" style="1" customWidth="1"/>
    <col min="7443" max="7443" width="8.75" style="1" customWidth="1"/>
    <col min="7444" max="7444" width="0.5" style="1" customWidth="1"/>
    <col min="7445" max="7445" width="8.75" style="1" customWidth="1"/>
    <col min="7446" max="7446" width="0.5" style="1" customWidth="1"/>
    <col min="7447" max="7447" width="8.75" style="1" customWidth="1"/>
    <col min="7448" max="7448" width="0.5" style="1" customWidth="1"/>
    <col min="7449" max="7449" width="0.75" style="1" customWidth="1"/>
    <col min="7450" max="7679" width="9" style="1"/>
    <col min="7680" max="7680" width="0.75" style="1" customWidth="1"/>
    <col min="7681" max="7681" width="5.125" style="1" customWidth="1"/>
    <col min="7682" max="7682" width="7.875" style="1" customWidth="1"/>
    <col min="7683" max="7683" width="0.5" style="1" customWidth="1"/>
    <col min="7684" max="7684" width="6.875" style="1" customWidth="1"/>
    <col min="7685" max="7685" width="1.25" style="1" customWidth="1"/>
    <col min="7686" max="7686" width="8.125" style="1" customWidth="1"/>
    <col min="7687" max="7687" width="2.5" style="1" customWidth="1"/>
    <col min="7688" max="7688" width="8.125" style="1" customWidth="1"/>
    <col min="7689" max="7689" width="8.75" style="1" customWidth="1"/>
    <col min="7690" max="7690" width="0.5" style="1" customWidth="1"/>
    <col min="7691" max="7691" width="8.75" style="1" customWidth="1"/>
    <col min="7692" max="7692" width="0.5" style="1" customWidth="1"/>
    <col min="7693" max="7693" width="8.75" style="1" customWidth="1"/>
    <col min="7694" max="7694" width="0.5" style="1" customWidth="1"/>
    <col min="7695" max="7695" width="8.75" style="1" customWidth="1"/>
    <col min="7696" max="7696" width="0.5" style="1" customWidth="1"/>
    <col min="7697" max="7697" width="8.75" style="1" customWidth="1"/>
    <col min="7698" max="7698" width="0.5" style="1" customWidth="1"/>
    <col min="7699" max="7699" width="8.75" style="1" customWidth="1"/>
    <col min="7700" max="7700" width="0.5" style="1" customWidth="1"/>
    <col min="7701" max="7701" width="8.75" style="1" customWidth="1"/>
    <col min="7702" max="7702" width="0.5" style="1" customWidth="1"/>
    <col min="7703" max="7703" width="8.75" style="1" customWidth="1"/>
    <col min="7704" max="7704" width="0.5" style="1" customWidth="1"/>
    <col min="7705" max="7705" width="0.75" style="1" customWidth="1"/>
    <col min="7706" max="7935" width="9" style="1"/>
    <col min="7936" max="7936" width="0.75" style="1" customWidth="1"/>
    <col min="7937" max="7937" width="5.125" style="1" customWidth="1"/>
    <col min="7938" max="7938" width="7.875" style="1" customWidth="1"/>
    <col min="7939" max="7939" width="0.5" style="1" customWidth="1"/>
    <col min="7940" max="7940" width="6.875" style="1" customWidth="1"/>
    <col min="7941" max="7941" width="1.25" style="1" customWidth="1"/>
    <col min="7942" max="7942" width="8.125" style="1" customWidth="1"/>
    <col min="7943" max="7943" width="2.5" style="1" customWidth="1"/>
    <col min="7944" max="7944" width="8.125" style="1" customWidth="1"/>
    <col min="7945" max="7945" width="8.75" style="1" customWidth="1"/>
    <col min="7946" max="7946" width="0.5" style="1" customWidth="1"/>
    <col min="7947" max="7947" width="8.75" style="1" customWidth="1"/>
    <col min="7948" max="7948" width="0.5" style="1" customWidth="1"/>
    <col min="7949" max="7949" width="8.75" style="1" customWidth="1"/>
    <col min="7950" max="7950" width="0.5" style="1" customWidth="1"/>
    <col min="7951" max="7951" width="8.75" style="1" customWidth="1"/>
    <col min="7952" max="7952" width="0.5" style="1" customWidth="1"/>
    <col min="7953" max="7953" width="8.75" style="1" customWidth="1"/>
    <col min="7954" max="7954" width="0.5" style="1" customWidth="1"/>
    <col min="7955" max="7955" width="8.75" style="1" customWidth="1"/>
    <col min="7956" max="7956" width="0.5" style="1" customWidth="1"/>
    <col min="7957" max="7957" width="8.75" style="1" customWidth="1"/>
    <col min="7958" max="7958" width="0.5" style="1" customWidth="1"/>
    <col min="7959" max="7959" width="8.75" style="1" customWidth="1"/>
    <col min="7960" max="7960" width="0.5" style="1" customWidth="1"/>
    <col min="7961" max="7961" width="0.75" style="1" customWidth="1"/>
    <col min="7962" max="8191" width="9" style="1"/>
    <col min="8192" max="8192" width="0.75" style="1" customWidth="1"/>
    <col min="8193" max="8193" width="5.125" style="1" customWidth="1"/>
    <col min="8194" max="8194" width="7.875" style="1" customWidth="1"/>
    <col min="8195" max="8195" width="0.5" style="1" customWidth="1"/>
    <col min="8196" max="8196" width="6.875" style="1" customWidth="1"/>
    <col min="8197" max="8197" width="1.25" style="1" customWidth="1"/>
    <col min="8198" max="8198" width="8.125" style="1" customWidth="1"/>
    <col min="8199" max="8199" width="2.5" style="1" customWidth="1"/>
    <col min="8200" max="8200" width="8.125" style="1" customWidth="1"/>
    <col min="8201" max="8201" width="8.75" style="1" customWidth="1"/>
    <col min="8202" max="8202" width="0.5" style="1" customWidth="1"/>
    <col min="8203" max="8203" width="8.75" style="1" customWidth="1"/>
    <col min="8204" max="8204" width="0.5" style="1" customWidth="1"/>
    <col min="8205" max="8205" width="8.75" style="1" customWidth="1"/>
    <col min="8206" max="8206" width="0.5" style="1" customWidth="1"/>
    <col min="8207" max="8207" width="8.75" style="1" customWidth="1"/>
    <col min="8208" max="8208" width="0.5" style="1" customWidth="1"/>
    <col min="8209" max="8209" width="8.75" style="1" customWidth="1"/>
    <col min="8210" max="8210" width="0.5" style="1" customWidth="1"/>
    <col min="8211" max="8211" width="8.75" style="1" customWidth="1"/>
    <col min="8212" max="8212" width="0.5" style="1" customWidth="1"/>
    <col min="8213" max="8213" width="8.75" style="1" customWidth="1"/>
    <col min="8214" max="8214" width="0.5" style="1" customWidth="1"/>
    <col min="8215" max="8215" width="8.75" style="1" customWidth="1"/>
    <col min="8216" max="8216" width="0.5" style="1" customWidth="1"/>
    <col min="8217" max="8217" width="0.75" style="1" customWidth="1"/>
    <col min="8218" max="8447" width="9" style="1"/>
    <col min="8448" max="8448" width="0.75" style="1" customWidth="1"/>
    <col min="8449" max="8449" width="5.125" style="1" customWidth="1"/>
    <col min="8450" max="8450" width="7.875" style="1" customWidth="1"/>
    <col min="8451" max="8451" width="0.5" style="1" customWidth="1"/>
    <col min="8452" max="8452" width="6.875" style="1" customWidth="1"/>
    <col min="8453" max="8453" width="1.25" style="1" customWidth="1"/>
    <col min="8454" max="8454" width="8.125" style="1" customWidth="1"/>
    <col min="8455" max="8455" width="2.5" style="1" customWidth="1"/>
    <col min="8456" max="8456" width="8.125" style="1" customWidth="1"/>
    <col min="8457" max="8457" width="8.75" style="1" customWidth="1"/>
    <col min="8458" max="8458" width="0.5" style="1" customWidth="1"/>
    <col min="8459" max="8459" width="8.75" style="1" customWidth="1"/>
    <col min="8460" max="8460" width="0.5" style="1" customWidth="1"/>
    <col min="8461" max="8461" width="8.75" style="1" customWidth="1"/>
    <col min="8462" max="8462" width="0.5" style="1" customWidth="1"/>
    <col min="8463" max="8463" width="8.75" style="1" customWidth="1"/>
    <col min="8464" max="8464" width="0.5" style="1" customWidth="1"/>
    <col min="8465" max="8465" width="8.75" style="1" customWidth="1"/>
    <col min="8466" max="8466" width="0.5" style="1" customWidth="1"/>
    <col min="8467" max="8467" width="8.75" style="1" customWidth="1"/>
    <col min="8468" max="8468" width="0.5" style="1" customWidth="1"/>
    <col min="8469" max="8469" width="8.75" style="1" customWidth="1"/>
    <col min="8470" max="8470" width="0.5" style="1" customWidth="1"/>
    <col min="8471" max="8471" width="8.75" style="1" customWidth="1"/>
    <col min="8472" max="8472" width="0.5" style="1" customWidth="1"/>
    <col min="8473" max="8473" width="0.75" style="1" customWidth="1"/>
    <col min="8474" max="8703" width="9" style="1"/>
    <col min="8704" max="8704" width="0.75" style="1" customWidth="1"/>
    <col min="8705" max="8705" width="5.125" style="1" customWidth="1"/>
    <col min="8706" max="8706" width="7.875" style="1" customWidth="1"/>
    <col min="8707" max="8707" width="0.5" style="1" customWidth="1"/>
    <col min="8708" max="8708" width="6.875" style="1" customWidth="1"/>
    <col min="8709" max="8709" width="1.25" style="1" customWidth="1"/>
    <col min="8710" max="8710" width="8.125" style="1" customWidth="1"/>
    <col min="8711" max="8711" width="2.5" style="1" customWidth="1"/>
    <col min="8712" max="8712" width="8.125" style="1" customWidth="1"/>
    <col min="8713" max="8713" width="8.75" style="1" customWidth="1"/>
    <col min="8714" max="8714" width="0.5" style="1" customWidth="1"/>
    <col min="8715" max="8715" width="8.75" style="1" customWidth="1"/>
    <col min="8716" max="8716" width="0.5" style="1" customWidth="1"/>
    <col min="8717" max="8717" width="8.75" style="1" customWidth="1"/>
    <col min="8718" max="8718" width="0.5" style="1" customWidth="1"/>
    <col min="8719" max="8719" width="8.75" style="1" customWidth="1"/>
    <col min="8720" max="8720" width="0.5" style="1" customWidth="1"/>
    <col min="8721" max="8721" width="8.75" style="1" customWidth="1"/>
    <col min="8722" max="8722" width="0.5" style="1" customWidth="1"/>
    <col min="8723" max="8723" width="8.75" style="1" customWidth="1"/>
    <col min="8724" max="8724" width="0.5" style="1" customWidth="1"/>
    <col min="8725" max="8725" width="8.75" style="1" customWidth="1"/>
    <col min="8726" max="8726" width="0.5" style="1" customWidth="1"/>
    <col min="8727" max="8727" width="8.75" style="1" customWidth="1"/>
    <col min="8728" max="8728" width="0.5" style="1" customWidth="1"/>
    <col min="8729" max="8729" width="0.75" style="1" customWidth="1"/>
    <col min="8730" max="8959" width="9" style="1"/>
    <col min="8960" max="8960" width="0.75" style="1" customWidth="1"/>
    <col min="8961" max="8961" width="5.125" style="1" customWidth="1"/>
    <col min="8962" max="8962" width="7.875" style="1" customWidth="1"/>
    <col min="8963" max="8963" width="0.5" style="1" customWidth="1"/>
    <col min="8964" max="8964" width="6.875" style="1" customWidth="1"/>
    <col min="8965" max="8965" width="1.25" style="1" customWidth="1"/>
    <col min="8966" max="8966" width="8.125" style="1" customWidth="1"/>
    <col min="8967" max="8967" width="2.5" style="1" customWidth="1"/>
    <col min="8968" max="8968" width="8.125" style="1" customWidth="1"/>
    <col min="8969" max="8969" width="8.75" style="1" customWidth="1"/>
    <col min="8970" max="8970" width="0.5" style="1" customWidth="1"/>
    <col min="8971" max="8971" width="8.75" style="1" customWidth="1"/>
    <col min="8972" max="8972" width="0.5" style="1" customWidth="1"/>
    <col min="8973" max="8973" width="8.75" style="1" customWidth="1"/>
    <col min="8974" max="8974" width="0.5" style="1" customWidth="1"/>
    <col min="8975" max="8975" width="8.75" style="1" customWidth="1"/>
    <col min="8976" max="8976" width="0.5" style="1" customWidth="1"/>
    <col min="8977" max="8977" width="8.75" style="1" customWidth="1"/>
    <col min="8978" max="8978" width="0.5" style="1" customWidth="1"/>
    <col min="8979" max="8979" width="8.75" style="1" customWidth="1"/>
    <col min="8980" max="8980" width="0.5" style="1" customWidth="1"/>
    <col min="8981" max="8981" width="8.75" style="1" customWidth="1"/>
    <col min="8982" max="8982" width="0.5" style="1" customWidth="1"/>
    <col min="8983" max="8983" width="8.75" style="1" customWidth="1"/>
    <col min="8984" max="8984" width="0.5" style="1" customWidth="1"/>
    <col min="8985" max="8985" width="0.75" style="1" customWidth="1"/>
    <col min="8986" max="9215" width="9" style="1"/>
    <col min="9216" max="9216" width="0.75" style="1" customWidth="1"/>
    <col min="9217" max="9217" width="5.125" style="1" customWidth="1"/>
    <col min="9218" max="9218" width="7.875" style="1" customWidth="1"/>
    <col min="9219" max="9219" width="0.5" style="1" customWidth="1"/>
    <col min="9220" max="9220" width="6.875" style="1" customWidth="1"/>
    <col min="9221" max="9221" width="1.25" style="1" customWidth="1"/>
    <col min="9222" max="9222" width="8.125" style="1" customWidth="1"/>
    <col min="9223" max="9223" width="2.5" style="1" customWidth="1"/>
    <col min="9224" max="9224" width="8.125" style="1" customWidth="1"/>
    <col min="9225" max="9225" width="8.75" style="1" customWidth="1"/>
    <col min="9226" max="9226" width="0.5" style="1" customWidth="1"/>
    <col min="9227" max="9227" width="8.75" style="1" customWidth="1"/>
    <col min="9228" max="9228" width="0.5" style="1" customWidth="1"/>
    <col min="9229" max="9229" width="8.75" style="1" customWidth="1"/>
    <col min="9230" max="9230" width="0.5" style="1" customWidth="1"/>
    <col min="9231" max="9231" width="8.75" style="1" customWidth="1"/>
    <col min="9232" max="9232" width="0.5" style="1" customWidth="1"/>
    <col min="9233" max="9233" width="8.75" style="1" customWidth="1"/>
    <col min="9234" max="9234" width="0.5" style="1" customWidth="1"/>
    <col min="9235" max="9235" width="8.75" style="1" customWidth="1"/>
    <col min="9236" max="9236" width="0.5" style="1" customWidth="1"/>
    <col min="9237" max="9237" width="8.75" style="1" customWidth="1"/>
    <col min="9238" max="9238" width="0.5" style="1" customWidth="1"/>
    <col min="9239" max="9239" width="8.75" style="1" customWidth="1"/>
    <col min="9240" max="9240" width="0.5" style="1" customWidth="1"/>
    <col min="9241" max="9241" width="0.75" style="1" customWidth="1"/>
    <col min="9242" max="9471" width="9" style="1"/>
    <col min="9472" max="9472" width="0.75" style="1" customWidth="1"/>
    <col min="9473" max="9473" width="5.125" style="1" customWidth="1"/>
    <col min="9474" max="9474" width="7.875" style="1" customWidth="1"/>
    <col min="9475" max="9475" width="0.5" style="1" customWidth="1"/>
    <col min="9476" max="9476" width="6.875" style="1" customWidth="1"/>
    <col min="9477" max="9477" width="1.25" style="1" customWidth="1"/>
    <col min="9478" max="9478" width="8.125" style="1" customWidth="1"/>
    <col min="9479" max="9479" width="2.5" style="1" customWidth="1"/>
    <col min="9480" max="9480" width="8.125" style="1" customWidth="1"/>
    <col min="9481" max="9481" width="8.75" style="1" customWidth="1"/>
    <col min="9482" max="9482" width="0.5" style="1" customWidth="1"/>
    <col min="9483" max="9483" width="8.75" style="1" customWidth="1"/>
    <col min="9484" max="9484" width="0.5" style="1" customWidth="1"/>
    <col min="9485" max="9485" width="8.75" style="1" customWidth="1"/>
    <col min="9486" max="9486" width="0.5" style="1" customWidth="1"/>
    <col min="9487" max="9487" width="8.75" style="1" customWidth="1"/>
    <col min="9488" max="9488" width="0.5" style="1" customWidth="1"/>
    <col min="9489" max="9489" width="8.75" style="1" customWidth="1"/>
    <col min="9490" max="9490" width="0.5" style="1" customWidth="1"/>
    <col min="9491" max="9491" width="8.75" style="1" customWidth="1"/>
    <col min="9492" max="9492" width="0.5" style="1" customWidth="1"/>
    <col min="9493" max="9493" width="8.75" style="1" customWidth="1"/>
    <col min="9494" max="9494" width="0.5" style="1" customWidth="1"/>
    <col min="9495" max="9495" width="8.75" style="1" customWidth="1"/>
    <col min="9496" max="9496" width="0.5" style="1" customWidth="1"/>
    <col min="9497" max="9497" width="0.75" style="1" customWidth="1"/>
    <col min="9498" max="9727" width="9" style="1"/>
    <col min="9728" max="9728" width="0.75" style="1" customWidth="1"/>
    <col min="9729" max="9729" width="5.125" style="1" customWidth="1"/>
    <col min="9730" max="9730" width="7.875" style="1" customWidth="1"/>
    <col min="9731" max="9731" width="0.5" style="1" customWidth="1"/>
    <col min="9732" max="9732" width="6.875" style="1" customWidth="1"/>
    <col min="9733" max="9733" width="1.25" style="1" customWidth="1"/>
    <col min="9734" max="9734" width="8.125" style="1" customWidth="1"/>
    <col min="9735" max="9735" width="2.5" style="1" customWidth="1"/>
    <col min="9736" max="9736" width="8.125" style="1" customWidth="1"/>
    <col min="9737" max="9737" width="8.75" style="1" customWidth="1"/>
    <col min="9738" max="9738" width="0.5" style="1" customWidth="1"/>
    <col min="9739" max="9739" width="8.75" style="1" customWidth="1"/>
    <col min="9740" max="9740" width="0.5" style="1" customWidth="1"/>
    <col min="9741" max="9741" width="8.75" style="1" customWidth="1"/>
    <col min="9742" max="9742" width="0.5" style="1" customWidth="1"/>
    <col min="9743" max="9743" width="8.75" style="1" customWidth="1"/>
    <col min="9744" max="9744" width="0.5" style="1" customWidth="1"/>
    <col min="9745" max="9745" width="8.75" style="1" customWidth="1"/>
    <col min="9746" max="9746" width="0.5" style="1" customWidth="1"/>
    <col min="9747" max="9747" width="8.75" style="1" customWidth="1"/>
    <col min="9748" max="9748" width="0.5" style="1" customWidth="1"/>
    <col min="9749" max="9749" width="8.75" style="1" customWidth="1"/>
    <col min="9750" max="9750" width="0.5" style="1" customWidth="1"/>
    <col min="9751" max="9751" width="8.75" style="1" customWidth="1"/>
    <col min="9752" max="9752" width="0.5" style="1" customWidth="1"/>
    <col min="9753" max="9753" width="0.75" style="1" customWidth="1"/>
    <col min="9754" max="9983" width="9" style="1"/>
    <col min="9984" max="9984" width="0.75" style="1" customWidth="1"/>
    <col min="9985" max="9985" width="5.125" style="1" customWidth="1"/>
    <col min="9986" max="9986" width="7.875" style="1" customWidth="1"/>
    <col min="9987" max="9987" width="0.5" style="1" customWidth="1"/>
    <col min="9988" max="9988" width="6.875" style="1" customWidth="1"/>
    <col min="9989" max="9989" width="1.25" style="1" customWidth="1"/>
    <col min="9990" max="9990" width="8.125" style="1" customWidth="1"/>
    <col min="9991" max="9991" width="2.5" style="1" customWidth="1"/>
    <col min="9992" max="9992" width="8.125" style="1" customWidth="1"/>
    <col min="9993" max="9993" width="8.75" style="1" customWidth="1"/>
    <col min="9994" max="9994" width="0.5" style="1" customWidth="1"/>
    <col min="9995" max="9995" width="8.75" style="1" customWidth="1"/>
    <col min="9996" max="9996" width="0.5" style="1" customWidth="1"/>
    <col min="9997" max="9997" width="8.75" style="1" customWidth="1"/>
    <col min="9998" max="9998" width="0.5" style="1" customWidth="1"/>
    <col min="9999" max="9999" width="8.75" style="1" customWidth="1"/>
    <col min="10000" max="10000" width="0.5" style="1" customWidth="1"/>
    <col min="10001" max="10001" width="8.75" style="1" customWidth="1"/>
    <col min="10002" max="10002" width="0.5" style="1" customWidth="1"/>
    <col min="10003" max="10003" width="8.75" style="1" customWidth="1"/>
    <col min="10004" max="10004" width="0.5" style="1" customWidth="1"/>
    <col min="10005" max="10005" width="8.75" style="1" customWidth="1"/>
    <col min="10006" max="10006" width="0.5" style="1" customWidth="1"/>
    <col min="10007" max="10007" width="8.75" style="1" customWidth="1"/>
    <col min="10008" max="10008" width="0.5" style="1" customWidth="1"/>
    <col min="10009" max="10009" width="0.75" style="1" customWidth="1"/>
    <col min="10010" max="10239" width="9" style="1"/>
    <col min="10240" max="10240" width="0.75" style="1" customWidth="1"/>
    <col min="10241" max="10241" width="5.125" style="1" customWidth="1"/>
    <col min="10242" max="10242" width="7.875" style="1" customWidth="1"/>
    <col min="10243" max="10243" width="0.5" style="1" customWidth="1"/>
    <col min="10244" max="10244" width="6.875" style="1" customWidth="1"/>
    <col min="10245" max="10245" width="1.25" style="1" customWidth="1"/>
    <col min="10246" max="10246" width="8.125" style="1" customWidth="1"/>
    <col min="10247" max="10247" width="2.5" style="1" customWidth="1"/>
    <col min="10248" max="10248" width="8.125" style="1" customWidth="1"/>
    <col min="10249" max="10249" width="8.75" style="1" customWidth="1"/>
    <col min="10250" max="10250" width="0.5" style="1" customWidth="1"/>
    <col min="10251" max="10251" width="8.75" style="1" customWidth="1"/>
    <col min="10252" max="10252" width="0.5" style="1" customWidth="1"/>
    <col min="10253" max="10253" width="8.75" style="1" customWidth="1"/>
    <col min="10254" max="10254" width="0.5" style="1" customWidth="1"/>
    <col min="10255" max="10255" width="8.75" style="1" customWidth="1"/>
    <col min="10256" max="10256" width="0.5" style="1" customWidth="1"/>
    <col min="10257" max="10257" width="8.75" style="1" customWidth="1"/>
    <col min="10258" max="10258" width="0.5" style="1" customWidth="1"/>
    <col min="10259" max="10259" width="8.75" style="1" customWidth="1"/>
    <col min="10260" max="10260" width="0.5" style="1" customWidth="1"/>
    <col min="10261" max="10261" width="8.75" style="1" customWidth="1"/>
    <col min="10262" max="10262" width="0.5" style="1" customWidth="1"/>
    <col min="10263" max="10263" width="8.75" style="1" customWidth="1"/>
    <col min="10264" max="10264" width="0.5" style="1" customWidth="1"/>
    <col min="10265" max="10265" width="0.75" style="1" customWidth="1"/>
    <col min="10266" max="10495" width="9" style="1"/>
    <col min="10496" max="10496" width="0.75" style="1" customWidth="1"/>
    <col min="10497" max="10497" width="5.125" style="1" customWidth="1"/>
    <col min="10498" max="10498" width="7.875" style="1" customWidth="1"/>
    <col min="10499" max="10499" width="0.5" style="1" customWidth="1"/>
    <col min="10500" max="10500" width="6.875" style="1" customWidth="1"/>
    <col min="10501" max="10501" width="1.25" style="1" customWidth="1"/>
    <col min="10502" max="10502" width="8.125" style="1" customWidth="1"/>
    <col min="10503" max="10503" width="2.5" style="1" customWidth="1"/>
    <col min="10504" max="10504" width="8.125" style="1" customWidth="1"/>
    <col min="10505" max="10505" width="8.75" style="1" customWidth="1"/>
    <col min="10506" max="10506" width="0.5" style="1" customWidth="1"/>
    <col min="10507" max="10507" width="8.75" style="1" customWidth="1"/>
    <col min="10508" max="10508" width="0.5" style="1" customWidth="1"/>
    <col min="10509" max="10509" width="8.75" style="1" customWidth="1"/>
    <col min="10510" max="10510" width="0.5" style="1" customWidth="1"/>
    <col min="10511" max="10511" width="8.75" style="1" customWidth="1"/>
    <col min="10512" max="10512" width="0.5" style="1" customWidth="1"/>
    <col min="10513" max="10513" width="8.75" style="1" customWidth="1"/>
    <col min="10514" max="10514" width="0.5" style="1" customWidth="1"/>
    <col min="10515" max="10515" width="8.75" style="1" customWidth="1"/>
    <col min="10516" max="10516" width="0.5" style="1" customWidth="1"/>
    <col min="10517" max="10517" width="8.75" style="1" customWidth="1"/>
    <col min="10518" max="10518" width="0.5" style="1" customWidth="1"/>
    <col min="10519" max="10519" width="8.75" style="1" customWidth="1"/>
    <col min="10520" max="10520" width="0.5" style="1" customWidth="1"/>
    <col min="10521" max="10521" width="0.75" style="1" customWidth="1"/>
    <col min="10522" max="10751" width="9" style="1"/>
    <col min="10752" max="10752" width="0.75" style="1" customWidth="1"/>
    <col min="10753" max="10753" width="5.125" style="1" customWidth="1"/>
    <col min="10754" max="10754" width="7.875" style="1" customWidth="1"/>
    <col min="10755" max="10755" width="0.5" style="1" customWidth="1"/>
    <col min="10756" max="10756" width="6.875" style="1" customWidth="1"/>
    <col min="10757" max="10757" width="1.25" style="1" customWidth="1"/>
    <col min="10758" max="10758" width="8.125" style="1" customWidth="1"/>
    <col min="10759" max="10759" width="2.5" style="1" customWidth="1"/>
    <col min="10760" max="10760" width="8.125" style="1" customWidth="1"/>
    <col min="10761" max="10761" width="8.75" style="1" customWidth="1"/>
    <col min="10762" max="10762" width="0.5" style="1" customWidth="1"/>
    <col min="10763" max="10763" width="8.75" style="1" customWidth="1"/>
    <col min="10764" max="10764" width="0.5" style="1" customWidth="1"/>
    <col min="10765" max="10765" width="8.75" style="1" customWidth="1"/>
    <col min="10766" max="10766" width="0.5" style="1" customWidth="1"/>
    <col min="10767" max="10767" width="8.75" style="1" customWidth="1"/>
    <col min="10768" max="10768" width="0.5" style="1" customWidth="1"/>
    <col min="10769" max="10769" width="8.75" style="1" customWidth="1"/>
    <col min="10770" max="10770" width="0.5" style="1" customWidth="1"/>
    <col min="10771" max="10771" width="8.75" style="1" customWidth="1"/>
    <col min="10772" max="10772" width="0.5" style="1" customWidth="1"/>
    <col min="10773" max="10773" width="8.75" style="1" customWidth="1"/>
    <col min="10774" max="10774" width="0.5" style="1" customWidth="1"/>
    <col min="10775" max="10775" width="8.75" style="1" customWidth="1"/>
    <col min="10776" max="10776" width="0.5" style="1" customWidth="1"/>
    <col min="10777" max="10777" width="0.75" style="1" customWidth="1"/>
    <col min="10778" max="11007" width="9" style="1"/>
    <col min="11008" max="11008" width="0.75" style="1" customWidth="1"/>
    <col min="11009" max="11009" width="5.125" style="1" customWidth="1"/>
    <col min="11010" max="11010" width="7.875" style="1" customWidth="1"/>
    <col min="11011" max="11011" width="0.5" style="1" customWidth="1"/>
    <col min="11012" max="11012" width="6.875" style="1" customWidth="1"/>
    <col min="11013" max="11013" width="1.25" style="1" customWidth="1"/>
    <col min="11014" max="11014" width="8.125" style="1" customWidth="1"/>
    <col min="11015" max="11015" width="2.5" style="1" customWidth="1"/>
    <col min="11016" max="11016" width="8.125" style="1" customWidth="1"/>
    <col min="11017" max="11017" width="8.75" style="1" customWidth="1"/>
    <col min="11018" max="11018" width="0.5" style="1" customWidth="1"/>
    <col min="11019" max="11019" width="8.75" style="1" customWidth="1"/>
    <col min="11020" max="11020" width="0.5" style="1" customWidth="1"/>
    <col min="11021" max="11021" width="8.75" style="1" customWidth="1"/>
    <col min="11022" max="11022" width="0.5" style="1" customWidth="1"/>
    <col min="11023" max="11023" width="8.75" style="1" customWidth="1"/>
    <col min="11024" max="11024" width="0.5" style="1" customWidth="1"/>
    <col min="11025" max="11025" width="8.75" style="1" customWidth="1"/>
    <col min="11026" max="11026" width="0.5" style="1" customWidth="1"/>
    <col min="11027" max="11027" width="8.75" style="1" customWidth="1"/>
    <col min="11028" max="11028" width="0.5" style="1" customWidth="1"/>
    <col min="11029" max="11029" width="8.75" style="1" customWidth="1"/>
    <col min="11030" max="11030" width="0.5" style="1" customWidth="1"/>
    <col min="11031" max="11031" width="8.75" style="1" customWidth="1"/>
    <col min="11032" max="11032" width="0.5" style="1" customWidth="1"/>
    <col min="11033" max="11033" width="0.75" style="1" customWidth="1"/>
    <col min="11034" max="11263" width="9" style="1"/>
    <col min="11264" max="11264" width="0.75" style="1" customWidth="1"/>
    <col min="11265" max="11265" width="5.125" style="1" customWidth="1"/>
    <col min="11266" max="11266" width="7.875" style="1" customWidth="1"/>
    <col min="11267" max="11267" width="0.5" style="1" customWidth="1"/>
    <col min="11268" max="11268" width="6.875" style="1" customWidth="1"/>
    <col min="11269" max="11269" width="1.25" style="1" customWidth="1"/>
    <col min="11270" max="11270" width="8.125" style="1" customWidth="1"/>
    <col min="11271" max="11271" width="2.5" style="1" customWidth="1"/>
    <col min="11272" max="11272" width="8.125" style="1" customWidth="1"/>
    <col min="11273" max="11273" width="8.75" style="1" customWidth="1"/>
    <col min="11274" max="11274" width="0.5" style="1" customWidth="1"/>
    <col min="11275" max="11275" width="8.75" style="1" customWidth="1"/>
    <col min="11276" max="11276" width="0.5" style="1" customWidth="1"/>
    <col min="11277" max="11277" width="8.75" style="1" customWidth="1"/>
    <col min="11278" max="11278" width="0.5" style="1" customWidth="1"/>
    <col min="11279" max="11279" width="8.75" style="1" customWidth="1"/>
    <col min="11280" max="11280" width="0.5" style="1" customWidth="1"/>
    <col min="11281" max="11281" width="8.75" style="1" customWidth="1"/>
    <col min="11282" max="11282" width="0.5" style="1" customWidth="1"/>
    <col min="11283" max="11283" width="8.75" style="1" customWidth="1"/>
    <col min="11284" max="11284" width="0.5" style="1" customWidth="1"/>
    <col min="11285" max="11285" width="8.75" style="1" customWidth="1"/>
    <col min="11286" max="11286" width="0.5" style="1" customWidth="1"/>
    <col min="11287" max="11287" width="8.75" style="1" customWidth="1"/>
    <col min="11288" max="11288" width="0.5" style="1" customWidth="1"/>
    <col min="11289" max="11289" width="0.75" style="1" customWidth="1"/>
    <col min="11290" max="11519" width="9" style="1"/>
    <col min="11520" max="11520" width="0.75" style="1" customWidth="1"/>
    <col min="11521" max="11521" width="5.125" style="1" customWidth="1"/>
    <col min="11522" max="11522" width="7.875" style="1" customWidth="1"/>
    <col min="11523" max="11523" width="0.5" style="1" customWidth="1"/>
    <col min="11524" max="11524" width="6.875" style="1" customWidth="1"/>
    <col min="11525" max="11525" width="1.25" style="1" customWidth="1"/>
    <col min="11526" max="11526" width="8.125" style="1" customWidth="1"/>
    <col min="11527" max="11527" width="2.5" style="1" customWidth="1"/>
    <col min="11528" max="11528" width="8.125" style="1" customWidth="1"/>
    <col min="11529" max="11529" width="8.75" style="1" customWidth="1"/>
    <col min="11530" max="11530" width="0.5" style="1" customWidth="1"/>
    <col min="11531" max="11531" width="8.75" style="1" customWidth="1"/>
    <col min="11532" max="11532" width="0.5" style="1" customWidth="1"/>
    <col min="11533" max="11533" width="8.75" style="1" customWidth="1"/>
    <col min="11534" max="11534" width="0.5" style="1" customWidth="1"/>
    <col min="11535" max="11535" width="8.75" style="1" customWidth="1"/>
    <col min="11536" max="11536" width="0.5" style="1" customWidth="1"/>
    <col min="11537" max="11537" width="8.75" style="1" customWidth="1"/>
    <col min="11538" max="11538" width="0.5" style="1" customWidth="1"/>
    <col min="11539" max="11539" width="8.75" style="1" customWidth="1"/>
    <col min="11540" max="11540" width="0.5" style="1" customWidth="1"/>
    <col min="11541" max="11541" width="8.75" style="1" customWidth="1"/>
    <col min="11542" max="11542" width="0.5" style="1" customWidth="1"/>
    <col min="11543" max="11543" width="8.75" style="1" customWidth="1"/>
    <col min="11544" max="11544" width="0.5" style="1" customWidth="1"/>
    <col min="11545" max="11545" width="0.75" style="1" customWidth="1"/>
    <col min="11546" max="11775" width="9" style="1"/>
    <col min="11776" max="11776" width="0.75" style="1" customWidth="1"/>
    <col min="11777" max="11777" width="5.125" style="1" customWidth="1"/>
    <col min="11778" max="11778" width="7.875" style="1" customWidth="1"/>
    <col min="11779" max="11779" width="0.5" style="1" customWidth="1"/>
    <col min="11780" max="11780" width="6.875" style="1" customWidth="1"/>
    <col min="11781" max="11781" width="1.25" style="1" customWidth="1"/>
    <col min="11782" max="11782" width="8.125" style="1" customWidth="1"/>
    <col min="11783" max="11783" width="2.5" style="1" customWidth="1"/>
    <col min="11784" max="11784" width="8.125" style="1" customWidth="1"/>
    <col min="11785" max="11785" width="8.75" style="1" customWidth="1"/>
    <col min="11786" max="11786" width="0.5" style="1" customWidth="1"/>
    <col min="11787" max="11787" width="8.75" style="1" customWidth="1"/>
    <col min="11788" max="11788" width="0.5" style="1" customWidth="1"/>
    <col min="11789" max="11789" width="8.75" style="1" customWidth="1"/>
    <col min="11790" max="11790" width="0.5" style="1" customWidth="1"/>
    <col min="11791" max="11791" width="8.75" style="1" customWidth="1"/>
    <col min="11792" max="11792" width="0.5" style="1" customWidth="1"/>
    <col min="11793" max="11793" width="8.75" style="1" customWidth="1"/>
    <col min="11794" max="11794" width="0.5" style="1" customWidth="1"/>
    <col min="11795" max="11795" width="8.75" style="1" customWidth="1"/>
    <col min="11796" max="11796" width="0.5" style="1" customWidth="1"/>
    <col min="11797" max="11797" width="8.75" style="1" customWidth="1"/>
    <col min="11798" max="11798" width="0.5" style="1" customWidth="1"/>
    <col min="11799" max="11799" width="8.75" style="1" customWidth="1"/>
    <col min="11800" max="11800" width="0.5" style="1" customWidth="1"/>
    <col min="11801" max="11801" width="0.75" style="1" customWidth="1"/>
    <col min="11802" max="12031" width="9" style="1"/>
    <col min="12032" max="12032" width="0.75" style="1" customWidth="1"/>
    <col min="12033" max="12033" width="5.125" style="1" customWidth="1"/>
    <col min="12034" max="12034" width="7.875" style="1" customWidth="1"/>
    <col min="12035" max="12035" width="0.5" style="1" customWidth="1"/>
    <col min="12036" max="12036" width="6.875" style="1" customWidth="1"/>
    <col min="12037" max="12037" width="1.25" style="1" customWidth="1"/>
    <col min="12038" max="12038" width="8.125" style="1" customWidth="1"/>
    <col min="12039" max="12039" width="2.5" style="1" customWidth="1"/>
    <col min="12040" max="12040" width="8.125" style="1" customWidth="1"/>
    <col min="12041" max="12041" width="8.75" style="1" customWidth="1"/>
    <col min="12042" max="12042" width="0.5" style="1" customWidth="1"/>
    <col min="12043" max="12043" width="8.75" style="1" customWidth="1"/>
    <col min="12044" max="12044" width="0.5" style="1" customWidth="1"/>
    <col min="12045" max="12045" width="8.75" style="1" customWidth="1"/>
    <col min="12046" max="12046" width="0.5" style="1" customWidth="1"/>
    <col min="12047" max="12047" width="8.75" style="1" customWidth="1"/>
    <col min="12048" max="12048" width="0.5" style="1" customWidth="1"/>
    <col min="12049" max="12049" width="8.75" style="1" customWidth="1"/>
    <col min="12050" max="12050" width="0.5" style="1" customWidth="1"/>
    <col min="12051" max="12051" width="8.75" style="1" customWidth="1"/>
    <col min="12052" max="12052" width="0.5" style="1" customWidth="1"/>
    <col min="12053" max="12053" width="8.75" style="1" customWidth="1"/>
    <col min="12054" max="12054" width="0.5" style="1" customWidth="1"/>
    <col min="12055" max="12055" width="8.75" style="1" customWidth="1"/>
    <col min="12056" max="12056" width="0.5" style="1" customWidth="1"/>
    <col min="12057" max="12057" width="0.75" style="1" customWidth="1"/>
    <col min="12058" max="12287" width="9" style="1"/>
    <col min="12288" max="12288" width="0.75" style="1" customWidth="1"/>
    <col min="12289" max="12289" width="5.125" style="1" customWidth="1"/>
    <col min="12290" max="12290" width="7.875" style="1" customWidth="1"/>
    <col min="12291" max="12291" width="0.5" style="1" customWidth="1"/>
    <col min="12292" max="12292" width="6.875" style="1" customWidth="1"/>
    <col min="12293" max="12293" width="1.25" style="1" customWidth="1"/>
    <col min="12294" max="12294" width="8.125" style="1" customWidth="1"/>
    <col min="12295" max="12295" width="2.5" style="1" customWidth="1"/>
    <col min="12296" max="12296" width="8.125" style="1" customWidth="1"/>
    <col min="12297" max="12297" width="8.75" style="1" customWidth="1"/>
    <col min="12298" max="12298" width="0.5" style="1" customWidth="1"/>
    <col min="12299" max="12299" width="8.75" style="1" customWidth="1"/>
    <col min="12300" max="12300" width="0.5" style="1" customWidth="1"/>
    <col min="12301" max="12301" width="8.75" style="1" customWidth="1"/>
    <col min="12302" max="12302" width="0.5" style="1" customWidth="1"/>
    <col min="12303" max="12303" width="8.75" style="1" customWidth="1"/>
    <col min="12304" max="12304" width="0.5" style="1" customWidth="1"/>
    <col min="12305" max="12305" width="8.75" style="1" customWidth="1"/>
    <col min="12306" max="12306" width="0.5" style="1" customWidth="1"/>
    <col min="12307" max="12307" width="8.75" style="1" customWidth="1"/>
    <col min="12308" max="12308" width="0.5" style="1" customWidth="1"/>
    <col min="12309" max="12309" width="8.75" style="1" customWidth="1"/>
    <col min="12310" max="12310" width="0.5" style="1" customWidth="1"/>
    <col min="12311" max="12311" width="8.75" style="1" customWidth="1"/>
    <col min="12312" max="12312" width="0.5" style="1" customWidth="1"/>
    <col min="12313" max="12313" width="0.75" style="1" customWidth="1"/>
    <col min="12314" max="12543" width="9" style="1"/>
    <col min="12544" max="12544" width="0.75" style="1" customWidth="1"/>
    <col min="12545" max="12545" width="5.125" style="1" customWidth="1"/>
    <col min="12546" max="12546" width="7.875" style="1" customWidth="1"/>
    <col min="12547" max="12547" width="0.5" style="1" customWidth="1"/>
    <col min="12548" max="12548" width="6.875" style="1" customWidth="1"/>
    <col min="12549" max="12549" width="1.25" style="1" customWidth="1"/>
    <col min="12550" max="12550" width="8.125" style="1" customWidth="1"/>
    <col min="12551" max="12551" width="2.5" style="1" customWidth="1"/>
    <col min="12552" max="12552" width="8.125" style="1" customWidth="1"/>
    <col min="12553" max="12553" width="8.75" style="1" customWidth="1"/>
    <col min="12554" max="12554" width="0.5" style="1" customWidth="1"/>
    <col min="12555" max="12555" width="8.75" style="1" customWidth="1"/>
    <col min="12556" max="12556" width="0.5" style="1" customWidth="1"/>
    <col min="12557" max="12557" width="8.75" style="1" customWidth="1"/>
    <col min="12558" max="12558" width="0.5" style="1" customWidth="1"/>
    <col min="12559" max="12559" width="8.75" style="1" customWidth="1"/>
    <col min="12560" max="12560" width="0.5" style="1" customWidth="1"/>
    <col min="12561" max="12561" width="8.75" style="1" customWidth="1"/>
    <col min="12562" max="12562" width="0.5" style="1" customWidth="1"/>
    <col min="12563" max="12563" width="8.75" style="1" customWidth="1"/>
    <col min="12564" max="12564" width="0.5" style="1" customWidth="1"/>
    <col min="12565" max="12565" width="8.75" style="1" customWidth="1"/>
    <col min="12566" max="12566" width="0.5" style="1" customWidth="1"/>
    <col min="12567" max="12567" width="8.75" style="1" customWidth="1"/>
    <col min="12568" max="12568" width="0.5" style="1" customWidth="1"/>
    <col min="12569" max="12569" width="0.75" style="1" customWidth="1"/>
    <col min="12570" max="12799" width="9" style="1"/>
    <col min="12800" max="12800" width="0.75" style="1" customWidth="1"/>
    <col min="12801" max="12801" width="5.125" style="1" customWidth="1"/>
    <col min="12802" max="12802" width="7.875" style="1" customWidth="1"/>
    <col min="12803" max="12803" width="0.5" style="1" customWidth="1"/>
    <col min="12804" max="12804" width="6.875" style="1" customWidth="1"/>
    <col min="12805" max="12805" width="1.25" style="1" customWidth="1"/>
    <col min="12806" max="12806" width="8.125" style="1" customWidth="1"/>
    <col min="12807" max="12807" width="2.5" style="1" customWidth="1"/>
    <col min="12808" max="12808" width="8.125" style="1" customWidth="1"/>
    <col min="12809" max="12809" width="8.75" style="1" customWidth="1"/>
    <col min="12810" max="12810" width="0.5" style="1" customWidth="1"/>
    <col min="12811" max="12811" width="8.75" style="1" customWidth="1"/>
    <col min="12812" max="12812" width="0.5" style="1" customWidth="1"/>
    <col min="12813" max="12813" width="8.75" style="1" customWidth="1"/>
    <col min="12814" max="12814" width="0.5" style="1" customWidth="1"/>
    <col min="12815" max="12815" width="8.75" style="1" customWidth="1"/>
    <col min="12816" max="12816" width="0.5" style="1" customWidth="1"/>
    <col min="12817" max="12817" width="8.75" style="1" customWidth="1"/>
    <col min="12818" max="12818" width="0.5" style="1" customWidth="1"/>
    <col min="12819" max="12819" width="8.75" style="1" customWidth="1"/>
    <col min="12820" max="12820" width="0.5" style="1" customWidth="1"/>
    <col min="12821" max="12821" width="8.75" style="1" customWidth="1"/>
    <col min="12822" max="12822" width="0.5" style="1" customWidth="1"/>
    <col min="12823" max="12823" width="8.75" style="1" customWidth="1"/>
    <col min="12824" max="12824" width="0.5" style="1" customWidth="1"/>
    <col min="12825" max="12825" width="0.75" style="1" customWidth="1"/>
    <col min="12826" max="13055" width="9" style="1"/>
    <col min="13056" max="13056" width="0.75" style="1" customWidth="1"/>
    <col min="13057" max="13057" width="5.125" style="1" customWidth="1"/>
    <col min="13058" max="13058" width="7.875" style="1" customWidth="1"/>
    <col min="13059" max="13059" width="0.5" style="1" customWidth="1"/>
    <col min="13060" max="13060" width="6.875" style="1" customWidth="1"/>
    <col min="13061" max="13061" width="1.25" style="1" customWidth="1"/>
    <col min="13062" max="13062" width="8.125" style="1" customWidth="1"/>
    <col min="13063" max="13063" width="2.5" style="1" customWidth="1"/>
    <col min="13064" max="13064" width="8.125" style="1" customWidth="1"/>
    <col min="13065" max="13065" width="8.75" style="1" customWidth="1"/>
    <col min="13066" max="13066" width="0.5" style="1" customWidth="1"/>
    <col min="13067" max="13067" width="8.75" style="1" customWidth="1"/>
    <col min="13068" max="13068" width="0.5" style="1" customWidth="1"/>
    <col min="13069" max="13069" width="8.75" style="1" customWidth="1"/>
    <col min="13070" max="13070" width="0.5" style="1" customWidth="1"/>
    <col min="13071" max="13071" width="8.75" style="1" customWidth="1"/>
    <col min="13072" max="13072" width="0.5" style="1" customWidth="1"/>
    <col min="13073" max="13073" width="8.75" style="1" customWidth="1"/>
    <col min="13074" max="13074" width="0.5" style="1" customWidth="1"/>
    <col min="13075" max="13075" width="8.75" style="1" customWidth="1"/>
    <col min="13076" max="13076" width="0.5" style="1" customWidth="1"/>
    <col min="13077" max="13077" width="8.75" style="1" customWidth="1"/>
    <col min="13078" max="13078" width="0.5" style="1" customWidth="1"/>
    <col min="13079" max="13079" width="8.75" style="1" customWidth="1"/>
    <col min="13080" max="13080" width="0.5" style="1" customWidth="1"/>
    <col min="13081" max="13081" width="0.75" style="1" customWidth="1"/>
    <col min="13082" max="13311" width="9" style="1"/>
    <col min="13312" max="13312" width="0.75" style="1" customWidth="1"/>
    <col min="13313" max="13313" width="5.125" style="1" customWidth="1"/>
    <col min="13314" max="13314" width="7.875" style="1" customWidth="1"/>
    <col min="13315" max="13315" width="0.5" style="1" customWidth="1"/>
    <col min="13316" max="13316" width="6.875" style="1" customWidth="1"/>
    <col min="13317" max="13317" width="1.25" style="1" customWidth="1"/>
    <col min="13318" max="13318" width="8.125" style="1" customWidth="1"/>
    <col min="13319" max="13319" width="2.5" style="1" customWidth="1"/>
    <col min="13320" max="13320" width="8.125" style="1" customWidth="1"/>
    <col min="13321" max="13321" width="8.75" style="1" customWidth="1"/>
    <col min="13322" max="13322" width="0.5" style="1" customWidth="1"/>
    <col min="13323" max="13323" width="8.75" style="1" customWidth="1"/>
    <col min="13324" max="13324" width="0.5" style="1" customWidth="1"/>
    <col min="13325" max="13325" width="8.75" style="1" customWidth="1"/>
    <col min="13326" max="13326" width="0.5" style="1" customWidth="1"/>
    <col min="13327" max="13327" width="8.75" style="1" customWidth="1"/>
    <col min="13328" max="13328" width="0.5" style="1" customWidth="1"/>
    <col min="13329" max="13329" width="8.75" style="1" customWidth="1"/>
    <col min="13330" max="13330" width="0.5" style="1" customWidth="1"/>
    <col min="13331" max="13331" width="8.75" style="1" customWidth="1"/>
    <col min="13332" max="13332" width="0.5" style="1" customWidth="1"/>
    <col min="13333" max="13333" width="8.75" style="1" customWidth="1"/>
    <col min="13334" max="13334" width="0.5" style="1" customWidth="1"/>
    <col min="13335" max="13335" width="8.75" style="1" customWidth="1"/>
    <col min="13336" max="13336" width="0.5" style="1" customWidth="1"/>
    <col min="13337" max="13337" width="0.75" style="1" customWidth="1"/>
    <col min="13338" max="13567" width="9" style="1"/>
    <col min="13568" max="13568" width="0.75" style="1" customWidth="1"/>
    <col min="13569" max="13569" width="5.125" style="1" customWidth="1"/>
    <col min="13570" max="13570" width="7.875" style="1" customWidth="1"/>
    <col min="13571" max="13571" width="0.5" style="1" customWidth="1"/>
    <col min="13572" max="13572" width="6.875" style="1" customWidth="1"/>
    <col min="13573" max="13573" width="1.25" style="1" customWidth="1"/>
    <col min="13574" max="13574" width="8.125" style="1" customWidth="1"/>
    <col min="13575" max="13575" width="2.5" style="1" customWidth="1"/>
    <col min="13576" max="13576" width="8.125" style="1" customWidth="1"/>
    <col min="13577" max="13577" width="8.75" style="1" customWidth="1"/>
    <col min="13578" max="13578" width="0.5" style="1" customWidth="1"/>
    <col min="13579" max="13579" width="8.75" style="1" customWidth="1"/>
    <col min="13580" max="13580" width="0.5" style="1" customWidth="1"/>
    <col min="13581" max="13581" width="8.75" style="1" customWidth="1"/>
    <col min="13582" max="13582" width="0.5" style="1" customWidth="1"/>
    <col min="13583" max="13583" width="8.75" style="1" customWidth="1"/>
    <col min="13584" max="13584" width="0.5" style="1" customWidth="1"/>
    <col min="13585" max="13585" width="8.75" style="1" customWidth="1"/>
    <col min="13586" max="13586" width="0.5" style="1" customWidth="1"/>
    <col min="13587" max="13587" width="8.75" style="1" customWidth="1"/>
    <col min="13588" max="13588" width="0.5" style="1" customWidth="1"/>
    <col min="13589" max="13589" width="8.75" style="1" customWidth="1"/>
    <col min="13590" max="13590" width="0.5" style="1" customWidth="1"/>
    <col min="13591" max="13591" width="8.75" style="1" customWidth="1"/>
    <col min="13592" max="13592" width="0.5" style="1" customWidth="1"/>
    <col min="13593" max="13593" width="0.75" style="1" customWidth="1"/>
    <col min="13594" max="13823" width="9" style="1"/>
    <col min="13824" max="13824" width="0.75" style="1" customWidth="1"/>
    <col min="13825" max="13825" width="5.125" style="1" customWidth="1"/>
    <col min="13826" max="13826" width="7.875" style="1" customWidth="1"/>
    <col min="13827" max="13827" width="0.5" style="1" customWidth="1"/>
    <col min="13828" max="13828" width="6.875" style="1" customWidth="1"/>
    <col min="13829" max="13829" width="1.25" style="1" customWidth="1"/>
    <col min="13830" max="13830" width="8.125" style="1" customWidth="1"/>
    <col min="13831" max="13831" width="2.5" style="1" customWidth="1"/>
    <col min="13832" max="13832" width="8.125" style="1" customWidth="1"/>
    <col min="13833" max="13833" width="8.75" style="1" customWidth="1"/>
    <col min="13834" max="13834" width="0.5" style="1" customWidth="1"/>
    <col min="13835" max="13835" width="8.75" style="1" customWidth="1"/>
    <col min="13836" max="13836" width="0.5" style="1" customWidth="1"/>
    <col min="13837" max="13837" width="8.75" style="1" customWidth="1"/>
    <col min="13838" max="13838" width="0.5" style="1" customWidth="1"/>
    <col min="13839" max="13839" width="8.75" style="1" customWidth="1"/>
    <col min="13840" max="13840" width="0.5" style="1" customWidth="1"/>
    <col min="13841" max="13841" width="8.75" style="1" customWidth="1"/>
    <col min="13842" max="13842" width="0.5" style="1" customWidth="1"/>
    <col min="13843" max="13843" width="8.75" style="1" customWidth="1"/>
    <col min="13844" max="13844" width="0.5" style="1" customWidth="1"/>
    <col min="13845" max="13845" width="8.75" style="1" customWidth="1"/>
    <col min="13846" max="13846" width="0.5" style="1" customWidth="1"/>
    <col min="13847" max="13847" width="8.75" style="1" customWidth="1"/>
    <col min="13848" max="13848" width="0.5" style="1" customWidth="1"/>
    <col min="13849" max="13849" width="0.75" style="1" customWidth="1"/>
    <col min="13850" max="14079" width="9" style="1"/>
    <col min="14080" max="14080" width="0.75" style="1" customWidth="1"/>
    <col min="14081" max="14081" width="5.125" style="1" customWidth="1"/>
    <col min="14082" max="14082" width="7.875" style="1" customWidth="1"/>
    <col min="14083" max="14083" width="0.5" style="1" customWidth="1"/>
    <col min="14084" max="14084" width="6.875" style="1" customWidth="1"/>
    <col min="14085" max="14085" width="1.25" style="1" customWidth="1"/>
    <col min="14086" max="14086" width="8.125" style="1" customWidth="1"/>
    <col min="14087" max="14087" width="2.5" style="1" customWidth="1"/>
    <col min="14088" max="14088" width="8.125" style="1" customWidth="1"/>
    <col min="14089" max="14089" width="8.75" style="1" customWidth="1"/>
    <col min="14090" max="14090" width="0.5" style="1" customWidth="1"/>
    <col min="14091" max="14091" width="8.75" style="1" customWidth="1"/>
    <col min="14092" max="14092" width="0.5" style="1" customWidth="1"/>
    <col min="14093" max="14093" width="8.75" style="1" customWidth="1"/>
    <col min="14094" max="14094" width="0.5" style="1" customWidth="1"/>
    <col min="14095" max="14095" width="8.75" style="1" customWidth="1"/>
    <col min="14096" max="14096" width="0.5" style="1" customWidth="1"/>
    <col min="14097" max="14097" width="8.75" style="1" customWidth="1"/>
    <col min="14098" max="14098" width="0.5" style="1" customWidth="1"/>
    <col min="14099" max="14099" width="8.75" style="1" customWidth="1"/>
    <col min="14100" max="14100" width="0.5" style="1" customWidth="1"/>
    <col min="14101" max="14101" width="8.75" style="1" customWidth="1"/>
    <col min="14102" max="14102" width="0.5" style="1" customWidth="1"/>
    <col min="14103" max="14103" width="8.75" style="1" customWidth="1"/>
    <col min="14104" max="14104" width="0.5" style="1" customWidth="1"/>
    <col min="14105" max="14105" width="0.75" style="1" customWidth="1"/>
    <col min="14106" max="14335" width="9" style="1"/>
    <col min="14336" max="14336" width="0.75" style="1" customWidth="1"/>
    <col min="14337" max="14337" width="5.125" style="1" customWidth="1"/>
    <col min="14338" max="14338" width="7.875" style="1" customWidth="1"/>
    <col min="14339" max="14339" width="0.5" style="1" customWidth="1"/>
    <col min="14340" max="14340" width="6.875" style="1" customWidth="1"/>
    <col min="14341" max="14341" width="1.25" style="1" customWidth="1"/>
    <col min="14342" max="14342" width="8.125" style="1" customWidth="1"/>
    <col min="14343" max="14343" width="2.5" style="1" customWidth="1"/>
    <col min="14344" max="14344" width="8.125" style="1" customWidth="1"/>
    <col min="14345" max="14345" width="8.75" style="1" customWidth="1"/>
    <col min="14346" max="14346" width="0.5" style="1" customWidth="1"/>
    <col min="14347" max="14347" width="8.75" style="1" customWidth="1"/>
    <col min="14348" max="14348" width="0.5" style="1" customWidth="1"/>
    <col min="14349" max="14349" width="8.75" style="1" customWidth="1"/>
    <col min="14350" max="14350" width="0.5" style="1" customWidth="1"/>
    <col min="14351" max="14351" width="8.75" style="1" customWidth="1"/>
    <col min="14352" max="14352" width="0.5" style="1" customWidth="1"/>
    <col min="14353" max="14353" width="8.75" style="1" customWidth="1"/>
    <col min="14354" max="14354" width="0.5" style="1" customWidth="1"/>
    <col min="14355" max="14355" width="8.75" style="1" customWidth="1"/>
    <col min="14356" max="14356" width="0.5" style="1" customWidth="1"/>
    <col min="14357" max="14357" width="8.75" style="1" customWidth="1"/>
    <col min="14358" max="14358" width="0.5" style="1" customWidth="1"/>
    <col min="14359" max="14359" width="8.75" style="1" customWidth="1"/>
    <col min="14360" max="14360" width="0.5" style="1" customWidth="1"/>
    <col min="14361" max="14361" width="0.75" style="1" customWidth="1"/>
    <col min="14362" max="14591" width="9" style="1"/>
    <col min="14592" max="14592" width="0.75" style="1" customWidth="1"/>
    <col min="14593" max="14593" width="5.125" style="1" customWidth="1"/>
    <col min="14594" max="14594" width="7.875" style="1" customWidth="1"/>
    <col min="14595" max="14595" width="0.5" style="1" customWidth="1"/>
    <col min="14596" max="14596" width="6.875" style="1" customWidth="1"/>
    <col min="14597" max="14597" width="1.25" style="1" customWidth="1"/>
    <col min="14598" max="14598" width="8.125" style="1" customWidth="1"/>
    <col min="14599" max="14599" width="2.5" style="1" customWidth="1"/>
    <col min="14600" max="14600" width="8.125" style="1" customWidth="1"/>
    <col min="14601" max="14601" width="8.75" style="1" customWidth="1"/>
    <col min="14602" max="14602" width="0.5" style="1" customWidth="1"/>
    <col min="14603" max="14603" width="8.75" style="1" customWidth="1"/>
    <col min="14604" max="14604" width="0.5" style="1" customWidth="1"/>
    <col min="14605" max="14605" width="8.75" style="1" customWidth="1"/>
    <col min="14606" max="14606" width="0.5" style="1" customWidth="1"/>
    <col min="14607" max="14607" width="8.75" style="1" customWidth="1"/>
    <col min="14608" max="14608" width="0.5" style="1" customWidth="1"/>
    <col min="14609" max="14609" width="8.75" style="1" customWidth="1"/>
    <col min="14610" max="14610" width="0.5" style="1" customWidth="1"/>
    <col min="14611" max="14611" width="8.75" style="1" customWidth="1"/>
    <col min="14612" max="14612" width="0.5" style="1" customWidth="1"/>
    <col min="14613" max="14613" width="8.75" style="1" customWidth="1"/>
    <col min="14614" max="14614" width="0.5" style="1" customWidth="1"/>
    <col min="14615" max="14615" width="8.75" style="1" customWidth="1"/>
    <col min="14616" max="14616" width="0.5" style="1" customWidth="1"/>
    <col min="14617" max="14617" width="0.75" style="1" customWidth="1"/>
    <col min="14618" max="14847" width="9" style="1"/>
    <col min="14848" max="14848" width="0.75" style="1" customWidth="1"/>
    <col min="14849" max="14849" width="5.125" style="1" customWidth="1"/>
    <col min="14850" max="14850" width="7.875" style="1" customWidth="1"/>
    <col min="14851" max="14851" width="0.5" style="1" customWidth="1"/>
    <col min="14852" max="14852" width="6.875" style="1" customWidth="1"/>
    <col min="14853" max="14853" width="1.25" style="1" customWidth="1"/>
    <col min="14854" max="14854" width="8.125" style="1" customWidth="1"/>
    <col min="14855" max="14855" width="2.5" style="1" customWidth="1"/>
    <col min="14856" max="14856" width="8.125" style="1" customWidth="1"/>
    <col min="14857" max="14857" width="8.75" style="1" customWidth="1"/>
    <col min="14858" max="14858" width="0.5" style="1" customWidth="1"/>
    <col min="14859" max="14859" width="8.75" style="1" customWidth="1"/>
    <col min="14860" max="14860" width="0.5" style="1" customWidth="1"/>
    <col min="14861" max="14861" width="8.75" style="1" customWidth="1"/>
    <col min="14862" max="14862" width="0.5" style="1" customWidth="1"/>
    <col min="14863" max="14863" width="8.75" style="1" customWidth="1"/>
    <col min="14864" max="14864" width="0.5" style="1" customWidth="1"/>
    <col min="14865" max="14865" width="8.75" style="1" customWidth="1"/>
    <col min="14866" max="14866" width="0.5" style="1" customWidth="1"/>
    <col min="14867" max="14867" width="8.75" style="1" customWidth="1"/>
    <col min="14868" max="14868" width="0.5" style="1" customWidth="1"/>
    <col min="14869" max="14869" width="8.75" style="1" customWidth="1"/>
    <col min="14870" max="14870" width="0.5" style="1" customWidth="1"/>
    <col min="14871" max="14871" width="8.75" style="1" customWidth="1"/>
    <col min="14872" max="14872" width="0.5" style="1" customWidth="1"/>
    <col min="14873" max="14873" width="0.75" style="1" customWidth="1"/>
    <col min="14874" max="15103" width="9" style="1"/>
    <col min="15104" max="15104" width="0.75" style="1" customWidth="1"/>
    <col min="15105" max="15105" width="5.125" style="1" customWidth="1"/>
    <col min="15106" max="15106" width="7.875" style="1" customWidth="1"/>
    <col min="15107" max="15107" width="0.5" style="1" customWidth="1"/>
    <col min="15108" max="15108" width="6.875" style="1" customWidth="1"/>
    <col min="15109" max="15109" width="1.25" style="1" customWidth="1"/>
    <col min="15110" max="15110" width="8.125" style="1" customWidth="1"/>
    <col min="15111" max="15111" width="2.5" style="1" customWidth="1"/>
    <col min="15112" max="15112" width="8.125" style="1" customWidth="1"/>
    <col min="15113" max="15113" width="8.75" style="1" customWidth="1"/>
    <col min="15114" max="15114" width="0.5" style="1" customWidth="1"/>
    <col min="15115" max="15115" width="8.75" style="1" customWidth="1"/>
    <col min="15116" max="15116" width="0.5" style="1" customWidth="1"/>
    <col min="15117" max="15117" width="8.75" style="1" customWidth="1"/>
    <col min="15118" max="15118" width="0.5" style="1" customWidth="1"/>
    <col min="15119" max="15119" width="8.75" style="1" customWidth="1"/>
    <col min="15120" max="15120" width="0.5" style="1" customWidth="1"/>
    <col min="15121" max="15121" width="8.75" style="1" customWidth="1"/>
    <col min="15122" max="15122" width="0.5" style="1" customWidth="1"/>
    <col min="15123" max="15123" width="8.75" style="1" customWidth="1"/>
    <col min="15124" max="15124" width="0.5" style="1" customWidth="1"/>
    <col min="15125" max="15125" width="8.75" style="1" customWidth="1"/>
    <col min="15126" max="15126" width="0.5" style="1" customWidth="1"/>
    <col min="15127" max="15127" width="8.75" style="1" customWidth="1"/>
    <col min="15128" max="15128" width="0.5" style="1" customWidth="1"/>
    <col min="15129" max="15129" width="0.75" style="1" customWidth="1"/>
    <col min="15130" max="15359" width="9" style="1"/>
    <col min="15360" max="15360" width="0.75" style="1" customWidth="1"/>
    <col min="15361" max="15361" width="5.125" style="1" customWidth="1"/>
    <col min="15362" max="15362" width="7.875" style="1" customWidth="1"/>
    <col min="15363" max="15363" width="0.5" style="1" customWidth="1"/>
    <col min="15364" max="15364" width="6.875" style="1" customWidth="1"/>
    <col min="15365" max="15365" width="1.25" style="1" customWidth="1"/>
    <col min="15366" max="15366" width="8.125" style="1" customWidth="1"/>
    <col min="15367" max="15367" width="2.5" style="1" customWidth="1"/>
    <col min="15368" max="15368" width="8.125" style="1" customWidth="1"/>
    <col min="15369" max="15369" width="8.75" style="1" customWidth="1"/>
    <col min="15370" max="15370" width="0.5" style="1" customWidth="1"/>
    <col min="15371" max="15371" width="8.75" style="1" customWidth="1"/>
    <col min="15372" max="15372" width="0.5" style="1" customWidth="1"/>
    <col min="15373" max="15373" width="8.75" style="1" customWidth="1"/>
    <col min="15374" max="15374" width="0.5" style="1" customWidth="1"/>
    <col min="15375" max="15375" width="8.75" style="1" customWidth="1"/>
    <col min="15376" max="15376" width="0.5" style="1" customWidth="1"/>
    <col min="15377" max="15377" width="8.75" style="1" customWidth="1"/>
    <col min="15378" max="15378" width="0.5" style="1" customWidth="1"/>
    <col min="15379" max="15379" width="8.75" style="1" customWidth="1"/>
    <col min="15380" max="15380" width="0.5" style="1" customWidth="1"/>
    <col min="15381" max="15381" width="8.75" style="1" customWidth="1"/>
    <col min="15382" max="15382" width="0.5" style="1" customWidth="1"/>
    <col min="15383" max="15383" width="8.75" style="1" customWidth="1"/>
    <col min="15384" max="15384" width="0.5" style="1" customWidth="1"/>
    <col min="15385" max="15385" width="0.75" style="1" customWidth="1"/>
    <col min="15386" max="15615" width="9" style="1"/>
    <col min="15616" max="15616" width="0.75" style="1" customWidth="1"/>
    <col min="15617" max="15617" width="5.125" style="1" customWidth="1"/>
    <col min="15618" max="15618" width="7.875" style="1" customWidth="1"/>
    <col min="15619" max="15619" width="0.5" style="1" customWidth="1"/>
    <col min="15620" max="15620" width="6.875" style="1" customWidth="1"/>
    <col min="15621" max="15621" width="1.25" style="1" customWidth="1"/>
    <col min="15622" max="15622" width="8.125" style="1" customWidth="1"/>
    <col min="15623" max="15623" width="2.5" style="1" customWidth="1"/>
    <col min="15624" max="15624" width="8.125" style="1" customWidth="1"/>
    <col min="15625" max="15625" width="8.75" style="1" customWidth="1"/>
    <col min="15626" max="15626" width="0.5" style="1" customWidth="1"/>
    <col min="15627" max="15627" width="8.75" style="1" customWidth="1"/>
    <col min="15628" max="15628" width="0.5" style="1" customWidth="1"/>
    <col min="15629" max="15629" width="8.75" style="1" customWidth="1"/>
    <col min="15630" max="15630" width="0.5" style="1" customWidth="1"/>
    <col min="15631" max="15631" width="8.75" style="1" customWidth="1"/>
    <col min="15632" max="15632" width="0.5" style="1" customWidth="1"/>
    <col min="15633" max="15633" width="8.75" style="1" customWidth="1"/>
    <col min="15634" max="15634" width="0.5" style="1" customWidth="1"/>
    <col min="15635" max="15635" width="8.75" style="1" customWidth="1"/>
    <col min="15636" max="15636" width="0.5" style="1" customWidth="1"/>
    <col min="15637" max="15637" width="8.75" style="1" customWidth="1"/>
    <col min="15638" max="15638" width="0.5" style="1" customWidth="1"/>
    <col min="15639" max="15639" width="8.75" style="1" customWidth="1"/>
    <col min="15640" max="15640" width="0.5" style="1" customWidth="1"/>
    <col min="15641" max="15641" width="0.75" style="1" customWidth="1"/>
    <col min="15642" max="15871" width="9" style="1"/>
    <col min="15872" max="15872" width="0.75" style="1" customWidth="1"/>
    <col min="15873" max="15873" width="5.125" style="1" customWidth="1"/>
    <col min="15874" max="15874" width="7.875" style="1" customWidth="1"/>
    <col min="15875" max="15875" width="0.5" style="1" customWidth="1"/>
    <col min="15876" max="15876" width="6.875" style="1" customWidth="1"/>
    <col min="15877" max="15877" width="1.25" style="1" customWidth="1"/>
    <col min="15878" max="15878" width="8.125" style="1" customWidth="1"/>
    <col min="15879" max="15879" width="2.5" style="1" customWidth="1"/>
    <col min="15880" max="15880" width="8.125" style="1" customWidth="1"/>
    <col min="15881" max="15881" width="8.75" style="1" customWidth="1"/>
    <col min="15882" max="15882" width="0.5" style="1" customWidth="1"/>
    <col min="15883" max="15883" width="8.75" style="1" customWidth="1"/>
    <col min="15884" max="15884" width="0.5" style="1" customWidth="1"/>
    <col min="15885" max="15885" width="8.75" style="1" customWidth="1"/>
    <col min="15886" max="15886" width="0.5" style="1" customWidth="1"/>
    <col min="15887" max="15887" width="8.75" style="1" customWidth="1"/>
    <col min="15888" max="15888" width="0.5" style="1" customWidth="1"/>
    <col min="15889" max="15889" width="8.75" style="1" customWidth="1"/>
    <col min="15890" max="15890" width="0.5" style="1" customWidth="1"/>
    <col min="15891" max="15891" width="8.75" style="1" customWidth="1"/>
    <col min="15892" max="15892" width="0.5" style="1" customWidth="1"/>
    <col min="15893" max="15893" width="8.75" style="1" customWidth="1"/>
    <col min="15894" max="15894" width="0.5" style="1" customWidth="1"/>
    <col min="15895" max="15895" width="8.75" style="1" customWidth="1"/>
    <col min="15896" max="15896" width="0.5" style="1" customWidth="1"/>
    <col min="15897" max="15897" width="0.75" style="1" customWidth="1"/>
    <col min="15898" max="16127" width="9" style="1"/>
    <col min="16128" max="16128" width="0.75" style="1" customWidth="1"/>
    <col min="16129" max="16129" width="5.125" style="1" customWidth="1"/>
    <col min="16130" max="16130" width="7.875" style="1" customWidth="1"/>
    <col min="16131" max="16131" width="0.5" style="1" customWidth="1"/>
    <col min="16132" max="16132" width="6.875" style="1" customWidth="1"/>
    <col min="16133" max="16133" width="1.25" style="1" customWidth="1"/>
    <col min="16134" max="16134" width="8.125" style="1" customWidth="1"/>
    <col min="16135" max="16135" width="2.5" style="1" customWidth="1"/>
    <col min="16136" max="16136" width="8.125" style="1" customWidth="1"/>
    <col min="16137" max="16137" width="8.75" style="1" customWidth="1"/>
    <col min="16138" max="16138" width="0.5" style="1" customWidth="1"/>
    <col min="16139" max="16139" width="8.75" style="1" customWidth="1"/>
    <col min="16140" max="16140" width="0.5" style="1" customWidth="1"/>
    <col min="16141" max="16141" width="8.75" style="1" customWidth="1"/>
    <col min="16142" max="16142" width="0.5" style="1" customWidth="1"/>
    <col min="16143" max="16143" width="8.75" style="1" customWidth="1"/>
    <col min="16144" max="16144" width="0.5" style="1" customWidth="1"/>
    <col min="16145" max="16145" width="8.75" style="1" customWidth="1"/>
    <col min="16146" max="16146" width="0.5" style="1" customWidth="1"/>
    <col min="16147" max="16147" width="8.75" style="1" customWidth="1"/>
    <col min="16148" max="16148" width="0.5" style="1" customWidth="1"/>
    <col min="16149" max="16149" width="8.75" style="1" customWidth="1"/>
    <col min="16150" max="16150" width="0.5" style="1" customWidth="1"/>
    <col min="16151" max="16151" width="8.75" style="1" customWidth="1"/>
    <col min="16152" max="16152" width="0.5" style="1" customWidth="1"/>
    <col min="16153" max="16153" width="0.75" style="1" customWidth="1"/>
    <col min="16154" max="16384" width="9" style="1"/>
  </cols>
  <sheetData>
    <row r="1" spans="1:29" ht="16.5" customHeight="1">
      <c r="A1" s="38"/>
      <c r="B1" s="346" t="s">
        <v>131</v>
      </c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  <c r="U1" s="347"/>
      <c r="V1" s="347"/>
      <c r="W1" s="347"/>
      <c r="X1" s="347"/>
      <c r="Y1" s="347"/>
      <c r="Z1" s="39"/>
    </row>
    <row r="2" spans="1:29" ht="16.5" customHeight="1">
      <c r="A2" s="38"/>
      <c r="B2" s="347"/>
      <c r="C2" s="347"/>
      <c r="D2" s="347"/>
      <c r="E2" s="347"/>
      <c r="F2" s="347"/>
      <c r="G2" s="347"/>
      <c r="H2" s="347"/>
      <c r="I2" s="347"/>
      <c r="J2" s="347"/>
      <c r="K2" s="347"/>
      <c r="L2" s="347"/>
      <c r="M2" s="347"/>
      <c r="N2" s="347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9"/>
    </row>
    <row r="3" spans="1:29" ht="17.25" customHeight="1">
      <c r="A3" s="38"/>
      <c r="B3" s="389" t="s">
        <v>132</v>
      </c>
      <c r="C3" s="389"/>
      <c r="D3" s="389"/>
      <c r="E3" s="389"/>
      <c r="F3" s="389"/>
      <c r="G3" s="389"/>
      <c r="H3" s="389"/>
      <c r="I3" s="389"/>
      <c r="J3" s="389"/>
      <c r="K3" s="389"/>
      <c r="L3" s="389"/>
      <c r="M3" s="389"/>
      <c r="N3" s="389"/>
      <c r="O3" s="389"/>
      <c r="P3" s="389"/>
      <c r="Q3" s="389"/>
      <c r="R3" s="389"/>
      <c r="S3" s="389"/>
      <c r="T3" s="389"/>
      <c r="U3" s="389"/>
      <c r="V3" s="389"/>
      <c r="W3" s="389"/>
      <c r="X3" s="389"/>
      <c r="Y3" s="40"/>
      <c r="Z3" s="39"/>
    </row>
    <row r="4" spans="1:29" ht="24" customHeight="1">
      <c r="A4" s="41"/>
      <c r="B4" s="389"/>
      <c r="C4" s="389"/>
      <c r="D4" s="389"/>
      <c r="E4" s="389"/>
      <c r="F4" s="389"/>
      <c r="G4" s="389"/>
      <c r="H4" s="389"/>
      <c r="I4" s="389"/>
      <c r="J4" s="389"/>
      <c r="K4" s="389"/>
      <c r="L4" s="389"/>
      <c r="M4" s="389"/>
      <c r="N4" s="389"/>
      <c r="O4" s="389"/>
      <c r="P4" s="389"/>
      <c r="Q4" s="389"/>
      <c r="R4" s="389"/>
      <c r="S4" s="389"/>
      <c r="T4" s="389"/>
      <c r="U4" s="389"/>
      <c r="V4" s="389"/>
      <c r="W4" s="389"/>
      <c r="X4" s="389"/>
      <c r="Y4" s="42"/>
      <c r="Z4" s="39"/>
    </row>
    <row r="5" spans="1:29" ht="15.75" customHeight="1">
      <c r="A5" s="41"/>
      <c r="B5" s="151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51"/>
      <c r="X5" s="151"/>
      <c r="Y5" s="42"/>
      <c r="Z5" s="39"/>
    </row>
    <row r="6" spans="1:29" s="2" customFormat="1" ht="18.75" customHeight="1" thickBot="1">
      <c r="A6" s="38"/>
      <c r="B6" s="348" t="s">
        <v>92</v>
      </c>
      <c r="C6" s="349"/>
      <c r="D6" s="349"/>
      <c r="E6" s="349"/>
      <c r="F6" s="349"/>
      <c r="G6" s="349"/>
      <c r="H6" s="349"/>
      <c r="I6" s="349"/>
      <c r="J6" s="349"/>
      <c r="K6" s="349"/>
      <c r="L6" s="349"/>
      <c r="M6" s="349"/>
      <c r="N6" s="349"/>
      <c r="O6" s="349"/>
      <c r="P6" s="349"/>
      <c r="Q6" s="349"/>
      <c r="R6" s="43"/>
      <c r="S6" s="43"/>
      <c r="T6" s="43"/>
      <c r="U6" s="43"/>
      <c r="V6" s="43"/>
      <c r="W6" s="43"/>
      <c r="X6" s="44" t="s">
        <v>44</v>
      </c>
      <c r="Y6" s="43"/>
      <c r="Z6" s="39"/>
      <c r="AB6" s="37"/>
    </row>
    <row r="7" spans="1:29" s="2" customFormat="1" ht="13.5" customHeight="1" thickTop="1">
      <c r="A7" s="45"/>
      <c r="B7" s="350" t="s">
        <v>68</v>
      </c>
      <c r="C7" s="351"/>
      <c r="D7" s="351"/>
      <c r="E7" s="351"/>
      <c r="F7" s="352"/>
      <c r="G7" s="351" t="s">
        <v>69</v>
      </c>
      <c r="H7" s="351"/>
      <c r="I7" s="351"/>
      <c r="J7" s="358" t="s">
        <v>45</v>
      </c>
      <c r="K7" s="359"/>
      <c r="L7" s="359"/>
      <c r="M7" s="359"/>
      <c r="N7" s="359"/>
      <c r="O7" s="359"/>
      <c r="P7" s="359"/>
      <c r="Q7" s="360"/>
      <c r="R7" s="359" t="s">
        <v>46</v>
      </c>
      <c r="S7" s="361"/>
      <c r="T7" s="361"/>
      <c r="U7" s="361"/>
      <c r="V7" s="361"/>
      <c r="W7" s="361"/>
      <c r="X7" s="361"/>
      <c r="Y7" s="362"/>
      <c r="Z7" s="45"/>
      <c r="AB7" s="37"/>
    </row>
    <row r="8" spans="1:29" s="2" customFormat="1" ht="11.25" customHeight="1">
      <c r="A8" s="45"/>
      <c r="B8" s="353"/>
      <c r="C8" s="354"/>
      <c r="D8" s="354"/>
      <c r="E8" s="354"/>
      <c r="F8" s="355"/>
      <c r="G8" s="354"/>
      <c r="H8" s="354"/>
      <c r="I8" s="354"/>
      <c r="J8" s="363" t="s">
        <v>70</v>
      </c>
      <c r="K8" s="364"/>
      <c r="L8" s="364"/>
      <c r="M8" s="365"/>
      <c r="N8" s="372" t="s">
        <v>71</v>
      </c>
      <c r="O8" s="303"/>
      <c r="P8" s="303"/>
      <c r="Q8" s="304"/>
      <c r="R8" s="377" t="s">
        <v>72</v>
      </c>
      <c r="S8" s="303"/>
      <c r="T8" s="303"/>
      <c r="U8" s="378"/>
      <c r="V8" s="302" t="s">
        <v>47</v>
      </c>
      <c r="W8" s="303"/>
      <c r="X8" s="303"/>
      <c r="Y8" s="304"/>
      <c r="Z8" s="45"/>
      <c r="AB8" s="37"/>
    </row>
    <row r="9" spans="1:29" s="2" customFormat="1" ht="2.25" customHeight="1">
      <c r="A9" s="45"/>
      <c r="B9" s="353"/>
      <c r="C9" s="354"/>
      <c r="D9" s="354"/>
      <c r="E9" s="354"/>
      <c r="F9" s="355"/>
      <c r="G9" s="354"/>
      <c r="H9" s="354"/>
      <c r="I9" s="354"/>
      <c r="J9" s="366"/>
      <c r="K9" s="367"/>
      <c r="L9" s="367"/>
      <c r="M9" s="368"/>
      <c r="N9" s="373"/>
      <c r="O9" s="306"/>
      <c r="P9" s="306"/>
      <c r="Q9" s="307"/>
      <c r="R9" s="379"/>
      <c r="S9" s="306"/>
      <c r="T9" s="306"/>
      <c r="U9" s="380"/>
      <c r="V9" s="305"/>
      <c r="W9" s="306"/>
      <c r="X9" s="306"/>
      <c r="Y9" s="307"/>
      <c r="Z9" s="45"/>
      <c r="AB9" s="37"/>
    </row>
    <row r="10" spans="1:29" s="2" customFormat="1" ht="13.5" customHeight="1">
      <c r="A10" s="45"/>
      <c r="B10" s="353"/>
      <c r="C10" s="354"/>
      <c r="D10" s="354"/>
      <c r="E10" s="354"/>
      <c r="F10" s="356"/>
      <c r="G10" s="354"/>
      <c r="H10" s="354"/>
      <c r="I10" s="354"/>
      <c r="J10" s="369"/>
      <c r="K10" s="370"/>
      <c r="L10" s="370"/>
      <c r="M10" s="371"/>
      <c r="N10" s="374"/>
      <c r="O10" s="375"/>
      <c r="P10" s="375"/>
      <c r="Q10" s="376"/>
      <c r="R10" s="381"/>
      <c r="S10" s="309"/>
      <c r="T10" s="309"/>
      <c r="U10" s="382"/>
      <c r="V10" s="308"/>
      <c r="W10" s="309"/>
      <c r="X10" s="309"/>
      <c r="Y10" s="310"/>
      <c r="Z10" s="45"/>
      <c r="AB10" s="37"/>
    </row>
    <row r="11" spans="1:29" s="2" customFormat="1" ht="5.25" customHeight="1">
      <c r="A11" s="45"/>
      <c r="B11" s="353"/>
      <c r="C11" s="354"/>
      <c r="D11" s="354"/>
      <c r="E11" s="354"/>
      <c r="F11" s="356"/>
      <c r="G11" s="354"/>
      <c r="H11" s="354"/>
      <c r="I11" s="354"/>
      <c r="J11" s="311">
        <v>9.8699999999999996E-2</v>
      </c>
      <c r="K11" s="312"/>
      <c r="L11" s="312"/>
      <c r="M11" s="313"/>
      <c r="N11" s="383">
        <v>0.1166</v>
      </c>
      <c r="O11" s="384"/>
      <c r="P11" s="384"/>
      <c r="Q11" s="385"/>
      <c r="R11" s="317">
        <v>0.183</v>
      </c>
      <c r="S11" s="317"/>
      <c r="T11" s="317"/>
      <c r="U11" s="318"/>
      <c r="V11" s="317">
        <v>0.183</v>
      </c>
      <c r="W11" s="317"/>
      <c r="X11" s="317"/>
      <c r="Y11" s="318"/>
      <c r="Z11" s="45"/>
      <c r="AB11" s="37"/>
    </row>
    <row r="12" spans="1:29" s="2" customFormat="1" ht="8.25" customHeight="1">
      <c r="A12" s="45"/>
      <c r="B12" s="353"/>
      <c r="C12" s="354"/>
      <c r="D12" s="354"/>
      <c r="E12" s="354"/>
      <c r="F12" s="356"/>
      <c r="G12" s="354"/>
      <c r="H12" s="354"/>
      <c r="I12" s="354"/>
      <c r="J12" s="314"/>
      <c r="K12" s="315"/>
      <c r="L12" s="315"/>
      <c r="M12" s="316"/>
      <c r="N12" s="386"/>
      <c r="O12" s="387"/>
      <c r="P12" s="387"/>
      <c r="Q12" s="388"/>
      <c r="R12" s="317"/>
      <c r="S12" s="317"/>
      <c r="T12" s="317"/>
      <c r="U12" s="318"/>
      <c r="V12" s="317"/>
      <c r="W12" s="317"/>
      <c r="X12" s="317"/>
      <c r="Y12" s="318"/>
      <c r="Z12" s="45"/>
      <c r="AB12" s="37"/>
    </row>
    <row r="13" spans="1:29" s="2" customFormat="1" ht="8.25" customHeight="1">
      <c r="A13" s="45"/>
      <c r="B13" s="339" t="s">
        <v>33</v>
      </c>
      <c r="C13" s="390" t="s">
        <v>73</v>
      </c>
      <c r="D13" s="391"/>
      <c r="E13" s="324" t="s">
        <v>74</v>
      </c>
      <c r="F13" s="393"/>
      <c r="G13" s="354"/>
      <c r="H13" s="354"/>
      <c r="I13" s="354"/>
      <c r="J13" s="324" t="s">
        <v>75</v>
      </c>
      <c r="K13" s="325"/>
      <c r="L13" s="332" t="s">
        <v>34</v>
      </c>
      <c r="M13" s="333"/>
      <c r="N13" s="324" t="s">
        <v>75</v>
      </c>
      <c r="O13" s="325"/>
      <c r="P13" s="332" t="s">
        <v>34</v>
      </c>
      <c r="Q13" s="336"/>
      <c r="R13" s="328" t="s">
        <v>48</v>
      </c>
      <c r="S13" s="329"/>
      <c r="T13" s="328" t="s">
        <v>49</v>
      </c>
      <c r="U13" s="333"/>
      <c r="V13" s="328" t="s">
        <v>48</v>
      </c>
      <c r="W13" s="329"/>
      <c r="X13" s="328" t="s">
        <v>49</v>
      </c>
      <c r="Y13" s="336"/>
      <c r="Z13" s="45"/>
      <c r="AB13" s="37"/>
    </row>
    <row r="14" spans="1:29" s="2" customFormat="1" ht="15" customHeight="1">
      <c r="A14" s="45"/>
      <c r="B14" s="340"/>
      <c r="C14" s="392"/>
      <c r="D14" s="357"/>
      <c r="E14" s="394"/>
      <c r="F14" s="395"/>
      <c r="G14" s="357"/>
      <c r="H14" s="357"/>
      <c r="I14" s="357"/>
      <c r="J14" s="326"/>
      <c r="K14" s="327"/>
      <c r="L14" s="334"/>
      <c r="M14" s="335"/>
      <c r="N14" s="326"/>
      <c r="O14" s="327"/>
      <c r="P14" s="334"/>
      <c r="Q14" s="338"/>
      <c r="R14" s="330"/>
      <c r="S14" s="331"/>
      <c r="T14" s="337"/>
      <c r="U14" s="335"/>
      <c r="V14" s="330"/>
      <c r="W14" s="331"/>
      <c r="X14" s="337"/>
      <c r="Y14" s="338"/>
      <c r="Z14" s="45"/>
      <c r="AB14" s="37"/>
    </row>
    <row r="15" spans="1:29" s="2" customFormat="1" ht="12.75" customHeight="1">
      <c r="A15" s="45"/>
      <c r="B15" s="46"/>
      <c r="C15" s="47"/>
      <c r="D15" s="48"/>
      <c r="E15" s="47"/>
      <c r="F15" s="49"/>
      <c r="G15" s="50" t="s">
        <v>35</v>
      </c>
      <c r="H15" s="51"/>
      <c r="I15" s="50" t="s">
        <v>32</v>
      </c>
      <c r="J15" s="52"/>
      <c r="K15" s="53"/>
      <c r="L15" s="54"/>
      <c r="M15" s="55"/>
      <c r="N15" s="56"/>
      <c r="O15" s="57"/>
      <c r="P15" s="58"/>
      <c r="Q15" s="59"/>
      <c r="R15" s="53"/>
      <c r="S15" s="60"/>
      <c r="T15" s="53"/>
      <c r="U15" s="61"/>
      <c r="V15" s="53"/>
      <c r="W15" s="60"/>
      <c r="X15" s="53"/>
      <c r="Y15" s="62"/>
      <c r="Z15" s="45"/>
      <c r="AB15" s="37"/>
    </row>
    <row r="16" spans="1:29" s="2" customFormat="1" ht="12.75" customHeight="1">
      <c r="A16" s="45"/>
      <c r="B16" s="203">
        <v>1</v>
      </c>
      <c r="C16" s="204">
        <v>58000</v>
      </c>
      <c r="D16" s="64"/>
      <c r="E16" s="63">
        <v>1930</v>
      </c>
      <c r="F16" s="65"/>
      <c r="G16" s="213">
        <v>0</v>
      </c>
      <c r="H16" s="214" t="s">
        <v>124</v>
      </c>
      <c r="I16" s="215">
        <v>63000</v>
      </c>
      <c r="J16" s="229">
        <v>5724.5999999999995</v>
      </c>
      <c r="K16" s="68">
        <v>3386.4</v>
      </c>
      <c r="L16" s="229">
        <v>2862.2999999999997</v>
      </c>
      <c r="M16" s="65"/>
      <c r="N16" s="229">
        <v>6762.8</v>
      </c>
      <c r="O16" s="68"/>
      <c r="P16" s="229">
        <v>519.10000000000036</v>
      </c>
      <c r="Q16" s="69"/>
      <c r="R16" s="239">
        <v>16104</v>
      </c>
      <c r="S16" s="154"/>
      <c r="T16" s="244">
        <v>8052</v>
      </c>
      <c r="U16" s="155"/>
      <c r="V16" s="239">
        <v>16104</v>
      </c>
      <c r="W16" s="154"/>
      <c r="X16" s="244">
        <v>8052</v>
      </c>
      <c r="Y16" s="89"/>
      <c r="Z16" s="90"/>
      <c r="AB16" s="37">
        <f>P16-L16</f>
        <v>-2343.1999999999994</v>
      </c>
      <c r="AC16" s="36"/>
    </row>
    <row r="17" spans="1:29" s="2" customFormat="1" ht="12.75" customHeight="1">
      <c r="A17" s="35"/>
      <c r="B17" s="205">
        <v>2</v>
      </c>
      <c r="C17" s="206">
        <v>68000</v>
      </c>
      <c r="D17" s="71"/>
      <c r="E17" s="70">
        <v>2270</v>
      </c>
      <c r="F17" s="72"/>
      <c r="G17" s="216">
        <v>63000</v>
      </c>
      <c r="H17" s="217" t="s">
        <v>124</v>
      </c>
      <c r="I17" s="218">
        <v>73000</v>
      </c>
      <c r="J17" s="230">
        <v>6711.5999999999995</v>
      </c>
      <c r="K17" s="75">
        <v>3884.4</v>
      </c>
      <c r="L17" s="230">
        <v>3355.7999999999997</v>
      </c>
      <c r="M17" s="76"/>
      <c r="N17" s="230">
        <v>7928.7999999999993</v>
      </c>
      <c r="O17" s="75"/>
      <c r="P17" s="230">
        <v>608.59999999999991</v>
      </c>
      <c r="Q17" s="77"/>
      <c r="R17" s="239">
        <v>16104</v>
      </c>
      <c r="S17" s="154"/>
      <c r="T17" s="244">
        <v>8052</v>
      </c>
      <c r="U17" s="155"/>
      <c r="V17" s="239">
        <v>16104</v>
      </c>
      <c r="W17" s="154"/>
      <c r="X17" s="244">
        <v>8052</v>
      </c>
      <c r="Y17" s="89"/>
      <c r="Z17" s="90"/>
      <c r="AB17" s="37">
        <f>P17-L17</f>
        <v>-2747.2</v>
      </c>
      <c r="AC17" s="36"/>
    </row>
    <row r="18" spans="1:29" s="2" customFormat="1" ht="12.75" customHeight="1">
      <c r="A18" s="35"/>
      <c r="B18" s="203">
        <v>3</v>
      </c>
      <c r="C18" s="207">
        <v>78000</v>
      </c>
      <c r="D18" s="79"/>
      <c r="E18" s="78">
        <v>2600</v>
      </c>
      <c r="F18" s="80"/>
      <c r="G18" s="219">
        <v>73000</v>
      </c>
      <c r="H18" s="214" t="s">
        <v>124</v>
      </c>
      <c r="I18" s="220">
        <v>83000</v>
      </c>
      <c r="J18" s="231">
        <v>7698.5999999999995</v>
      </c>
      <c r="K18" s="83">
        <v>4382.3999999999996</v>
      </c>
      <c r="L18" s="231">
        <v>3849.2999999999997</v>
      </c>
      <c r="M18" s="84"/>
      <c r="N18" s="231">
        <v>9094.7999999999993</v>
      </c>
      <c r="O18" s="83"/>
      <c r="P18" s="231">
        <v>698.09999999999991</v>
      </c>
      <c r="Q18" s="85"/>
      <c r="R18" s="239">
        <v>16104</v>
      </c>
      <c r="S18" s="154"/>
      <c r="T18" s="244">
        <v>8052</v>
      </c>
      <c r="U18" s="155"/>
      <c r="V18" s="239">
        <v>16104</v>
      </c>
      <c r="W18" s="154"/>
      <c r="X18" s="244">
        <v>8052</v>
      </c>
      <c r="Y18" s="89"/>
      <c r="Z18" s="90"/>
      <c r="AB18" s="37">
        <f t="shared" ref="AB18:AB64" si="0">P18-L18</f>
        <v>-3151.2</v>
      </c>
      <c r="AC18" s="36"/>
    </row>
    <row r="19" spans="1:29" s="2" customFormat="1" ht="12.75" customHeight="1">
      <c r="A19" s="35"/>
      <c r="B19" s="205" t="s">
        <v>93</v>
      </c>
      <c r="C19" s="206">
        <v>88000</v>
      </c>
      <c r="D19" s="71"/>
      <c r="E19" s="70">
        <v>2930</v>
      </c>
      <c r="F19" s="72"/>
      <c r="G19" s="221">
        <v>83000</v>
      </c>
      <c r="H19" s="217" t="s">
        <v>124</v>
      </c>
      <c r="I19" s="218">
        <v>93000</v>
      </c>
      <c r="J19" s="230">
        <v>8685.6</v>
      </c>
      <c r="K19" s="75">
        <v>4880.3999999999996</v>
      </c>
      <c r="L19" s="230">
        <v>4342.8</v>
      </c>
      <c r="M19" s="76"/>
      <c r="N19" s="230">
        <v>10260.799999999999</v>
      </c>
      <c r="O19" s="75"/>
      <c r="P19" s="230">
        <v>787.59999999999945</v>
      </c>
      <c r="Q19" s="77"/>
      <c r="R19" s="239">
        <v>16104</v>
      </c>
      <c r="S19" s="154"/>
      <c r="T19" s="244">
        <v>8052</v>
      </c>
      <c r="U19" s="155"/>
      <c r="V19" s="239">
        <v>16104</v>
      </c>
      <c r="W19" s="154"/>
      <c r="X19" s="244">
        <v>8052</v>
      </c>
      <c r="Y19" s="89"/>
      <c r="Z19" s="90"/>
      <c r="AB19" s="37">
        <f t="shared" si="0"/>
        <v>-3555.2000000000007</v>
      </c>
      <c r="AC19" s="36"/>
    </row>
    <row r="20" spans="1:29" s="2" customFormat="1" ht="12.75" customHeight="1">
      <c r="A20" s="35"/>
      <c r="B20" s="203" t="s">
        <v>94</v>
      </c>
      <c r="C20" s="207">
        <v>98000</v>
      </c>
      <c r="D20" s="79"/>
      <c r="E20" s="78">
        <v>3270</v>
      </c>
      <c r="F20" s="82"/>
      <c r="G20" s="219">
        <v>93000</v>
      </c>
      <c r="H20" s="214" t="s">
        <v>124</v>
      </c>
      <c r="I20" s="220">
        <v>101000</v>
      </c>
      <c r="J20" s="231">
        <v>9672.6</v>
      </c>
      <c r="K20" s="86">
        <v>5179.2</v>
      </c>
      <c r="L20" s="231">
        <v>4836.3</v>
      </c>
      <c r="M20" s="87"/>
      <c r="N20" s="231">
        <v>11426.8</v>
      </c>
      <c r="O20" s="86"/>
      <c r="P20" s="231">
        <v>877.09999999999945</v>
      </c>
      <c r="Q20" s="88"/>
      <c r="R20" s="240">
        <v>17934</v>
      </c>
      <c r="S20" s="154"/>
      <c r="T20" s="245">
        <v>8967</v>
      </c>
      <c r="U20" s="155"/>
      <c r="V20" s="240">
        <v>17934</v>
      </c>
      <c r="W20" s="154"/>
      <c r="X20" s="245">
        <v>8967</v>
      </c>
      <c r="Y20" s="89"/>
      <c r="Z20" s="90"/>
      <c r="AA20" s="3"/>
      <c r="AB20" s="37">
        <f t="shared" si="0"/>
        <v>-3959.2000000000007</v>
      </c>
      <c r="AC20" s="36"/>
    </row>
    <row r="21" spans="1:29" s="2" customFormat="1" ht="12.75" customHeight="1">
      <c r="A21" s="35"/>
      <c r="B21" s="205" t="s">
        <v>95</v>
      </c>
      <c r="C21" s="206">
        <v>104000</v>
      </c>
      <c r="D21" s="71"/>
      <c r="E21" s="70">
        <v>3470</v>
      </c>
      <c r="F21" s="74"/>
      <c r="G21" s="221">
        <v>101000</v>
      </c>
      <c r="H21" s="217" t="s">
        <v>124</v>
      </c>
      <c r="I21" s="218">
        <v>107000</v>
      </c>
      <c r="J21" s="230">
        <v>10264.799999999999</v>
      </c>
      <c r="K21" s="91">
        <v>5478</v>
      </c>
      <c r="L21" s="230">
        <v>5132.3999999999996</v>
      </c>
      <c r="M21" s="92"/>
      <c r="N21" s="230">
        <v>12126.4</v>
      </c>
      <c r="O21" s="91"/>
      <c r="P21" s="230">
        <v>930.80000000000018</v>
      </c>
      <c r="Q21" s="93"/>
      <c r="R21" s="241">
        <v>19032</v>
      </c>
      <c r="S21" s="94"/>
      <c r="T21" s="246">
        <v>9516</v>
      </c>
      <c r="U21" s="95"/>
      <c r="V21" s="241">
        <v>19032</v>
      </c>
      <c r="W21" s="94"/>
      <c r="X21" s="246">
        <v>9516</v>
      </c>
      <c r="Y21" s="93"/>
      <c r="Z21" s="51"/>
      <c r="AA21" s="3"/>
      <c r="AB21" s="37">
        <f t="shared" si="0"/>
        <v>-4201.5999999999995</v>
      </c>
      <c r="AC21" s="36"/>
    </row>
    <row r="22" spans="1:29" s="2" customFormat="1" ht="12.75" customHeight="1">
      <c r="A22" s="35"/>
      <c r="B22" s="203" t="s">
        <v>96</v>
      </c>
      <c r="C22" s="207">
        <v>110000</v>
      </c>
      <c r="D22" s="79"/>
      <c r="E22" s="78">
        <v>3670</v>
      </c>
      <c r="F22" s="82"/>
      <c r="G22" s="219">
        <v>107000</v>
      </c>
      <c r="H22" s="214" t="s">
        <v>124</v>
      </c>
      <c r="I22" s="220">
        <v>114000</v>
      </c>
      <c r="J22" s="231">
        <v>10857</v>
      </c>
      <c r="K22" s="86">
        <v>5876.4</v>
      </c>
      <c r="L22" s="231">
        <v>5428.5</v>
      </c>
      <c r="M22" s="87"/>
      <c r="N22" s="231">
        <v>12826</v>
      </c>
      <c r="O22" s="86"/>
      <c r="P22" s="231">
        <v>984.5</v>
      </c>
      <c r="Q22" s="88"/>
      <c r="R22" s="242">
        <v>20130</v>
      </c>
      <c r="S22" s="96"/>
      <c r="T22" s="247">
        <v>10065</v>
      </c>
      <c r="U22" s="97"/>
      <c r="V22" s="242">
        <v>20130</v>
      </c>
      <c r="W22" s="96"/>
      <c r="X22" s="247">
        <v>10065</v>
      </c>
      <c r="Y22" s="88"/>
      <c r="Z22" s="51"/>
      <c r="AA22" s="3"/>
      <c r="AB22" s="37">
        <f t="shared" si="0"/>
        <v>-4444</v>
      </c>
      <c r="AC22" s="36"/>
    </row>
    <row r="23" spans="1:29" s="2" customFormat="1" ht="12.75" customHeight="1">
      <c r="A23" s="35"/>
      <c r="B23" s="205" t="s">
        <v>97</v>
      </c>
      <c r="C23" s="206">
        <v>118000</v>
      </c>
      <c r="D23" s="71"/>
      <c r="E23" s="70">
        <v>3930</v>
      </c>
      <c r="F23" s="74"/>
      <c r="G23" s="221">
        <v>114000</v>
      </c>
      <c r="H23" s="217" t="s">
        <v>124</v>
      </c>
      <c r="I23" s="218">
        <v>122000</v>
      </c>
      <c r="J23" s="230">
        <v>11646.6</v>
      </c>
      <c r="K23" s="91">
        <v>6274.8</v>
      </c>
      <c r="L23" s="230">
        <v>5823.3</v>
      </c>
      <c r="M23" s="92"/>
      <c r="N23" s="230">
        <v>13758.8</v>
      </c>
      <c r="O23" s="91"/>
      <c r="P23" s="230">
        <v>1056.0999999999995</v>
      </c>
      <c r="Q23" s="93"/>
      <c r="R23" s="241">
        <v>21594</v>
      </c>
      <c r="S23" s="94"/>
      <c r="T23" s="246">
        <v>10797</v>
      </c>
      <c r="U23" s="95"/>
      <c r="V23" s="241">
        <v>21594</v>
      </c>
      <c r="W23" s="94"/>
      <c r="X23" s="246">
        <v>10797</v>
      </c>
      <c r="Y23" s="93"/>
      <c r="Z23" s="51"/>
      <c r="AA23" s="3"/>
      <c r="AB23" s="37">
        <f t="shared" si="0"/>
        <v>-4767.2000000000007</v>
      </c>
      <c r="AC23" s="36"/>
    </row>
    <row r="24" spans="1:29" s="2" customFormat="1" ht="12.75" customHeight="1">
      <c r="A24" s="35"/>
      <c r="B24" s="203" t="s">
        <v>98</v>
      </c>
      <c r="C24" s="207">
        <v>126000</v>
      </c>
      <c r="D24" s="79"/>
      <c r="E24" s="78">
        <v>4200</v>
      </c>
      <c r="F24" s="82"/>
      <c r="G24" s="219">
        <v>122000</v>
      </c>
      <c r="H24" s="214" t="s">
        <v>124</v>
      </c>
      <c r="I24" s="220">
        <v>130000</v>
      </c>
      <c r="J24" s="231">
        <v>12436.199999999999</v>
      </c>
      <c r="K24" s="86">
        <v>6673.2</v>
      </c>
      <c r="L24" s="231">
        <v>6218.0999999999995</v>
      </c>
      <c r="M24" s="87"/>
      <c r="N24" s="231">
        <v>14691.599999999999</v>
      </c>
      <c r="O24" s="86"/>
      <c r="P24" s="231">
        <v>1127.6999999999998</v>
      </c>
      <c r="Q24" s="88"/>
      <c r="R24" s="242">
        <v>23058</v>
      </c>
      <c r="S24" s="96"/>
      <c r="T24" s="247">
        <v>11529</v>
      </c>
      <c r="U24" s="97"/>
      <c r="V24" s="242">
        <v>23058</v>
      </c>
      <c r="W24" s="96"/>
      <c r="X24" s="247">
        <v>11529</v>
      </c>
      <c r="Y24" s="88"/>
      <c r="Z24" s="51"/>
      <c r="AA24" s="3"/>
      <c r="AB24" s="37">
        <f t="shared" si="0"/>
        <v>-5090.3999999999996</v>
      </c>
      <c r="AC24" s="36"/>
    </row>
    <row r="25" spans="1:29" s="2" customFormat="1" ht="12.75" customHeight="1">
      <c r="A25" s="35"/>
      <c r="B25" s="205" t="s">
        <v>99</v>
      </c>
      <c r="C25" s="206">
        <v>134000</v>
      </c>
      <c r="D25" s="99"/>
      <c r="E25" s="98">
        <v>4470</v>
      </c>
      <c r="F25" s="100"/>
      <c r="G25" s="221">
        <v>130000</v>
      </c>
      <c r="H25" s="217" t="s">
        <v>124</v>
      </c>
      <c r="I25" s="218">
        <v>138000</v>
      </c>
      <c r="J25" s="230">
        <v>13225.8</v>
      </c>
      <c r="K25" s="101">
        <v>7071.6</v>
      </c>
      <c r="L25" s="230">
        <v>6612.9</v>
      </c>
      <c r="M25" s="102"/>
      <c r="N25" s="230">
        <v>15624.4</v>
      </c>
      <c r="O25" s="101"/>
      <c r="P25" s="230">
        <v>1199.3000000000002</v>
      </c>
      <c r="Q25" s="103"/>
      <c r="R25" s="241">
        <v>24522</v>
      </c>
      <c r="S25" s="94"/>
      <c r="T25" s="246">
        <v>12261</v>
      </c>
      <c r="U25" s="95"/>
      <c r="V25" s="241">
        <v>24522</v>
      </c>
      <c r="W25" s="94"/>
      <c r="X25" s="246">
        <v>12261</v>
      </c>
      <c r="Y25" s="93"/>
      <c r="Z25" s="51"/>
      <c r="AA25" s="3"/>
      <c r="AB25" s="37">
        <f t="shared" si="0"/>
        <v>-5413.5999999999995</v>
      </c>
      <c r="AC25" s="36"/>
    </row>
    <row r="26" spans="1:29" s="2" customFormat="1" ht="12.75" customHeight="1">
      <c r="A26" s="35"/>
      <c r="B26" s="203" t="s">
        <v>100</v>
      </c>
      <c r="C26" s="207">
        <v>142000</v>
      </c>
      <c r="D26" s="105"/>
      <c r="E26" s="104">
        <v>4730</v>
      </c>
      <c r="F26" s="106"/>
      <c r="G26" s="219">
        <v>138000</v>
      </c>
      <c r="H26" s="214" t="s">
        <v>124</v>
      </c>
      <c r="I26" s="220">
        <v>146000</v>
      </c>
      <c r="J26" s="231">
        <v>14015.4</v>
      </c>
      <c r="K26" s="107">
        <v>7470</v>
      </c>
      <c r="L26" s="231">
        <v>7007.7</v>
      </c>
      <c r="M26" s="108"/>
      <c r="N26" s="231">
        <v>16557.2</v>
      </c>
      <c r="O26" s="107"/>
      <c r="P26" s="231">
        <v>1270.9000000000005</v>
      </c>
      <c r="Q26" s="109"/>
      <c r="R26" s="242">
        <v>25986</v>
      </c>
      <c r="S26" s="96"/>
      <c r="T26" s="247">
        <v>12993</v>
      </c>
      <c r="U26" s="97"/>
      <c r="V26" s="242">
        <v>25986</v>
      </c>
      <c r="W26" s="96"/>
      <c r="X26" s="247">
        <v>12993</v>
      </c>
      <c r="Y26" s="88"/>
      <c r="Z26" s="51"/>
      <c r="AA26" s="3"/>
      <c r="AB26" s="37">
        <f t="shared" si="0"/>
        <v>-5736.7999999999993</v>
      </c>
      <c r="AC26" s="36"/>
    </row>
    <row r="27" spans="1:29" s="2" customFormat="1" ht="12.75" customHeight="1">
      <c r="A27" s="35"/>
      <c r="B27" s="205" t="s">
        <v>101</v>
      </c>
      <c r="C27" s="206">
        <v>150000</v>
      </c>
      <c r="D27" s="110"/>
      <c r="E27" s="98">
        <v>5000</v>
      </c>
      <c r="F27" s="111"/>
      <c r="G27" s="221">
        <v>146000</v>
      </c>
      <c r="H27" s="217" t="s">
        <v>124</v>
      </c>
      <c r="I27" s="218">
        <v>155000</v>
      </c>
      <c r="J27" s="230">
        <v>14805</v>
      </c>
      <c r="K27" s="101">
        <v>7968</v>
      </c>
      <c r="L27" s="230">
        <v>7402.5</v>
      </c>
      <c r="M27" s="102"/>
      <c r="N27" s="230">
        <v>17490</v>
      </c>
      <c r="O27" s="101"/>
      <c r="P27" s="230">
        <v>1342.5</v>
      </c>
      <c r="Q27" s="103"/>
      <c r="R27" s="241">
        <v>27450</v>
      </c>
      <c r="S27" s="94"/>
      <c r="T27" s="246">
        <v>13725</v>
      </c>
      <c r="U27" s="95"/>
      <c r="V27" s="241">
        <v>27450</v>
      </c>
      <c r="W27" s="94"/>
      <c r="X27" s="246">
        <v>13725</v>
      </c>
      <c r="Y27" s="93"/>
      <c r="Z27" s="51"/>
      <c r="AA27" s="3"/>
      <c r="AB27" s="37">
        <f t="shared" si="0"/>
        <v>-6060</v>
      </c>
      <c r="AC27" s="36"/>
    </row>
    <row r="28" spans="1:29" s="2" customFormat="1" ht="12.75" customHeight="1">
      <c r="A28" s="35"/>
      <c r="B28" s="203" t="s">
        <v>102</v>
      </c>
      <c r="C28" s="207">
        <v>160000</v>
      </c>
      <c r="D28" s="105"/>
      <c r="E28" s="104">
        <v>5330</v>
      </c>
      <c r="F28" s="106"/>
      <c r="G28" s="219">
        <v>155000</v>
      </c>
      <c r="H28" s="214" t="s">
        <v>124</v>
      </c>
      <c r="I28" s="220">
        <v>165000</v>
      </c>
      <c r="J28" s="231">
        <v>15792</v>
      </c>
      <c r="K28" s="107">
        <v>8466</v>
      </c>
      <c r="L28" s="231">
        <v>7896</v>
      </c>
      <c r="M28" s="108"/>
      <c r="N28" s="231">
        <v>18656</v>
      </c>
      <c r="O28" s="107"/>
      <c r="P28" s="231">
        <v>1432</v>
      </c>
      <c r="Q28" s="109"/>
      <c r="R28" s="242">
        <v>29280</v>
      </c>
      <c r="S28" s="96"/>
      <c r="T28" s="247">
        <v>14640</v>
      </c>
      <c r="U28" s="97"/>
      <c r="V28" s="242">
        <v>29280</v>
      </c>
      <c r="W28" s="96"/>
      <c r="X28" s="247">
        <v>14640</v>
      </c>
      <c r="Y28" s="88"/>
      <c r="Z28" s="51"/>
      <c r="AA28" s="3"/>
      <c r="AB28" s="37">
        <f t="shared" si="0"/>
        <v>-6464</v>
      </c>
      <c r="AC28" s="36"/>
    </row>
    <row r="29" spans="1:29" s="2" customFormat="1" ht="12.75" customHeight="1">
      <c r="A29" s="35"/>
      <c r="B29" s="205" t="s">
        <v>103</v>
      </c>
      <c r="C29" s="206">
        <v>170000</v>
      </c>
      <c r="D29" s="110"/>
      <c r="E29" s="98">
        <v>5670</v>
      </c>
      <c r="F29" s="111"/>
      <c r="G29" s="221">
        <v>165000</v>
      </c>
      <c r="H29" s="217" t="s">
        <v>124</v>
      </c>
      <c r="I29" s="218">
        <v>175000</v>
      </c>
      <c r="J29" s="230">
        <v>16779</v>
      </c>
      <c r="K29" s="101">
        <v>8964</v>
      </c>
      <c r="L29" s="230">
        <v>8389.5</v>
      </c>
      <c r="M29" s="102"/>
      <c r="N29" s="230">
        <v>19822</v>
      </c>
      <c r="O29" s="101"/>
      <c r="P29" s="230">
        <v>1521.5</v>
      </c>
      <c r="Q29" s="103"/>
      <c r="R29" s="241">
        <v>31110</v>
      </c>
      <c r="S29" s="94"/>
      <c r="T29" s="246">
        <v>15555</v>
      </c>
      <c r="U29" s="95"/>
      <c r="V29" s="241">
        <v>31110</v>
      </c>
      <c r="W29" s="94"/>
      <c r="X29" s="246">
        <v>15555</v>
      </c>
      <c r="Y29" s="93"/>
      <c r="Z29" s="51"/>
      <c r="AA29" s="3"/>
      <c r="AB29" s="37">
        <f t="shared" si="0"/>
        <v>-6868</v>
      </c>
      <c r="AC29" s="36"/>
    </row>
    <row r="30" spans="1:29" s="2" customFormat="1" ht="12.75" customHeight="1">
      <c r="A30" s="35"/>
      <c r="B30" s="203" t="s">
        <v>104</v>
      </c>
      <c r="C30" s="207">
        <v>180000</v>
      </c>
      <c r="D30" s="105"/>
      <c r="E30" s="104">
        <v>6000</v>
      </c>
      <c r="F30" s="106"/>
      <c r="G30" s="219">
        <v>175000</v>
      </c>
      <c r="H30" s="214" t="s">
        <v>124</v>
      </c>
      <c r="I30" s="220">
        <v>185000</v>
      </c>
      <c r="J30" s="231">
        <v>17766</v>
      </c>
      <c r="K30" s="107">
        <v>9462</v>
      </c>
      <c r="L30" s="231">
        <v>8883</v>
      </c>
      <c r="M30" s="108"/>
      <c r="N30" s="231">
        <v>20988</v>
      </c>
      <c r="O30" s="107"/>
      <c r="P30" s="231">
        <v>1611</v>
      </c>
      <c r="Q30" s="109"/>
      <c r="R30" s="242">
        <v>32940</v>
      </c>
      <c r="S30" s="96"/>
      <c r="T30" s="247">
        <v>16470</v>
      </c>
      <c r="U30" s="97"/>
      <c r="V30" s="242">
        <v>32940</v>
      </c>
      <c r="W30" s="96"/>
      <c r="X30" s="247">
        <v>16470</v>
      </c>
      <c r="Y30" s="88"/>
      <c r="Z30" s="51"/>
      <c r="AA30" s="3"/>
      <c r="AB30" s="37">
        <f t="shared" si="0"/>
        <v>-7272</v>
      </c>
      <c r="AC30" s="36"/>
    </row>
    <row r="31" spans="1:29" s="2" customFormat="1" ht="12.75" customHeight="1">
      <c r="A31" s="35"/>
      <c r="B31" s="205" t="s">
        <v>105</v>
      </c>
      <c r="C31" s="206">
        <v>190000</v>
      </c>
      <c r="D31" s="110"/>
      <c r="E31" s="98">
        <v>6330</v>
      </c>
      <c r="F31" s="111"/>
      <c r="G31" s="221">
        <v>185000</v>
      </c>
      <c r="H31" s="217" t="s">
        <v>124</v>
      </c>
      <c r="I31" s="218">
        <v>195000</v>
      </c>
      <c r="J31" s="230">
        <v>18753</v>
      </c>
      <c r="K31" s="101">
        <v>9960</v>
      </c>
      <c r="L31" s="230">
        <v>9376.5</v>
      </c>
      <c r="M31" s="102"/>
      <c r="N31" s="230">
        <v>22154</v>
      </c>
      <c r="O31" s="101"/>
      <c r="P31" s="230">
        <v>1700.5</v>
      </c>
      <c r="Q31" s="103"/>
      <c r="R31" s="241">
        <v>34770</v>
      </c>
      <c r="S31" s="94"/>
      <c r="T31" s="246">
        <v>17385</v>
      </c>
      <c r="U31" s="95"/>
      <c r="V31" s="241">
        <v>34770</v>
      </c>
      <c r="W31" s="94"/>
      <c r="X31" s="246">
        <v>17385</v>
      </c>
      <c r="Y31" s="93"/>
      <c r="Z31" s="51"/>
      <c r="AA31" s="3"/>
      <c r="AB31" s="37">
        <f t="shared" si="0"/>
        <v>-7676</v>
      </c>
      <c r="AC31" s="36"/>
    </row>
    <row r="32" spans="1:29" s="2" customFormat="1" ht="12.75" customHeight="1">
      <c r="A32" s="35"/>
      <c r="B32" s="203" t="s">
        <v>106</v>
      </c>
      <c r="C32" s="207">
        <v>200000</v>
      </c>
      <c r="D32" s="105"/>
      <c r="E32" s="104">
        <v>6670</v>
      </c>
      <c r="F32" s="106"/>
      <c r="G32" s="219">
        <v>195000</v>
      </c>
      <c r="H32" s="214" t="s">
        <v>124</v>
      </c>
      <c r="I32" s="220">
        <v>210000</v>
      </c>
      <c r="J32" s="231">
        <v>19740</v>
      </c>
      <c r="K32" s="112">
        <v>10956</v>
      </c>
      <c r="L32" s="231">
        <v>9870</v>
      </c>
      <c r="M32" s="108"/>
      <c r="N32" s="231">
        <v>23320</v>
      </c>
      <c r="O32" s="107"/>
      <c r="P32" s="231">
        <v>1790</v>
      </c>
      <c r="Q32" s="109"/>
      <c r="R32" s="242">
        <v>36600</v>
      </c>
      <c r="S32" s="96"/>
      <c r="T32" s="247">
        <v>18300</v>
      </c>
      <c r="U32" s="97"/>
      <c r="V32" s="242">
        <v>36600</v>
      </c>
      <c r="W32" s="96"/>
      <c r="X32" s="247">
        <v>18300</v>
      </c>
      <c r="Y32" s="88"/>
      <c r="Z32" s="51"/>
      <c r="AA32" s="3"/>
      <c r="AB32" s="37">
        <f t="shared" si="0"/>
        <v>-8080</v>
      </c>
      <c r="AC32" s="36"/>
    </row>
    <row r="33" spans="1:29" s="2" customFormat="1" ht="12.75" customHeight="1">
      <c r="A33" s="35"/>
      <c r="B33" s="205" t="s">
        <v>107</v>
      </c>
      <c r="C33" s="206">
        <v>220000</v>
      </c>
      <c r="D33" s="110"/>
      <c r="E33" s="98">
        <v>7330</v>
      </c>
      <c r="F33" s="111"/>
      <c r="G33" s="221">
        <v>210000</v>
      </c>
      <c r="H33" s="217" t="s">
        <v>124</v>
      </c>
      <c r="I33" s="218">
        <v>230000</v>
      </c>
      <c r="J33" s="230">
        <v>21714</v>
      </c>
      <c r="K33" s="113">
        <v>11952</v>
      </c>
      <c r="L33" s="230">
        <v>10857</v>
      </c>
      <c r="M33" s="102"/>
      <c r="N33" s="230">
        <v>25652</v>
      </c>
      <c r="O33" s="101"/>
      <c r="P33" s="230">
        <v>1969</v>
      </c>
      <c r="Q33" s="103"/>
      <c r="R33" s="241">
        <v>40260</v>
      </c>
      <c r="S33" s="94"/>
      <c r="T33" s="246">
        <v>20130</v>
      </c>
      <c r="U33" s="95"/>
      <c r="V33" s="241">
        <v>40260</v>
      </c>
      <c r="W33" s="94"/>
      <c r="X33" s="246">
        <v>20130</v>
      </c>
      <c r="Y33" s="93"/>
      <c r="Z33" s="51"/>
      <c r="AA33" s="3"/>
      <c r="AB33" s="37">
        <f t="shared" si="0"/>
        <v>-8888</v>
      </c>
      <c r="AC33" s="36"/>
    </row>
    <row r="34" spans="1:29" s="2" customFormat="1" ht="12.75" customHeight="1">
      <c r="A34" s="35"/>
      <c r="B34" s="203" t="s">
        <v>108</v>
      </c>
      <c r="C34" s="207">
        <v>240000</v>
      </c>
      <c r="D34" s="105"/>
      <c r="E34" s="104">
        <v>8000</v>
      </c>
      <c r="F34" s="106"/>
      <c r="G34" s="219">
        <v>230000</v>
      </c>
      <c r="H34" s="214" t="s">
        <v>124</v>
      </c>
      <c r="I34" s="220">
        <v>250000</v>
      </c>
      <c r="J34" s="231">
        <v>23688</v>
      </c>
      <c r="K34" s="112">
        <v>12948</v>
      </c>
      <c r="L34" s="231">
        <v>11844</v>
      </c>
      <c r="M34" s="108"/>
      <c r="N34" s="231">
        <v>27984</v>
      </c>
      <c r="O34" s="107"/>
      <c r="P34" s="231">
        <v>2148</v>
      </c>
      <c r="Q34" s="109"/>
      <c r="R34" s="242">
        <v>43920</v>
      </c>
      <c r="S34" s="96"/>
      <c r="T34" s="247">
        <v>21960</v>
      </c>
      <c r="U34" s="97"/>
      <c r="V34" s="242">
        <v>43920</v>
      </c>
      <c r="W34" s="96"/>
      <c r="X34" s="247">
        <v>21960</v>
      </c>
      <c r="Y34" s="88"/>
      <c r="Z34" s="51"/>
      <c r="AA34" s="3"/>
      <c r="AB34" s="37">
        <f t="shared" si="0"/>
        <v>-9696</v>
      </c>
      <c r="AC34" s="36"/>
    </row>
    <row r="35" spans="1:29" s="2" customFormat="1" ht="12.75" customHeight="1">
      <c r="A35" s="35"/>
      <c r="B35" s="205" t="s">
        <v>109</v>
      </c>
      <c r="C35" s="206">
        <v>260000</v>
      </c>
      <c r="D35" s="110"/>
      <c r="E35" s="98">
        <v>8670</v>
      </c>
      <c r="F35" s="111"/>
      <c r="G35" s="221">
        <v>250000</v>
      </c>
      <c r="H35" s="217" t="s">
        <v>124</v>
      </c>
      <c r="I35" s="218">
        <v>270000</v>
      </c>
      <c r="J35" s="230">
        <v>25662</v>
      </c>
      <c r="K35" s="113">
        <v>13944</v>
      </c>
      <c r="L35" s="230">
        <v>12831</v>
      </c>
      <c r="M35" s="102"/>
      <c r="N35" s="230">
        <v>30316</v>
      </c>
      <c r="O35" s="101"/>
      <c r="P35" s="230">
        <v>2327</v>
      </c>
      <c r="Q35" s="103"/>
      <c r="R35" s="241">
        <v>47580</v>
      </c>
      <c r="S35" s="94"/>
      <c r="T35" s="246">
        <v>23790</v>
      </c>
      <c r="U35" s="95"/>
      <c r="V35" s="241">
        <v>47580</v>
      </c>
      <c r="W35" s="94"/>
      <c r="X35" s="246">
        <v>23790</v>
      </c>
      <c r="Y35" s="93"/>
      <c r="Z35" s="51"/>
      <c r="AA35" s="3"/>
      <c r="AB35" s="37">
        <f t="shared" si="0"/>
        <v>-10504</v>
      </c>
      <c r="AC35" s="36"/>
    </row>
    <row r="36" spans="1:29" s="2" customFormat="1" ht="12.75" customHeight="1">
      <c r="A36" s="35"/>
      <c r="B36" s="203" t="s">
        <v>110</v>
      </c>
      <c r="C36" s="207">
        <v>280000</v>
      </c>
      <c r="D36" s="114"/>
      <c r="E36" s="104">
        <v>9330</v>
      </c>
      <c r="F36" s="115"/>
      <c r="G36" s="219">
        <v>270000</v>
      </c>
      <c r="H36" s="214" t="s">
        <v>124</v>
      </c>
      <c r="I36" s="220">
        <v>290000</v>
      </c>
      <c r="J36" s="231">
        <v>27636</v>
      </c>
      <c r="K36" s="112">
        <v>14940</v>
      </c>
      <c r="L36" s="231">
        <v>13818</v>
      </c>
      <c r="M36" s="108"/>
      <c r="N36" s="231">
        <v>32648</v>
      </c>
      <c r="O36" s="107"/>
      <c r="P36" s="231">
        <v>2506</v>
      </c>
      <c r="Q36" s="109"/>
      <c r="R36" s="242">
        <v>51240</v>
      </c>
      <c r="S36" s="96"/>
      <c r="T36" s="247">
        <v>25620</v>
      </c>
      <c r="U36" s="97"/>
      <c r="V36" s="242">
        <v>51240</v>
      </c>
      <c r="W36" s="96"/>
      <c r="X36" s="247">
        <v>25620</v>
      </c>
      <c r="Y36" s="88"/>
      <c r="Z36" s="51"/>
      <c r="AA36" s="3"/>
      <c r="AB36" s="37">
        <f t="shared" si="0"/>
        <v>-11312</v>
      </c>
      <c r="AC36" s="36"/>
    </row>
    <row r="37" spans="1:29" s="2" customFormat="1" ht="12.75" customHeight="1">
      <c r="A37" s="35"/>
      <c r="B37" s="205" t="s">
        <v>111</v>
      </c>
      <c r="C37" s="206">
        <v>300000</v>
      </c>
      <c r="D37" s="110"/>
      <c r="E37" s="98">
        <v>10000</v>
      </c>
      <c r="F37" s="111"/>
      <c r="G37" s="221">
        <v>290000</v>
      </c>
      <c r="H37" s="217" t="s">
        <v>124</v>
      </c>
      <c r="I37" s="218">
        <v>310000</v>
      </c>
      <c r="J37" s="230">
        <v>29610</v>
      </c>
      <c r="K37" s="113">
        <v>15936</v>
      </c>
      <c r="L37" s="230">
        <v>14805</v>
      </c>
      <c r="M37" s="102"/>
      <c r="N37" s="230">
        <v>34980</v>
      </c>
      <c r="O37" s="101"/>
      <c r="P37" s="230">
        <v>2685</v>
      </c>
      <c r="Q37" s="103"/>
      <c r="R37" s="241">
        <v>54900</v>
      </c>
      <c r="S37" s="94"/>
      <c r="T37" s="246">
        <v>27450</v>
      </c>
      <c r="U37" s="95"/>
      <c r="V37" s="241">
        <v>54900</v>
      </c>
      <c r="W37" s="94"/>
      <c r="X37" s="246">
        <v>27450</v>
      </c>
      <c r="Y37" s="93"/>
      <c r="Z37" s="51"/>
      <c r="AA37" s="3"/>
      <c r="AB37" s="37">
        <f t="shared" si="0"/>
        <v>-12120</v>
      </c>
      <c r="AC37" s="36"/>
    </row>
    <row r="38" spans="1:29" s="2" customFormat="1" ht="12.75" customHeight="1">
      <c r="A38" s="35"/>
      <c r="B38" s="203" t="s">
        <v>112</v>
      </c>
      <c r="C38" s="207">
        <v>320000</v>
      </c>
      <c r="D38" s="105"/>
      <c r="E38" s="104">
        <v>10670</v>
      </c>
      <c r="F38" s="106"/>
      <c r="G38" s="219">
        <v>310000</v>
      </c>
      <c r="H38" s="214" t="s">
        <v>124</v>
      </c>
      <c r="I38" s="220">
        <v>330000</v>
      </c>
      <c r="J38" s="231">
        <v>31584</v>
      </c>
      <c r="K38" s="112">
        <v>16932</v>
      </c>
      <c r="L38" s="231">
        <v>15792</v>
      </c>
      <c r="M38" s="108"/>
      <c r="N38" s="231">
        <v>37312</v>
      </c>
      <c r="O38" s="107"/>
      <c r="P38" s="231">
        <v>2864</v>
      </c>
      <c r="Q38" s="109"/>
      <c r="R38" s="242">
        <v>58560</v>
      </c>
      <c r="S38" s="96"/>
      <c r="T38" s="247">
        <v>29280</v>
      </c>
      <c r="U38" s="97"/>
      <c r="V38" s="242">
        <v>58560</v>
      </c>
      <c r="W38" s="96"/>
      <c r="X38" s="247">
        <v>29280</v>
      </c>
      <c r="Y38" s="88"/>
      <c r="Z38" s="51"/>
      <c r="AA38" s="3"/>
      <c r="AB38" s="37">
        <f t="shared" si="0"/>
        <v>-12928</v>
      </c>
      <c r="AC38" s="36"/>
    </row>
    <row r="39" spans="1:29" s="2" customFormat="1" ht="12.75" customHeight="1">
      <c r="A39" s="35"/>
      <c r="B39" s="205" t="s">
        <v>113</v>
      </c>
      <c r="C39" s="206">
        <v>340000</v>
      </c>
      <c r="D39" s="110"/>
      <c r="E39" s="98">
        <v>11330</v>
      </c>
      <c r="F39" s="111"/>
      <c r="G39" s="221">
        <v>330000</v>
      </c>
      <c r="H39" s="217" t="s">
        <v>124</v>
      </c>
      <c r="I39" s="218">
        <v>350000</v>
      </c>
      <c r="J39" s="230">
        <v>33558</v>
      </c>
      <c r="K39" s="113">
        <v>17928</v>
      </c>
      <c r="L39" s="230">
        <v>16779</v>
      </c>
      <c r="M39" s="102"/>
      <c r="N39" s="230">
        <v>39644</v>
      </c>
      <c r="O39" s="101"/>
      <c r="P39" s="230">
        <v>3043</v>
      </c>
      <c r="Q39" s="103"/>
      <c r="R39" s="241">
        <v>62220</v>
      </c>
      <c r="S39" s="94"/>
      <c r="T39" s="246">
        <v>31110</v>
      </c>
      <c r="U39" s="95"/>
      <c r="V39" s="241">
        <v>62220</v>
      </c>
      <c r="W39" s="94"/>
      <c r="X39" s="246">
        <v>31110</v>
      </c>
      <c r="Y39" s="93"/>
      <c r="Z39" s="51"/>
      <c r="AA39" s="3"/>
      <c r="AB39" s="37">
        <f t="shared" si="0"/>
        <v>-13736</v>
      </c>
      <c r="AC39" s="36"/>
    </row>
    <row r="40" spans="1:29" s="2" customFormat="1" ht="12.75" customHeight="1">
      <c r="A40" s="35"/>
      <c r="B40" s="203" t="s">
        <v>114</v>
      </c>
      <c r="C40" s="207">
        <v>360000</v>
      </c>
      <c r="D40" s="105"/>
      <c r="E40" s="104">
        <v>12000</v>
      </c>
      <c r="F40" s="106"/>
      <c r="G40" s="219">
        <v>350000</v>
      </c>
      <c r="H40" s="214" t="s">
        <v>124</v>
      </c>
      <c r="I40" s="220">
        <v>370000</v>
      </c>
      <c r="J40" s="231">
        <v>35532</v>
      </c>
      <c r="K40" s="112">
        <v>18924</v>
      </c>
      <c r="L40" s="231">
        <v>17766</v>
      </c>
      <c r="M40" s="108"/>
      <c r="N40" s="231">
        <v>41976</v>
      </c>
      <c r="O40" s="107"/>
      <c r="P40" s="231">
        <v>3222</v>
      </c>
      <c r="Q40" s="109"/>
      <c r="R40" s="242">
        <v>65880</v>
      </c>
      <c r="S40" s="96"/>
      <c r="T40" s="247">
        <v>32940</v>
      </c>
      <c r="U40" s="97"/>
      <c r="V40" s="242">
        <v>65880</v>
      </c>
      <c r="W40" s="96"/>
      <c r="X40" s="247">
        <v>32940</v>
      </c>
      <c r="Y40" s="88"/>
      <c r="Z40" s="51"/>
      <c r="AA40" s="3"/>
      <c r="AB40" s="37">
        <f t="shared" si="0"/>
        <v>-14544</v>
      </c>
      <c r="AC40" s="36"/>
    </row>
    <row r="41" spans="1:29" s="2" customFormat="1" ht="12.75" customHeight="1">
      <c r="A41" s="35"/>
      <c r="B41" s="205" t="s">
        <v>115</v>
      </c>
      <c r="C41" s="206">
        <v>380000</v>
      </c>
      <c r="D41" s="110"/>
      <c r="E41" s="98">
        <v>12670</v>
      </c>
      <c r="F41" s="111"/>
      <c r="G41" s="221">
        <v>370000</v>
      </c>
      <c r="H41" s="217" t="s">
        <v>124</v>
      </c>
      <c r="I41" s="218">
        <v>395000</v>
      </c>
      <c r="J41" s="230">
        <v>37506</v>
      </c>
      <c r="K41" s="113">
        <v>20418</v>
      </c>
      <c r="L41" s="230">
        <v>18753</v>
      </c>
      <c r="M41" s="102"/>
      <c r="N41" s="230">
        <v>44308</v>
      </c>
      <c r="O41" s="101"/>
      <c r="P41" s="230">
        <v>3401</v>
      </c>
      <c r="Q41" s="103"/>
      <c r="R41" s="241">
        <v>69540</v>
      </c>
      <c r="S41" s="94"/>
      <c r="T41" s="246">
        <v>34770</v>
      </c>
      <c r="U41" s="95"/>
      <c r="V41" s="241">
        <v>69540</v>
      </c>
      <c r="W41" s="94"/>
      <c r="X41" s="246">
        <v>34770</v>
      </c>
      <c r="Y41" s="93"/>
      <c r="Z41" s="51"/>
      <c r="AA41" s="3"/>
      <c r="AB41" s="37">
        <f t="shared" si="0"/>
        <v>-15352</v>
      </c>
      <c r="AC41" s="36"/>
    </row>
    <row r="42" spans="1:29" s="2" customFormat="1" ht="12.75" customHeight="1">
      <c r="A42" s="35"/>
      <c r="B42" s="203" t="s">
        <v>116</v>
      </c>
      <c r="C42" s="207">
        <v>410000</v>
      </c>
      <c r="D42" s="105"/>
      <c r="E42" s="104">
        <v>13670</v>
      </c>
      <c r="F42" s="106"/>
      <c r="G42" s="219">
        <v>395000</v>
      </c>
      <c r="H42" s="214" t="s">
        <v>124</v>
      </c>
      <c r="I42" s="220">
        <v>425000</v>
      </c>
      <c r="J42" s="231">
        <v>40467</v>
      </c>
      <c r="K42" s="112">
        <v>21912</v>
      </c>
      <c r="L42" s="231">
        <v>20233.5</v>
      </c>
      <c r="M42" s="108"/>
      <c r="N42" s="231">
        <v>47806</v>
      </c>
      <c r="O42" s="107"/>
      <c r="P42" s="231">
        <v>3669.5</v>
      </c>
      <c r="Q42" s="109"/>
      <c r="R42" s="242">
        <v>75030</v>
      </c>
      <c r="S42" s="96"/>
      <c r="T42" s="247">
        <v>37515</v>
      </c>
      <c r="U42" s="97"/>
      <c r="V42" s="242">
        <v>75030</v>
      </c>
      <c r="W42" s="96"/>
      <c r="X42" s="247">
        <v>37515</v>
      </c>
      <c r="Y42" s="88"/>
      <c r="Z42" s="51"/>
      <c r="AA42" s="3"/>
      <c r="AB42" s="37">
        <f t="shared" si="0"/>
        <v>-16564</v>
      </c>
      <c r="AC42" s="36"/>
    </row>
    <row r="43" spans="1:29" s="2" customFormat="1" ht="12.75" customHeight="1">
      <c r="A43" s="35"/>
      <c r="B43" s="205" t="s">
        <v>117</v>
      </c>
      <c r="C43" s="206">
        <v>440000</v>
      </c>
      <c r="D43" s="110"/>
      <c r="E43" s="98">
        <v>14670</v>
      </c>
      <c r="F43" s="111"/>
      <c r="G43" s="221">
        <v>425000</v>
      </c>
      <c r="H43" s="217" t="s">
        <v>124</v>
      </c>
      <c r="I43" s="218">
        <v>455000</v>
      </c>
      <c r="J43" s="230">
        <v>43428</v>
      </c>
      <c r="K43" s="113">
        <v>23406</v>
      </c>
      <c r="L43" s="230">
        <v>21714</v>
      </c>
      <c r="M43" s="102"/>
      <c r="N43" s="230">
        <v>51304</v>
      </c>
      <c r="O43" s="101"/>
      <c r="P43" s="230">
        <v>3938</v>
      </c>
      <c r="Q43" s="103"/>
      <c r="R43" s="241">
        <v>80520</v>
      </c>
      <c r="S43" s="94"/>
      <c r="T43" s="246">
        <v>40260</v>
      </c>
      <c r="U43" s="95"/>
      <c r="V43" s="241">
        <v>80520</v>
      </c>
      <c r="W43" s="94"/>
      <c r="X43" s="246">
        <v>40260</v>
      </c>
      <c r="Y43" s="93"/>
      <c r="Z43" s="51"/>
      <c r="AA43" s="3"/>
      <c r="AB43" s="37">
        <f t="shared" si="0"/>
        <v>-17776</v>
      </c>
      <c r="AC43" s="36"/>
    </row>
    <row r="44" spans="1:29" s="2" customFormat="1" ht="12.75" customHeight="1">
      <c r="A44" s="35"/>
      <c r="B44" s="203" t="s">
        <v>118</v>
      </c>
      <c r="C44" s="207">
        <v>470000</v>
      </c>
      <c r="D44" s="105"/>
      <c r="E44" s="104">
        <v>15670</v>
      </c>
      <c r="F44" s="106"/>
      <c r="G44" s="219">
        <v>455000</v>
      </c>
      <c r="H44" s="214" t="s">
        <v>124</v>
      </c>
      <c r="I44" s="220">
        <v>485000</v>
      </c>
      <c r="J44" s="231">
        <v>46389</v>
      </c>
      <c r="K44" s="112">
        <v>24900</v>
      </c>
      <c r="L44" s="231">
        <v>23194.5</v>
      </c>
      <c r="M44" s="108"/>
      <c r="N44" s="231">
        <v>54802</v>
      </c>
      <c r="O44" s="107"/>
      <c r="P44" s="231">
        <v>4206.5</v>
      </c>
      <c r="Q44" s="109"/>
      <c r="R44" s="242">
        <v>86010</v>
      </c>
      <c r="S44" s="96"/>
      <c r="T44" s="247">
        <v>43005</v>
      </c>
      <c r="U44" s="97"/>
      <c r="V44" s="242">
        <v>86010</v>
      </c>
      <c r="W44" s="96"/>
      <c r="X44" s="247">
        <v>43005</v>
      </c>
      <c r="Y44" s="88"/>
      <c r="Z44" s="51"/>
      <c r="AA44" s="3"/>
      <c r="AB44" s="37">
        <f t="shared" si="0"/>
        <v>-18988</v>
      </c>
      <c r="AC44" s="36"/>
    </row>
    <row r="45" spans="1:29" s="2" customFormat="1" ht="12.75" customHeight="1">
      <c r="A45" s="35"/>
      <c r="B45" s="205" t="s">
        <v>119</v>
      </c>
      <c r="C45" s="206">
        <v>500000</v>
      </c>
      <c r="D45" s="110"/>
      <c r="E45" s="98">
        <v>16670</v>
      </c>
      <c r="F45" s="111"/>
      <c r="G45" s="221">
        <v>485000</v>
      </c>
      <c r="H45" s="217" t="s">
        <v>124</v>
      </c>
      <c r="I45" s="218">
        <v>515000</v>
      </c>
      <c r="J45" s="230">
        <v>49350</v>
      </c>
      <c r="K45" s="113">
        <v>26394</v>
      </c>
      <c r="L45" s="230">
        <v>24675</v>
      </c>
      <c r="M45" s="102"/>
      <c r="N45" s="230">
        <v>58300</v>
      </c>
      <c r="O45" s="101"/>
      <c r="P45" s="230">
        <v>4475</v>
      </c>
      <c r="Q45" s="116"/>
      <c r="R45" s="241">
        <v>91500</v>
      </c>
      <c r="S45" s="94"/>
      <c r="T45" s="246">
        <v>45750</v>
      </c>
      <c r="U45" s="95"/>
      <c r="V45" s="241">
        <v>91500</v>
      </c>
      <c r="W45" s="94"/>
      <c r="X45" s="246">
        <v>45750</v>
      </c>
      <c r="Y45" s="93"/>
      <c r="Z45" s="51"/>
      <c r="AA45" s="3"/>
      <c r="AB45" s="37">
        <f t="shared" si="0"/>
        <v>-20200</v>
      </c>
      <c r="AC45" s="36"/>
    </row>
    <row r="46" spans="1:29" s="2" customFormat="1" ht="12.75" customHeight="1">
      <c r="A46" s="35"/>
      <c r="B46" s="203" t="s">
        <v>120</v>
      </c>
      <c r="C46" s="207">
        <v>530000</v>
      </c>
      <c r="D46" s="105"/>
      <c r="E46" s="104">
        <v>17670</v>
      </c>
      <c r="F46" s="106"/>
      <c r="G46" s="219">
        <v>515000</v>
      </c>
      <c r="H46" s="214" t="s">
        <v>124</v>
      </c>
      <c r="I46" s="220">
        <v>545000</v>
      </c>
      <c r="J46" s="231">
        <v>52311</v>
      </c>
      <c r="K46" s="112">
        <v>27888</v>
      </c>
      <c r="L46" s="231">
        <v>26155.5</v>
      </c>
      <c r="M46" s="108"/>
      <c r="N46" s="231">
        <v>61798</v>
      </c>
      <c r="O46" s="107"/>
      <c r="P46" s="231">
        <v>4743.5</v>
      </c>
      <c r="Q46" s="117"/>
      <c r="R46" s="242">
        <v>96990</v>
      </c>
      <c r="S46" s="96"/>
      <c r="T46" s="247">
        <v>48495</v>
      </c>
      <c r="U46" s="97"/>
      <c r="V46" s="242">
        <v>96990</v>
      </c>
      <c r="W46" s="96"/>
      <c r="X46" s="247">
        <v>48495</v>
      </c>
      <c r="Y46" s="88"/>
      <c r="Z46" s="51"/>
      <c r="AA46" s="3"/>
      <c r="AB46" s="37">
        <f t="shared" si="0"/>
        <v>-21412</v>
      </c>
      <c r="AC46" s="36"/>
    </row>
    <row r="47" spans="1:29" s="2" customFormat="1" ht="12.75" customHeight="1">
      <c r="A47" s="35"/>
      <c r="B47" s="205" t="s">
        <v>121</v>
      </c>
      <c r="C47" s="206">
        <v>560000</v>
      </c>
      <c r="D47" s="110"/>
      <c r="E47" s="98">
        <v>18670</v>
      </c>
      <c r="F47" s="111"/>
      <c r="G47" s="221">
        <v>545000</v>
      </c>
      <c r="H47" s="217" t="s">
        <v>124</v>
      </c>
      <c r="I47" s="218">
        <v>575000</v>
      </c>
      <c r="J47" s="230">
        <v>55272</v>
      </c>
      <c r="K47" s="113">
        <v>29382</v>
      </c>
      <c r="L47" s="230">
        <v>27636</v>
      </c>
      <c r="M47" s="102"/>
      <c r="N47" s="230">
        <v>65296</v>
      </c>
      <c r="O47" s="101"/>
      <c r="P47" s="230">
        <v>5012</v>
      </c>
      <c r="Q47" s="118"/>
      <c r="R47" s="241">
        <v>102480</v>
      </c>
      <c r="S47" s="94"/>
      <c r="T47" s="246">
        <v>51240</v>
      </c>
      <c r="U47" s="95"/>
      <c r="V47" s="241">
        <v>102480</v>
      </c>
      <c r="W47" s="94"/>
      <c r="X47" s="246">
        <v>51240</v>
      </c>
      <c r="Y47" s="93"/>
      <c r="Z47" s="51"/>
      <c r="AA47" s="3"/>
      <c r="AB47" s="37">
        <f t="shared" si="0"/>
        <v>-22624</v>
      </c>
      <c r="AC47" s="36"/>
    </row>
    <row r="48" spans="1:29" s="2" customFormat="1" ht="12.75" customHeight="1">
      <c r="A48" s="35"/>
      <c r="B48" s="203" t="s">
        <v>122</v>
      </c>
      <c r="C48" s="207">
        <v>590000</v>
      </c>
      <c r="D48" s="105"/>
      <c r="E48" s="104">
        <v>19670</v>
      </c>
      <c r="F48" s="106"/>
      <c r="G48" s="219">
        <v>575000</v>
      </c>
      <c r="H48" s="214" t="s">
        <v>124</v>
      </c>
      <c r="I48" s="220">
        <v>605000</v>
      </c>
      <c r="J48" s="231">
        <v>58233</v>
      </c>
      <c r="K48" s="112">
        <v>30876</v>
      </c>
      <c r="L48" s="231">
        <v>29116.5</v>
      </c>
      <c r="M48" s="108"/>
      <c r="N48" s="231">
        <v>68794</v>
      </c>
      <c r="O48" s="107"/>
      <c r="P48" s="231">
        <v>5280.5</v>
      </c>
      <c r="Q48" s="117"/>
      <c r="R48" s="242">
        <v>107970</v>
      </c>
      <c r="S48" s="96"/>
      <c r="T48" s="247">
        <v>53985</v>
      </c>
      <c r="U48" s="97"/>
      <c r="V48" s="242">
        <v>107970</v>
      </c>
      <c r="W48" s="96"/>
      <c r="X48" s="247">
        <v>53985</v>
      </c>
      <c r="Y48" s="88"/>
      <c r="Z48" s="51"/>
      <c r="AA48" s="3"/>
      <c r="AB48" s="37">
        <f t="shared" si="0"/>
        <v>-23836</v>
      </c>
      <c r="AC48" s="36"/>
    </row>
    <row r="49" spans="1:48" s="2" customFormat="1" ht="12.75" customHeight="1" thickBot="1">
      <c r="A49" s="45"/>
      <c r="B49" s="205" t="s">
        <v>123</v>
      </c>
      <c r="C49" s="206">
        <v>620000</v>
      </c>
      <c r="D49" s="110"/>
      <c r="E49" s="98">
        <v>20670</v>
      </c>
      <c r="F49" s="111"/>
      <c r="G49" s="221">
        <v>605000</v>
      </c>
      <c r="H49" s="217" t="s">
        <v>124</v>
      </c>
      <c r="I49" s="218">
        <v>635000</v>
      </c>
      <c r="J49" s="230">
        <v>61194</v>
      </c>
      <c r="K49" s="113">
        <v>32370</v>
      </c>
      <c r="L49" s="230">
        <v>30597</v>
      </c>
      <c r="M49" s="102"/>
      <c r="N49" s="230">
        <v>72292</v>
      </c>
      <c r="O49" s="101"/>
      <c r="P49" s="230">
        <v>5549</v>
      </c>
      <c r="Q49" s="116"/>
      <c r="R49" s="243">
        <v>113460</v>
      </c>
      <c r="S49" s="119"/>
      <c r="T49" s="248">
        <v>56730</v>
      </c>
      <c r="U49" s="120"/>
      <c r="V49" s="243">
        <v>113460</v>
      </c>
      <c r="W49" s="119"/>
      <c r="X49" s="248">
        <v>56730</v>
      </c>
      <c r="Y49" s="121"/>
      <c r="Z49" s="51"/>
      <c r="AA49" s="3"/>
      <c r="AB49" s="37">
        <f t="shared" si="0"/>
        <v>-25048</v>
      </c>
      <c r="AC49" s="36"/>
    </row>
    <row r="50" spans="1:48" s="2" customFormat="1" ht="12.75" customHeight="1" thickTop="1" thickBot="1">
      <c r="A50" s="45"/>
      <c r="B50" s="203">
        <v>35</v>
      </c>
      <c r="C50" s="207">
        <v>650000</v>
      </c>
      <c r="D50" s="105"/>
      <c r="E50" s="104">
        <v>21670</v>
      </c>
      <c r="F50" s="106"/>
      <c r="G50" s="219">
        <v>635000</v>
      </c>
      <c r="H50" s="214" t="s">
        <v>124</v>
      </c>
      <c r="I50" s="220">
        <v>665000</v>
      </c>
      <c r="J50" s="231">
        <v>64155</v>
      </c>
      <c r="K50" s="112">
        <v>33864</v>
      </c>
      <c r="L50" s="231">
        <v>32077.5</v>
      </c>
      <c r="M50" s="108"/>
      <c r="N50" s="231">
        <v>75790</v>
      </c>
      <c r="O50" s="107"/>
      <c r="P50" s="232">
        <v>5817.5</v>
      </c>
      <c r="Q50" s="122"/>
      <c r="R50" s="243">
        <v>113460</v>
      </c>
      <c r="S50" s="119"/>
      <c r="T50" s="248">
        <v>56730</v>
      </c>
      <c r="U50" s="120"/>
      <c r="V50" s="243">
        <v>113460</v>
      </c>
      <c r="W50" s="119"/>
      <c r="X50" s="248">
        <v>56730</v>
      </c>
      <c r="Y50" s="121"/>
      <c r="Z50" s="51"/>
      <c r="AA50" s="3"/>
      <c r="AB50" s="37">
        <f t="shared" si="0"/>
        <v>-26260</v>
      </c>
      <c r="AC50" s="36"/>
    </row>
    <row r="51" spans="1:48" s="2" customFormat="1" ht="12.75" customHeight="1" thickTop="1" thickBot="1">
      <c r="A51" s="45"/>
      <c r="B51" s="205">
        <v>36</v>
      </c>
      <c r="C51" s="206">
        <v>680000</v>
      </c>
      <c r="D51" s="110"/>
      <c r="E51" s="98">
        <v>22670</v>
      </c>
      <c r="F51" s="111"/>
      <c r="G51" s="221">
        <v>665000</v>
      </c>
      <c r="H51" s="217" t="s">
        <v>124</v>
      </c>
      <c r="I51" s="218">
        <v>695000</v>
      </c>
      <c r="J51" s="230">
        <v>67116</v>
      </c>
      <c r="K51" s="113">
        <v>35358</v>
      </c>
      <c r="L51" s="230">
        <v>33558</v>
      </c>
      <c r="M51" s="102"/>
      <c r="N51" s="230">
        <v>79288</v>
      </c>
      <c r="O51" s="101"/>
      <c r="P51" s="233">
        <v>6086</v>
      </c>
      <c r="Q51" s="118"/>
      <c r="R51" s="243">
        <v>113460</v>
      </c>
      <c r="S51" s="119"/>
      <c r="T51" s="248">
        <v>56730</v>
      </c>
      <c r="U51" s="120"/>
      <c r="V51" s="243">
        <v>113460</v>
      </c>
      <c r="W51" s="119"/>
      <c r="X51" s="248">
        <v>56730</v>
      </c>
      <c r="Y51" s="121"/>
      <c r="Z51" s="51"/>
      <c r="AB51" s="37">
        <f t="shared" si="0"/>
        <v>-27472</v>
      </c>
      <c r="AC51" s="36"/>
    </row>
    <row r="52" spans="1:48" s="2" customFormat="1" ht="12.75" customHeight="1" thickTop="1" thickBot="1">
      <c r="A52" s="45"/>
      <c r="B52" s="203">
        <v>37</v>
      </c>
      <c r="C52" s="207">
        <v>710000</v>
      </c>
      <c r="D52" s="105"/>
      <c r="E52" s="104">
        <v>23670</v>
      </c>
      <c r="F52" s="106"/>
      <c r="G52" s="219">
        <v>695000</v>
      </c>
      <c r="H52" s="214" t="s">
        <v>124</v>
      </c>
      <c r="I52" s="220">
        <v>730000</v>
      </c>
      <c r="J52" s="231">
        <v>70077</v>
      </c>
      <c r="K52" s="112">
        <v>37350</v>
      </c>
      <c r="L52" s="231">
        <v>35038.5</v>
      </c>
      <c r="M52" s="108"/>
      <c r="N52" s="231">
        <v>82786</v>
      </c>
      <c r="O52" s="107"/>
      <c r="P52" s="232">
        <v>6354.5</v>
      </c>
      <c r="Q52" s="117"/>
      <c r="R52" s="243">
        <v>113460</v>
      </c>
      <c r="S52" s="119"/>
      <c r="T52" s="248">
        <v>56730</v>
      </c>
      <c r="U52" s="120"/>
      <c r="V52" s="243">
        <v>113460</v>
      </c>
      <c r="W52" s="119"/>
      <c r="X52" s="248">
        <v>56730</v>
      </c>
      <c r="Y52" s="121"/>
      <c r="Z52" s="51"/>
      <c r="AB52" s="37">
        <f t="shared" si="0"/>
        <v>-28684</v>
      </c>
      <c r="AC52" s="36"/>
    </row>
    <row r="53" spans="1:48" s="2" customFormat="1" ht="12.75" customHeight="1" thickTop="1" thickBot="1">
      <c r="A53" s="45"/>
      <c r="B53" s="205">
        <v>38</v>
      </c>
      <c r="C53" s="206">
        <v>750000</v>
      </c>
      <c r="D53" s="110"/>
      <c r="E53" s="98">
        <v>25000</v>
      </c>
      <c r="F53" s="111"/>
      <c r="G53" s="221">
        <v>730000</v>
      </c>
      <c r="H53" s="217" t="s">
        <v>124</v>
      </c>
      <c r="I53" s="218">
        <v>770000</v>
      </c>
      <c r="J53" s="230">
        <v>74025</v>
      </c>
      <c r="K53" s="113">
        <v>39342</v>
      </c>
      <c r="L53" s="230">
        <v>37012.5</v>
      </c>
      <c r="M53" s="102"/>
      <c r="N53" s="230">
        <v>87450</v>
      </c>
      <c r="O53" s="101"/>
      <c r="P53" s="233">
        <v>6712.5</v>
      </c>
      <c r="Q53" s="118"/>
      <c r="R53" s="243">
        <v>113460</v>
      </c>
      <c r="S53" s="119"/>
      <c r="T53" s="248">
        <v>56730</v>
      </c>
      <c r="U53" s="120"/>
      <c r="V53" s="243">
        <v>113460</v>
      </c>
      <c r="W53" s="119"/>
      <c r="X53" s="248">
        <v>56730</v>
      </c>
      <c r="Y53" s="121"/>
      <c r="Z53" s="51"/>
      <c r="AB53" s="37">
        <f t="shared" si="0"/>
        <v>-30300</v>
      </c>
      <c r="AC53" s="36"/>
    </row>
    <row r="54" spans="1:48" s="2" customFormat="1" ht="12.75" customHeight="1" thickTop="1" thickBot="1">
      <c r="A54" s="45"/>
      <c r="B54" s="203">
        <v>39</v>
      </c>
      <c r="C54" s="207">
        <v>790000</v>
      </c>
      <c r="D54" s="105"/>
      <c r="E54" s="104">
        <v>26330</v>
      </c>
      <c r="F54" s="106"/>
      <c r="G54" s="219">
        <v>770000</v>
      </c>
      <c r="H54" s="214" t="s">
        <v>124</v>
      </c>
      <c r="I54" s="220">
        <v>810000</v>
      </c>
      <c r="J54" s="231">
        <v>77973</v>
      </c>
      <c r="K54" s="112">
        <v>41334</v>
      </c>
      <c r="L54" s="231">
        <v>38986.5</v>
      </c>
      <c r="M54" s="108"/>
      <c r="N54" s="231">
        <v>92114</v>
      </c>
      <c r="O54" s="107"/>
      <c r="P54" s="232">
        <v>7070.5</v>
      </c>
      <c r="Q54" s="117"/>
      <c r="R54" s="243">
        <v>113460</v>
      </c>
      <c r="S54" s="119"/>
      <c r="T54" s="248">
        <v>56730</v>
      </c>
      <c r="U54" s="120"/>
      <c r="V54" s="243">
        <v>113460</v>
      </c>
      <c r="W54" s="119"/>
      <c r="X54" s="248">
        <v>56730</v>
      </c>
      <c r="Y54" s="121"/>
      <c r="Z54" s="51"/>
      <c r="AB54" s="37">
        <f t="shared" si="0"/>
        <v>-31916</v>
      </c>
      <c r="AC54" s="36"/>
    </row>
    <row r="55" spans="1:48" s="2" customFormat="1" ht="12.75" customHeight="1" thickTop="1" thickBot="1">
      <c r="A55" s="45"/>
      <c r="B55" s="205">
        <v>40</v>
      </c>
      <c r="C55" s="206">
        <v>830000</v>
      </c>
      <c r="D55" s="110"/>
      <c r="E55" s="98">
        <v>27670</v>
      </c>
      <c r="F55" s="111"/>
      <c r="G55" s="221">
        <v>810000</v>
      </c>
      <c r="H55" s="217" t="s">
        <v>124</v>
      </c>
      <c r="I55" s="218">
        <v>855000</v>
      </c>
      <c r="J55" s="230">
        <v>81921</v>
      </c>
      <c r="K55" s="113">
        <v>43824</v>
      </c>
      <c r="L55" s="230">
        <v>40960.5</v>
      </c>
      <c r="M55" s="102"/>
      <c r="N55" s="230">
        <v>96778</v>
      </c>
      <c r="O55" s="101"/>
      <c r="P55" s="233">
        <v>7428.5</v>
      </c>
      <c r="Q55" s="118"/>
      <c r="R55" s="243">
        <v>113460</v>
      </c>
      <c r="S55" s="119"/>
      <c r="T55" s="248">
        <v>56730</v>
      </c>
      <c r="U55" s="120"/>
      <c r="V55" s="243">
        <v>113460</v>
      </c>
      <c r="W55" s="119"/>
      <c r="X55" s="248">
        <v>56730</v>
      </c>
      <c r="Y55" s="121"/>
      <c r="Z55" s="51"/>
      <c r="AB55" s="37">
        <f t="shared" si="0"/>
        <v>-33532</v>
      </c>
      <c r="AC55" s="36"/>
    </row>
    <row r="56" spans="1:48" s="2" customFormat="1" ht="12.75" customHeight="1" thickTop="1" thickBot="1">
      <c r="A56" s="45"/>
      <c r="B56" s="203">
        <v>41</v>
      </c>
      <c r="C56" s="207">
        <v>880000</v>
      </c>
      <c r="D56" s="123"/>
      <c r="E56" s="63">
        <v>29330</v>
      </c>
      <c r="F56" s="124"/>
      <c r="G56" s="219">
        <v>855000</v>
      </c>
      <c r="H56" s="214" t="s">
        <v>124</v>
      </c>
      <c r="I56" s="220">
        <v>905000</v>
      </c>
      <c r="J56" s="231">
        <v>86856</v>
      </c>
      <c r="K56" s="66">
        <v>46314</v>
      </c>
      <c r="L56" s="231">
        <v>43428</v>
      </c>
      <c r="M56" s="125"/>
      <c r="N56" s="231">
        <v>102608</v>
      </c>
      <c r="O56" s="126"/>
      <c r="P56" s="232">
        <v>7876</v>
      </c>
      <c r="Q56" s="127"/>
      <c r="R56" s="243">
        <v>113460</v>
      </c>
      <c r="S56" s="119"/>
      <c r="T56" s="248">
        <v>56730</v>
      </c>
      <c r="U56" s="120"/>
      <c r="V56" s="243">
        <v>113460</v>
      </c>
      <c r="W56" s="119"/>
      <c r="X56" s="248">
        <v>56730</v>
      </c>
      <c r="Y56" s="121"/>
      <c r="Z56" s="51"/>
      <c r="AB56" s="37">
        <f t="shared" si="0"/>
        <v>-35552</v>
      </c>
      <c r="AC56" s="36"/>
    </row>
    <row r="57" spans="1:48" s="2" customFormat="1" ht="12.75" customHeight="1" thickTop="1" thickBot="1">
      <c r="A57" s="45"/>
      <c r="B57" s="205">
        <v>42</v>
      </c>
      <c r="C57" s="206">
        <v>930000</v>
      </c>
      <c r="D57" s="71"/>
      <c r="E57" s="70">
        <v>31000</v>
      </c>
      <c r="F57" s="74"/>
      <c r="G57" s="221">
        <v>905000</v>
      </c>
      <c r="H57" s="217" t="s">
        <v>124</v>
      </c>
      <c r="I57" s="218">
        <v>955000</v>
      </c>
      <c r="J57" s="230">
        <v>91791</v>
      </c>
      <c r="K57" s="73">
        <v>48804</v>
      </c>
      <c r="L57" s="230">
        <v>45895.5</v>
      </c>
      <c r="M57" s="92"/>
      <c r="N57" s="230">
        <v>108438</v>
      </c>
      <c r="O57" s="91"/>
      <c r="P57" s="233">
        <v>8323.5</v>
      </c>
      <c r="Q57" s="128"/>
      <c r="R57" s="243">
        <v>113460</v>
      </c>
      <c r="S57" s="119"/>
      <c r="T57" s="248">
        <v>56730</v>
      </c>
      <c r="U57" s="120"/>
      <c r="V57" s="243">
        <v>113460</v>
      </c>
      <c r="W57" s="119"/>
      <c r="X57" s="248">
        <v>56730</v>
      </c>
      <c r="Y57" s="121"/>
      <c r="Z57" s="51"/>
      <c r="AA57" s="4"/>
      <c r="AB57" s="37">
        <f t="shared" si="0"/>
        <v>-37572</v>
      </c>
      <c r="AC57" s="36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</row>
    <row r="58" spans="1:48" s="2" customFormat="1" ht="12.75" customHeight="1" thickTop="1" thickBot="1">
      <c r="A58" s="45"/>
      <c r="B58" s="203">
        <v>43</v>
      </c>
      <c r="C58" s="207">
        <v>980000</v>
      </c>
      <c r="D58" s="79"/>
      <c r="E58" s="78">
        <v>32670</v>
      </c>
      <c r="F58" s="82"/>
      <c r="G58" s="219">
        <v>955000</v>
      </c>
      <c r="H58" s="214" t="s">
        <v>124</v>
      </c>
      <c r="I58" s="220">
        <v>1005000</v>
      </c>
      <c r="J58" s="231">
        <v>96726</v>
      </c>
      <c r="K58" s="86">
        <v>51294</v>
      </c>
      <c r="L58" s="231">
        <v>48363</v>
      </c>
      <c r="M58" s="87"/>
      <c r="N58" s="231">
        <v>114268</v>
      </c>
      <c r="O58" s="86"/>
      <c r="P58" s="232">
        <v>8771</v>
      </c>
      <c r="Q58" s="129"/>
      <c r="R58" s="243">
        <v>113460</v>
      </c>
      <c r="S58" s="119"/>
      <c r="T58" s="248">
        <v>56730</v>
      </c>
      <c r="U58" s="120"/>
      <c r="V58" s="243">
        <v>113460</v>
      </c>
      <c r="W58" s="119"/>
      <c r="X58" s="248">
        <v>56730</v>
      </c>
      <c r="Y58" s="121"/>
      <c r="Z58" s="51"/>
      <c r="AA58" s="4"/>
      <c r="AB58" s="37">
        <f t="shared" si="0"/>
        <v>-39592</v>
      </c>
      <c r="AC58" s="36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</row>
    <row r="59" spans="1:48" s="2" customFormat="1" ht="12.75" customHeight="1" thickTop="1" thickBot="1">
      <c r="A59" s="45"/>
      <c r="B59" s="205">
        <v>44</v>
      </c>
      <c r="C59" s="206">
        <v>1030000</v>
      </c>
      <c r="D59" s="92"/>
      <c r="E59" s="73">
        <v>34330</v>
      </c>
      <c r="F59" s="76"/>
      <c r="G59" s="221">
        <v>1005000</v>
      </c>
      <c r="H59" s="217" t="s">
        <v>124</v>
      </c>
      <c r="I59" s="218">
        <v>1055000</v>
      </c>
      <c r="J59" s="230">
        <v>101661</v>
      </c>
      <c r="K59" s="91">
        <v>54282</v>
      </c>
      <c r="L59" s="230">
        <v>50830.5</v>
      </c>
      <c r="M59" s="92"/>
      <c r="N59" s="230">
        <v>120098</v>
      </c>
      <c r="O59" s="91"/>
      <c r="P59" s="233">
        <v>9218.5</v>
      </c>
      <c r="Q59" s="128"/>
      <c r="R59" s="243">
        <v>113460</v>
      </c>
      <c r="S59" s="119"/>
      <c r="T59" s="248">
        <v>56730</v>
      </c>
      <c r="U59" s="120"/>
      <c r="V59" s="243">
        <v>113460</v>
      </c>
      <c r="W59" s="119"/>
      <c r="X59" s="248">
        <v>56730</v>
      </c>
      <c r="Y59" s="121"/>
      <c r="Z59" s="51"/>
      <c r="AA59" s="4"/>
      <c r="AB59" s="37">
        <f t="shared" si="0"/>
        <v>-41612</v>
      </c>
      <c r="AC59" s="36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</row>
    <row r="60" spans="1:48" s="2" customFormat="1" ht="12.75" customHeight="1" thickTop="1" thickBot="1">
      <c r="A60" s="45"/>
      <c r="B60" s="203">
        <v>45</v>
      </c>
      <c r="C60" s="207">
        <v>1090000</v>
      </c>
      <c r="D60" s="87"/>
      <c r="E60" s="81">
        <v>36330</v>
      </c>
      <c r="F60" s="84"/>
      <c r="G60" s="219">
        <v>1055000</v>
      </c>
      <c r="H60" s="214" t="s">
        <v>124</v>
      </c>
      <c r="I60" s="220">
        <v>1115000</v>
      </c>
      <c r="J60" s="231">
        <v>107583</v>
      </c>
      <c r="K60" s="86">
        <v>57270</v>
      </c>
      <c r="L60" s="231">
        <v>53791.5</v>
      </c>
      <c r="M60" s="87"/>
      <c r="N60" s="231">
        <v>127094</v>
      </c>
      <c r="O60" s="86"/>
      <c r="P60" s="232">
        <v>9755.5</v>
      </c>
      <c r="Q60" s="129"/>
      <c r="R60" s="243">
        <v>113460</v>
      </c>
      <c r="S60" s="119"/>
      <c r="T60" s="248">
        <v>56730</v>
      </c>
      <c r="U60" s="120"/>
      <c r="V60" s="243">
        <v>113460</v>
      </c>
      <c r="W60" s="119"/>
      <c r="X60" s="248">
        <v>56730</v>
      </c>
      <c r="Y60" s="121"/>
      <c r="Z60" s="51"/>
      <c r="AA60" s="4"/>
      <c r="AB60" s="37">
        <f t="shared" si="0"/>
        <v>-44036</v>
      </c>
      <c r="AC60" s="36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</row>
    <row r="61" spans="1:48" s="2" customFormat="1" ht="12.75" customHeight="1" thickTop="1" thickBot="1">
      <c r="A61" s="45"/>
      <c r="B61" s="205">
        <v>46</v>
      </c>
      <c r="C61" s="206">
        <v>1150000</v>
      </c>
      <c r="D61" s="92"/>
      <c r="E61" s="73">
        <v>38330</v>
      </c>
      <c r="F61" s="76"/>
      <c r="G61" s="221">
        <v>1115000</v>
      </c>
      <c r="H61" s="217" t="s">
        <v>124</v>
      </c>
      <c r="I61" s="218">
        <v>1175000</v>
      </c>
      <c r="J61" s="230">
        <v>113505</v>
      </c>
      <c r="K61" s="91">
        <v>60258</v>
      </c>
      <c r="L61" s="230">
        <v>56752.5</v>
      </c>
      <c r="M61" s="92"/>
      <c r="N61" s="230">
        <v>134090</v>
      </c>
      <c r="O61" s="91"/>
      <c r="P61" s="233">
        <v>10292.5</v>
      </c>
      <c r="Q61" s="93"/>
      <c r="R61" s="243">
        <v>113460</v>
      </c>
      <c r="S61" s="119"/>
      <c r="T61" s="248">
        <v>56730</v>
      </c>
      <c r="U61" s="120"/>
      <c r="V61" s="243">
        <v>113460</v>
      </c>
      <c r="W61" s="119"/>
      <c r="X61" s="248">
        <v>56730</v>
      </c>
      <c r="Y61" s="121"/>
      <c r="Z61" s="51"/>
      <c r="AA61" s="4"/>
      <c r="AB61" s="37">
        <f t="shared" si="0"/>
        <v>-46460</v>
      </c>
      <c r="AC61" s="36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</row>
    <row r="62" spans="1:48" s="2" customFormat="1" ht="15.75" customHeight="1" thickTop="1" thickBot="1">
      <c r="A62" s="45"/>
      <c r="B62" s="208">
        <v>47</v>
      </c>
      <c r="C62" s="209">
        <v>1210000</v>
      </c>
      <c r="D62" s="131"/>
      <c r="E62" s="130">
        <v>40330</v>
      </c>
      <c r="F62" s="132"/>
      <c r="G62" s="222">
        <v>1175000</v>
      </c>
      <c r="H62" s="223" t="s">
        <v>124</v>
      </c>
      <c r="I62" s="224">
        <v>1235000</v>
      </c>
      <c r="J62" s="234">
        <v>119427</v>
      </c>
      <c r="K62" s="133">
        <v>63246</v>
      </c>
      <c r="L62" s="234">
        <v>59713.5</v>
      </c>
      <c r="M62" s="131"/>
      <c r="N62" s="234">
        <v>141086</v>
      </c>
      <c r="O62" s="133"/>
      <c r="P62" s="235">
        <v>10829.5</v>
      </c>
      <c r="Q62" s="134"/>
      <c r="R62" s="243">
        <v>113460</v>
      </c>
      <c r="S62" s="119"/>
      <c r="T62" s="248">
        <v>56730</v>
      </c>
      <c r="U62" s="120"/>
      <c r="V62" s="243">
        <v>113460</v>
      </c>
      <c r="W62" s="119"/>
      <c r="X62" s="248">
        <v>56730</v>
      </c>
      <c r="Y62" s="121"/>
      <c r="Z62" s="51"/>
      <c r="AB62" s="37">
        <f t="shared" si="0"/>
        <v>-48884</v>
      </c>
      <c r="AC62" s="36"/>
    </row>
    <row r="63" spans="1:48" s="35" customFormat="1" ht="15.75" customHeight="1" thickTop="1" thickBot="1">
      <c r="A63" s="45"/>
      <c r="B63" s="210">
        <v>48</v>
      </c>
      <c r="C63" s="206">
        <v>1270000</v>
      </c>
      <c r="D63" s="66"/>
      <c r="E63" s="66"/>
      <c r="F63" s="67"/>
      <c r="G63" s="221">
        <v>1235000</v>
      </c>
      <c r="H63" s="225" t="s">
        <v>124</v>
      </c>
      <c r="I63" s="218">
        <v>1295000</v>
      </c>
      <c r="J63" s="230">
        <v>125349</v>
      </c>
      <c r="K63" s="66"/>
      <c r="L63" s="230">
        <v>62674.5</v>
      </c>
      <c r="M63" s="66"/>
      <c r="N63" s="230">
        <v>148082</v>
      </c>
      <c r="O63" s="66"/>
      <c r="P63" s="236">
        <v>11366.5</v>
      </c>
      <c r="Q63" s="152"/>
      <c r="R63" s="243">
        <v>113460</v>
      </c>
      <c r="S63" s="119"/>
      <c r="T63" s="248">
        <v>56730</v>
      </c>
      <c r="U63" s="120"/>
      <c r="V63" s="243">
        <v>113460</v>
      </c>
      <c r="W63" s="119"/>
      <c r="X63" s="248">
        <v>56730</v>
      </c>
      <c r="Y63" s="153"/>
      <c r="Z63" s="51"/>
      <c r="AB63" s="37">
        <f t="shared" si="0"/>
        <v>-51308</v>
      </c>
      <c r="AC63" s="36"/>
    </row>
    <row r="64" spans="1:48" s="35" customFormat="1" ht="15.75" customHeight="1" thickTop="1" thickBot="1">
      <c r="A64" s="45"/>
      <c r="B64" s="203">
        <v>49</v>
      </c>
      <c r="C64" s="207">
        <v>1330000</v>
      </c>
      <c r="D64" s="66"/>
      <c r="E64" s="66"/>
      <c r="F64" s="67"/>
      <c r="G64" s="219">
        <v>1295000</v>
      </c>
      <c r="H64" s="214" t="s">
        <v>124</v>
      </c>
      <c r="I64" s="220">
        <v>1355000</v>
      </c>
      <c r="J64" s="231">
        <v>131271</v>
      </c>
      <c r="K64" s="66"/>
      <c r="L64" s="231">
        <v>65635.5</v>
      </c>
      <c r="M64" s="66"/>
      <c r="N64" s="231">
        <v>155078</v>
      </c>
      <c r="O64" s="66"/>
      <c r="P64" s="235">
        <v>11903.5</v>
      </c>
      <c r="Q64" s="152"/>
      <c r="R64" s="243">
        <v>113460</v>
      </c>
      <c r="S64" s="119"/>
      <c r="T64" s="248">
        <v>56730</v>
      </c>
      <c r="U64" s="120"/>
      <c r="V64" s="243">
        <v>113460</v>
      </c>
      <c r="W64" s="119"/>
      <c r="X64" s="248">
        <v>56730</v>
      </c>
      <c r="Y64" s="153"/>
      <c r="Z64" s="51"/>
      <c r="AB64" s="37">
        <f t="shared" si="0"/>
        <v>-53732</v>
      </c>
      <c r="AC64" s="36"/>
    </row>
    <row r="65" spans="1:29" s="35" customFormat="1" ht="15.75" customHeight="1" thickTop="1" thickBot="1">
      <c r="A65" s="45"/>
      <c r="B65" s="211">
        <v>50</v>
      </c>
      <c r="C65" s="212">
        <v>1390000</v>
      </c>
      <c r="D65" s="66"/>
      <c r="E65" s="66"/>
      <c r="F65" s="67"/>
      <c r="G65" s="226">
        <v>1355000</v>
      </c>
      <c r="H65" s="227" t="s">
        <v>124</v>
      </c>
      <c r="I65" s="228"/>
      <c r="J65" s="237">
        <v>137193</v>
      </c>
      <c r="K65" s="66"/>
      <c r="L65" s="237">
        <v>68596.5</v>
      </c>
      <c r="M65" s="66"/>
      <c r="N65" s="237">
        <v>162074</v>
      </c>
      <c r="O65" s="66"/>
      <c r="P65" s="238">
        <v>12440.5</v>
      </c>
      <c r="Q65" s="152"/>
      <c r="R65" s="243">
        <v>113460</v>
      </c>
      <c r="S65" s="119"/>
      <c r="T65" s="248">
        <v>56730</v>
      </c>
      <c r="U65" s="120"/>
      <c r="V65" s="243">
        <v>113460</v>
      </c>
      <c r="W65" s="119"/>
      <c r="X65" s="248">
        <v>56730</v>
      </c>
      <c r="Y65" s="153"/>
      <c r="Z65" s="51"/>
      <c r="AB65" s="37">
        <f>P65-L65</f>
        <v>-56156</v>
      </c>
      <c r="AC65" s="36"/>
    </row>
    <row r="66" spans="1:29" s="2" customFormat="1" ht="12" thickTop="1">
      <c r="A66" s="45"/>
      <c r="B66" s="135"/>
      <c r="C66" s="135"/>
      <c r="D66" s="135"/>
      <c r="E66" s="135"/>
      <c r="F66" s="135"/>
      <c r="G66" s="135"/>
      <c r="H66" s="135"/>
      <c r="I66" s="135"/>
      <c r="J66" s="135"/>
      <c r="K66" s="135"/>
      <c r="L66" s="135"/>
      <c r="M66" s="135"/>
      <c r="N66" s="135"/>
      <c r="O66" s="135"/>
      <c r="P66" s="135"/>
      <c r="Q66" s="135"/>
      <c r="R66" s="135"/>
      <c r="S66" s="135"/>
      <c r="T66" s="135"/>
      <c r="U66" s="135"/>
      <c r="V66" s="135"/>
      <c r="W66" s="135"/>
      <c r="X66" s="135"/>
      <c r="Y66" s="135"/>
      <c r="Z66" s="135"/>
      <c r="AB66" s="37"/>
      <c r="AC66" s="35"/>
    </row>
    <row r="67" spans="1:29" s="2" customFormat="1" ht="12">
      <c r="A67" s="322">
        <v>9.9000000000000005E-2</v>
      </c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2"/>
      <c r="P67" s="322"/>
      <c r="Q67" s="322"/>
      <c r="R67" s="322"/>
      <c r="S67" s="322"/>
      <c r="T67" s="322"/>
      <c r="U67" s="322"/>
      <c r="V67" s="322"/>
      <c r="W67" s="322"/>
      <c r="X67" s="322"/>
      <c r="Y67" s="322"/>
      <c r="Z67" s="322"/>
      <c r="AB67" s="37"/>
      <c r="AC67" s="35"/>
    </row>
    <row r="68" spans="1:29" s="2" customFormat="1" ht="12">
      <c r="A68" s="136"/>
      <c r="B68" s="137" t="s">
        <v>76</v>
      </c>
      <c r="C68" s="137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B68" s="37"/>
    </row>
    <row r="69" spans="1:29" s="2" customFormat="1" ht="12">
      <c r="A69" s="323" t="s">
        <v>77</v>
      </c>
      <c r="B69" s="323"/>
      <c r="C69" s="323"/>
      <c r="D69" s="323"/>
      <c r="E69" s="323"/>
      <c r="F69" s="323"/>
      <c r="G69" s="323"/>
      <c r="H69" s="323"/>
      <c r="I69" s="323"/>
      <c r="J69" s="323"/>
      <c r="K69" s="323"/>
      <c r="L69" s="323"/>
      <c r="M69" s="323"/>
      <c r="N69" s="323"/>
      <c r="O69" s="323"/>
      <c r="P69" s="323"/>
      <c r="Q69" s="323"/>
      <c r="R69" s="323"/>
      <c r="S69" s="323"/>
      <c r="T69" s="323"/>
      <c r="U69" s="323"/>
      <c r="V69" s="323"/>
      <c r="W69" s="323"/>
      <c r="X69" s="323"/>
      <c r="Y69" s="323"/>
      <c r="Z69" s="137"/>
      <c r="AB69" s="37"/>
    </row>
    <row r="70" spans="1:29" s="2" customFormat="1" ht="12" customHeight="1">
      <c r="A70" s="341" t="s">
        <v>78</v>
      </c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341"/>
      <c r="Q70" s="341"/>
      <c r="R70" s="341"/>
      <c r="S70" s="341"/>
      <c r="T70" s="341"/>
      <c r="U70" s="341"/>
      <c r="V70" s="341"/>
      <c r="W70" s="341"/>
      <c r="X70" s="341"/>
      <c r="Y70" s="341"/>
      <c r="Z70" s="137"/>
      <c r="AB70" s="37"/>
    </row>
    <row r="71" spans="1:29" s="2" customFormat="1" ht="12" customHeight="1">
      <c r="A71" s="344" t="s">
        <v>79</v>
      </c>
      <c r="B71" s="345"/>
      <c r="C71" s="345"/>
      <c r="D71" s="345"/>
      <c r="E71" s="345"/>
      <c r="F71" s="345"/>
      <c r="G71" s="345"/>
      <c r="H71" s="345"/>
      <c r="I71" s="345"/>
      <c r="J71" s="345"/>
      <c r="K71" s="345"/>
      <c r="L71" s="345"/>
      <c r="M71" s="345"/>
      <c r="N71" s="345"/>
      <c r="O71" s="345"/>
      <c r="P71" s="345"/>
      <c r="Q71" s="345"/>
      <c r="R71" s="345"/>
      <c r="S71" s="345"/>
      <c r="T71" s="345"/>
      <c r="U71" s="345"/>
      <c r="V71" s="345"/>
      <c r="W71" s="345"/>
      <c r="X71" s="345"/>
      <c r="Y71" s="345"/>
      <c r="Z71" s="137"/>
      <c r="AB71" s="37"/>
    </row>
    <row r="72" spans="1:29" s="2" customFormat="1" ht="12">
      <c r="A72" s="136"/>
      <c r="B72" s="137" t="s">
        <v>76</v>
      </c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7"/>
      <c r="AB72" s="37"/>
    </row>
    <row r="73" spans="1:29" s="2" customFormat="1" ht="12">
      <c r="A73" s="323" t="s">
        <v>125</v>
      </c>
      <c r="B73" s="323"/>
      <c r="C73" s="323"/>
      <c r="D73" s="323"/>
      <c r="E73" s="323"/>
      <c r="F73" s="323"/>
      <c r="G73" s="323"/>
      <c r="H73" s="323"/>
      <c r="I73" s="323"/>
      <c r="J73" s="323"/>
      <c r="K73" s="323"/>
      <c r="L73" s="323"/>
      <c r="M73" s="323"/>
      <c r="N73" s="323"/>
      <c r="O73" s="323"/>
      <c r="P73" s="323"/>
      <c r="Q73" s="323"/>
      <c r="R73" s="323"/>
      <c r="S73" s="323"/>
      <c r="T73" s="323"/>
      <c r="U73" s="323"/>
      <c r="V73" s="323"/>
      <c r="W73" s="323"/>
      <c r="X73" s="323"/>
      <c r="Y73" s="323"/>
      <c r="Z73" s="137"/>
      <c r="AB73" s="37"/>
    </row>
    <row r="74" spans="1:29" s="2" customFormat="1" ht="12">
      <c r="A74" s="138"/>
      <c r="B74" s="138"/>
      <c r="C74" s="138"/>
      <c r="D74" s="138"/>
      <c r="E74" s="138"/>
      <c r="F74" s="138"/>
      <c r="G74" s="138"/>
      <c r="H74" s="138"/>
      <c r="I74" s="138"/>
      <c r="J74" s="138"/>
      <c r="K74" s="138"/>
      <c r="L74" s="138"/>
      <c r="M74" s="138"/>
      <c r="N74" s="138"/>
      <c r="O74" s="138"/>
      <c r="P74" s="138"/>
      <c r="Q74" s="138"/>
      <c r="R74" s="138"/>
      <c r="S74" s="138"/>
      <c r="T74" s="138"/>
      <c r="U74" s="138"/>
      <c r="V74" s="138"/>
      <c r="W74" s="138"/>
      <c r="X74" s="138"/>
      <c r="Y74" s="138"/>
      <c r="Z74" s="137"/>
      <c r="AB74" s="37"/>
    </row>
    <row r="75" spans="1:29" s="2" customFormat="1" ht="12">
      <c r="A75" s="139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1"/>
      <c r="Y75" s="141"/>
      <c r="Z75" s="142"/>
      <c r="AB75" s="37"/>
    </row>
    <row r="76" spans="1:29" s="2" customFormat="1" ht="12">
      <c r="A76" s="298" t="s">
        <v>80</v>
      </c>
      <c r="B76" s="342"/>
      <c r="C76" s="342"/>
      <c r="D76" s="342"/>
      <c r="E76" s="342"/>
      <c r="F76" s="342"/>
      <c r="G76" s="342"/>
      <c r="H76" s="342"/>
      <c r="I76" s="342"/>
      <c r="J76" s="342"/>
      <c r="K76" s="342"/>
      <c r="L76" s="342"/>
      <c r="M76" s="342"/>
      <c r="N76" s="342"/>
      <c r="O76" s="342"/>
      <c r="P76" s="342"/>
      <c r="Q76" s="342"/>
      <c r="R76" s="143"/>
      <c r="S76" s="143"/>
      <c r="T76" s="143"/>
      <c r="U76" s="143"/>
      <c r="V76" s="143"/>
      <c r="W76" s="143"/>
      <c r="X76" s="143"/>
      <c r="Y76" s="143"/>
      <c r="Z76" s="144"/>
      <c r="AB76" s="37"/>
    </row>
    <row r="77" spans="1:29" s="2" customFormat="1">
      <c r="A77" s="294" t="s">
        <v>81</v>
      </c>
      <c r="B77" s="295"/>
      <c r="C77" s="295"/>
      <c r="D77" s="295"/>
      <c r="E77" s="295"/>
      <c r="F77" s="295"/>
      <c r="G77" s="295"/>
      <c r="H77" s="295"/>
      <c r="I77" s="295"/>
      <c r="J77" s="295"/>
      <c r="K77" s="295"/>
      <c r="L77" s="295"/>
      <c r="M77" s="295"/>
      <c r="N77" s="295"/>
      <c r="O77" s="295"/>
      <c r="P77" s="295"/>
      <c r="Q77" s="295"/>
      <c r="R77" s="295"/>
      <c r="S77" s="295"/>
      <c r="T77" s="295"/>
      <c r="U77" s="295"/>
      <c r="V77" s="343"/>
      <c r="W77" s="343"/>
      <c r="X77" s="343"/>
      <c r="Y77" s="343"/>
      <c r="Z77" s="145"/>
      <c r="AB77" s="37"/>
    </row>
    <row r="78" spans="1:29" s="2" customFormat="1">
      <c r="A78" s="294" t="s">
        <v>82</v>
      </c>
      <c r="B78" s="295"/>
      <c r="C78" s="295"/>
      <c r="D78" s="295"/>
      <c r="E78" s="295"/>
      <c r="F78" s="295"/>
      <c r="G78" s="295"/>
      <c r="H78" s="295"/>
      <c r="I78" s="295"/>
      <c r="J78" s="295"/>
      <c r="K78" s="295"/>
      <c r="L78" s="295"/>
      <c r="M78" s="295"/>
      <c r="N78" s="295"/>
      <c r="O78" s="295"/>
      <c r="P78" s="295"/>
      <c r="Q78" s="295"/>
      <c r="R78" s="295"/>
      <c r="S78" s="295"/>
      <c r="T78" s="295"/>
      <c r="U78" s="295"/>
      <c r="V78" s="343"/>
      <c r="W78" s="343"/>
      <c r="X78" s="343"/>
      <c r="Y78" s="343"/>
      <c r="Z78" s="145"/>
      <c r="AB78" s="37"/>
    </row>
    <row r="79" spans="1:29" s="2" customFormat="1">
      <c r="A79" s="294" t="s">
        <v>83</v>
      </c>
      <c r="B79" s="295"/>
      <c r="C79" s="295"/>
      <c r="D79" s="295"/>
      <c r="E79" s="295"/>
      <c r="F79" s="295"/>
      <c r="G79" s="295"/>
      <c r="H79" s="295"/>
      <c r="I79" s="295"/>
      <c r="J79" s="295"/>
      <c r="K79" s="295"/>
      <c r="L79" s="295"/>
      <c r="M79" s="295"/>
      <c r="N79" s="295"/>
      <c r="O79" s="295"/>
      <c r="P79" s="295"/>
      <c r="Q79" s="295"/>
      <c r="R79" s="295"/>
      <c r="S79" s="295"/>
      <c r="T79" s="295"/>
      <c r="U79" s="295"/>
      <c r="V79" s="343"/>
      <c r="W79" s="343"/>
      <c r="X79" s="343"/>
      <c r="Y79" s="343"/>
      <c r="Z79" s="145"/>
      <c r="AB79" s="37"/>
    </row>
    <row r="80" spans="1:29" s="2" customFormat="1" ht="11.25">
      <c r="A80" s="319"/>
      <c r="B80" s="320"/>
      <c r="C80" s="320"/>
      <c r="D80" s="320"/>
      <c r="E80" s="320"/>
      <c r="F80" s="320"/>
      <c r="G80" s="320"/>
      <c r="H80" s="320"/>
      <c r="I80" s="320"/>
      <c r="J80" s="320"/>
      <c r="K80" s="320"/>
      <c r="L80" s="320"/>
      <c r="M80" s="320"/>
      <c r="N80" s="320"/>
      <c r="O80" s="320"/>
      <c r="P80" s="320"/>
      <c r="Q80" s="320"/>
      <c r="R80" s="146"/>
      <c r="S80" s="146"/>
      <c r="T80" s="146"/>
      <c r="U80" s="146"/>
      <c r="V80" s="146"/>
      <c r="W80" s="146"/>
      <c r="X80" s="146"/>
      <c r="Y80" s="146"/>
      <c r="Z80" s="145"/>
      <c r="AB80" s="37"/>
    </row>
    <row r="81" spans="1:28" s="2" customFormat="1" ht="12">
      <c r="A81" s="298" t="s">
        <v>84</v>
      </c>
      <c r="B81" s="299"/>
      <c r="C81" s="299"/>
      <c r="D81" s="299"/>
      <c r="E81" s="299"/>
      <c r="F81" s="299"/>
      <c r="G81" s="299"/>
      <c r="H81" s="299"/>
      <c r="I81" s="299"/>
      <c r="J81" s="299"/>
      <c r="K81" s="299"/>
      <c r="L81" s="299"/>
      <c r="M81" s="299"/>
      <c r="N81" s="299"/>
      <c r="O81" s="299"/>
      <c r="P81" s="299"/>
      <c r="Q81" s="299"/>
      <c r="R81" s="299"/>
      <c r="S81" s="299"/>
      <c r="T81" s="299"/>
      <c r="U81" s="299"/>
      <c r="V81" s="299"/>
      <c r="W81" s="299"/>
      <c r="X81" s="299"/>
      <c r="Y81" s="146"/>
      <c r="Z81" s="145"/>
      <c r="AB81" s="37"/>
    </row>
    <row r="82" spans="1:28" s="2" customFormat="1">
      <c r="A82" s="300" t="s">
        <v>85</v>
      </c>
      <c r="B82" s="301"/>
      <c r="C82" s="301"/>
      <c r="D82" s="301"/>
      <c r="E82" s="301"/>
      <c r="F82" s="301"/>
      <c r="G82" s="301"/>
      <c r="H82" s="301"/>
      <c r="I82" s="301"/>
      <c r="J82" s="301"/>
      <c r="K82" s="301"/>
      <c r="L82" s="301"/>
      <c r="M82" s="301"/>
      <c r="N82" s="301"/>
      <c r="O82" s="301"/>
      <c r="P82" s="301"/>
      <c r="Q82" s="301"/>
      <c r="R82" s="301"/>
      <c r="S82" s="301"/>
      <c r="T82" s="301"/>
      <c r="U82" s="301"/>
      <c r="V82" s="321"/>
      <c r="W82" s="321"/>
      <c r="X82" s="321"/>
      <c r="Y82" s="146"/>
      <c r="Z82" s="145"/>
      <c r="AB82" s="37"/>
    </row>
    <row r="83" spans="1:28" s="2" customFormat="1" ht="11.25">
      <c r="A83" s="147"/>
      <c r="B83" s="146"/>
      <c r="C83" s="146"/>
      <c r="D83" s="146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5"/>
      <c r="AB83" s="37"/>
    </row>
    <row r="84" spans="1:28" s="2" customFormat="1" ht="12">
      <c r="A84" s="298" t="s">
        <v>86</v>
      </c>
      <c r="B84" s="299"/>
      <c r="C84" s="299"/>
      <c r="D84" s="299"/>
      <c r="E84" s="299"/>
      <c r="F84" s="299"/>
      <c r="G84" s="299"/>
      <c r="H84" s="299"/>
      <c r="I84" s="299"/>
      <c r="J84" s="299"/>
      <c r="K84" s="299"/>
      <c r="L84" s="299"/>
      <c r="M84" s="299"/>
      <c r="N84" s="299"/>
      <c r="O84" s="299"/>
      <c r="P84" s="299"/>
      <c r="Q84" s="299"/>
      <c r="R84" s="146"/>
      <c r="S84" s="146"/>
      <c r="T84" s="146"/>
      <c r="U84" s="146"/>
      <c r="V84" s="146"/>
      <c r="W84" s="146"/>
      <c r="X84" s="146"/>
      <c r="Y84" s="146"/>
      <c r="Z84" s="145"/>
      <c r="AB84" s="37"/>
    </row>
    <row r="85" spans="1:28" s="2" customFormat="1">
      <c r="A85" s="294" t="s">
        <v>87</v>
      </c>
      <c r="B85" s="295"/>
      <c r="C85" s="295"/>
      <c r="D85" s="295"/>
      <c r="E85" s="295"/>
      <c r="F85" s="295"/>
      <c r="G85" s="295"/>
      <c r="H85" s="295"/>
      <c r="I85" s="295"/>
      <c r="J85" s="295"/>
      <c r="K85" s="295"/>
      <c r="L85" s="295"/>
      <c r="M85" s="295"/>
      <c r="N85" s="295"/>
      <c r="O85" s="295"/>
      <c r="P85" s="295"/>
      <c r="Q85" s="295"/>
      <c r="R85" s="295"/>
      <c r="S85" s="295"/>
      <c r="T85" s="295"/>
      <c r="U85" s="295"/>
      <c r="V85" s="343"/>
      <c r="W85" s="146"/>
      <c r="X85" s="146"/>
      <c r="Y85" s="146"/>
      <c r="Z85" s="145"/>
      <c r="AB85" s="37"/>
    </row>
    <row r="86" spans="1:28" s="2" customFormat="1">
      <c r="A86" s="300" t="s">
        <v>89</v>
      </c>
      <c r="B86" s="321"/>
      <c r="C86" s="321"/>
      <c r="D86" s="321"/>
      <c r="E86" s="321"/>
      <c r="F86" s="321"/>
      <c r="G86" s="321"/>
      <c r="H86" s="321"/>
      <c r="I86" s="321"/>
      <c r="J86" s="321"/>
      <c r="K86" s="321"/>
      <c r="L86" s="321"/>
      <c r="M86" s="321"/>
      <c r="N86" s="321"/>
      <c r="O86" s="321"/>
      <c r="P86" s="321"/>
      <c r="Q86" s="321"/>
      <c r="R86" s="321"/>
      <c r="S86" s="321"/>
      <c r="T86" s="321"/>
      <c r="U86" s="321"/>
      <c r="V86" s="321"/>
      <c r="W86" s="321"/>
      <c r="X86" s="321"/>
      <c r="Y86" s="321"/>
      <c r="Z86" s="145"/>
      <c r="AB86" s="37"/>
    </row>
    <row r="87" spans="1:28" s="2" customFormat="1" ht="11.25">
      <c r="A87" s="150"/>
      <c r="B87" s="146"/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5"/>
      <c r="AB87" s="37"/>
    </row>
    <row r="88" spans="1:28" s="2" customFormat="1" ht="12">
      <c r="A88" s="298" t="s">
        <v>90</v>
      </c>
      <c r="B88" s="299"/>
      <c r="C88" s="299"/>
      <c r="D88" s="299"/>
      <c r="E88" s="299"/>
      <c r="F88" s="299"/>
      <c r="G88" s="299"/>
      <c r="H88" s="299"/>
      <c r="I88" s="299"/>
      <c r="J88" s="299"/>
      <c r="K88" s="299"/>
      <c r="L88" s="299"/>
      <c r="M88" s="299"/>
      <c r="N88" s="299"/>
      <c r="O88" s="299"/>
      <c r="P88" s="299"/>
      <c r="Q88" s="299"/>
      <c r="R88" s="299"/>
      <c r="S88" s="299"/>
      <c r="T88" s="299"/>
      <c r="U88" s="299"/>
      <c r="V88" s="299"/>
      <c r="W88" s="146"/>
      <c r="X88" s="146"/>
      <c r="Y88" s="146"/>
      <c r="Z88" s="145"/>
      <c r="AB88" s="37"/>
    </row>
    <row r="89" spans="1:28" s="2" customFormat="1" ht="11.25">
      <c r="A89" s="300" t="s">
        <v>91</v>
      </c>
      <c r="B89" s="301"/>
      <c r="C89" s="301"/>
      <c r="D89" s="301"/>
      <c r="E89" s="301"/>
      <c r="F89" s="301"/>
      <c r="G89" s="301"/>
      <c r="H89" s="301"/>
      <c r="I89" s="301"/>
      <c r="J89" s="301"/>
      <c r="K89" s="301"/>
      <c r="L89" s="301"/>
      <c r="M89" s="301"/>
      <c r="N89" s="301"/>
      <c r="O89" s="301"/>
      <c r="P89" s="301"/>
      <c r="Q89" s="301"/>
      <c r="R89" s="301"/>
      <c r="S89" s="301"/>
      <c r="T89" s="301"/>
      <c r="U89" s="301"/>
      <c r="V89" s="301"/>
      <c r="W89" s="301"/>
      <c r="X89" s="301"/>
      <c r="Y89" s="301"/>
      <c r="Z89" s="145"/>
      <c r="AB89" s="37"/>
    </row>
    <row r="90" spans="1:28" s="2" customFormat="1" ht="11.25">
      <c r="A90" s="294" t="s">
        <v>88</v>
      </c>
      <c r="B90" s="295"/>
      <c r="C90" s="295"/>
      <c r="D90" s="295"/>
      <c r="E90" s="295"/>
      <c r="F90" s="295"/>
      <c r="G90" s="295"/>
      <c r="H90" s="295"/>
      <c r="I90" s="295"/>
      <c r="J90" s="295"/>
      <c r="K90" s="295"/>
      <c r="L90" s="295"/>
      <c r="M90" s="295"/>
      <c r="N90" s="295"/>
      <c r="O90" s="295"/>
      <c r="P90" s="295"/>
      <c r="Q90" s="295"/>
      <c r="R90" s="295"/>
      <c r="S90" s="295"/>
      <c r="T90" s="295"/>
      <c r="U90" s="295"/>
      <c r="V90" s="295"/>
      <c r="W90" s="295"/>
      <c r="X90" s="295"/>
      <c r="Y90" s="295"/>
      <c r="Z90" s="145"/>
      <c r="AB90" s="37"/>
    </row>
    <row r="91" spans="1:28" s="2" customFormat="1" ht="11.25">
      <c r="A91" s="296"/>
      <c r="B91" s="297"/>
      <c r="C91" s="297"/>
      <c r="D91" s="297"/>
      <c r="E91" s="297"/>
      <c r="F91" s="297"/>
      <c r="G91" s="297"/>
      <c r="H91" s="297"/>
      <c r="I91" s="297"/>
      <c r="J91" s="297"/>
      <c r="K91" s="297"/>
      <c r="L91" s="297"/>
      <c r="M91" s="297"/>
      <c r="N91" s="297"/>
      <c r="O91" s="297"/>
      <c r="P91" s="297"/>
      <c r="Q91" s="297"/>
      <c r="R91" s="148"/>
      <c r="S91" s="148"/>
      <c r="T91" s="148"/>
      <c r="U91" s="148"/>
      <c r="V91" s="148"/>
      <c r="W91" s="148"/>
      <c r="X91" s="148"/>
      <c r="Y91" s="148"/>
      <c r="Z91" s="149"/>
      <c r="AB91" s="37"/>
    </row>
    <row r="92" spans="1:28" s="2" customFormat="1" ht="11.25">
      <c r="C92" s="5"/>
      <c r="D92" s="5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AB92" s="37"/>
    </row>
    <row r="93" spans="1:28" s="2" customFormat="1" ht="11.25">
      <c r="C93" s="5"/>
      <c r="D93" s="5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AB93" s="37"/>
    </row>
    <row r="94" spans="1:28" s="2" customFormat="1" ht="11.25">
      <c r="C94" s="5"/>
      <c r="D94" s="5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AB94" s="37"/>
    </row>
    <row r="95" spans="1:28" s="2" customFormat="1" ht="11.25">
      <c r="C95" s="5"/>
      <c r="D95" s="5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AB95" s="37"/>
    </row>
    <row r="96" spans="1:28" s="2" customFormat="1" ht="11.25">
      <c r="C96" s="5"/>
      <c r="D96" s="5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AB96" s="37"/>
    </row>
    <row r="97" spans="2:28" s="2" customFormat="1" ht="11.25">
      <c r="C97" s="5"/>
      <c r="D97" s="5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AB97" s="37"/>
    </row>
    <row r="98" spans="2:28" s="2" customFormat="1" ht="11.25">
      <c r="C98" s="5"/>
      <c r="D98" s="5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AB98" s="37"/>
    </row>
    <row r="99" spans="2:28" s="2" customFormat="1" ht="11.25">
      <c r="C99" s="5"/>
      <c r="D99" s="5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AB99" s="37"/>
    </row>
    <row r="100" spans="2:28" s="2" customFormat="1" ht="11.25">
      <c r="C100" s="5"/>
      <c r="D100" s="5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AB100" s="37"/>
    </row>
    <row r="101" spans="2:28" s="2" customFormat="1" ht="11.25">
      <c r="C101" s="5"/>
      <c r="D101" s="5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AB101" s="37"/>
    </row>
    <row r="102" spans="2:28" s="2" customFormat="1" ht="11.25">
      <c r="C102" s="5"/>
      <c r="D102" s="5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AB102" s="37"/>
    </row>
    <row r="103" spans="2:28" s="2" customFormat="1" ht="11.25">
      <c r="C103" s="5"/>
      <c r="D103" s="5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AB103" s="37"/>
    </row>
    <row r="104" spans="2:28" s="2" customFormat="1" ht="11.25">
      <c r="C104" s="5"/>
      <c r="D104" s="5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AB104" s="37"/>
    </row>
    <row r="105" spans="2:28" s="2" customFormat="1" ht="11.25">
      <c r="C105" s="5"/>
      <c r="D105" s="5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AB105" s="37"/>
    </row>
    <row r="106" spans="2:28" s="2" customFormat="1" ht="11.25">
      <c r="C106" s="5"/>
      <c r="D106" s="5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AB106" s="37"/>
    </row>
    <row r="107" spans="2:28" s="2" customFormat="1" ht="11.25">
      <c r="C107" s="5"/>
      <c r="D107" s="5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AB107" s="37"/>
    </row>
    <row r="108" spans="2:28" s="2" customFormat="1" ht="11.25">
      <c r="C108" s="5"/>
      <c r="D108" s="5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AB108" s="37"/>
    </row>
    <row r="109" spans="2:28" s="2" customFormat="1" ht="11.25">
      <c r="C109" s="5"/>
      <c r="D109" s="5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AB109" s="37"/>
    </row>
    <row r="110" spans="2:28" s="2" customFormat="1" ht="11.25">
      <c r="C110" s="5"/>
      <c r="D110" s="5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AB110" s="37"/>
    </row>
    <row r="111" spans="2:28" s="2" customFormat="1" ht="11.25">
      <c r="C111" s="5"/>
      <c r="D111" s="5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AB111" s="37"/>
    </row>
    <row r="112" spans="2:28">
      <c r="B112" s="2"/>
      <c r="C112" s="5"/>
      <c r="D112" s="5"/>
      <c r="E112" s="2"/>
      <c r="F112" s="2"/>
      <c r="G112" s="2"/>
      <c r="H112" s="2"/>
      <c r="I112" s="2"/>
      <c r="J112" s="2"/>
      <c r="K112" s="2"/>
      <c r="L112" s="2"/>
      <c r="M112" s="2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2"/>
    </row>
  </sheetData>
  <sheetProtection algorithmName="SHA-512" hashValue="CTR+X3wr4zxR3demosHlrZFN84YP8T1KnF4kbh3SEAHcILt1opiPibU0PjO1N3WXRfDOjmff7Z4G8UgyfpfTtw==" saltValue="HTjg/0KLXRoOfQ3m8c74fQ==" spinCount="100000" sheet="1" objects="1" scenarios="1"/>
  <mergeCells count="45">
    <mergeCell ref="B1:Y2"/>
    <mergeCell ref="B6:Q6"/>
    <mergeCell ref="B7:F12"/>
    <mergeCell ref="G7:I14"/>
    <mergeCell ref="J7:Q7"/>
    <mergeCell ref="R7:Y7"/>
    <mergeCell ref="J8:M10"/>
    <mergeCell ref="N8:Q10"/>
    <mergeCell ref="R8:U10"/>
    <mergeCell ref="N11:Q12"/>
    <mergeCell ref="T13:U14"/>
    <mergeCell ref="B3:X4"/>
    <mergeCell ref="V11:Y12"/>
    <mergeCell ref="C13:D14"/>
    <mergeCell ref="E13:F14"/>
    <mergeCell ref="J13:K14"/>
    <mergeCell ref="B13:B14"/>
    <mergeCell ref="P13:Q14"/>
    <mergeCell ref="A70:Y70"/>
    <mergeCell ref="A88:V88"/>
    <mergeCell ref="A76:Q76"/>
    <mergeCell ref="A79:Y79"/>
    <mergeCell ref="A78:Y78"/>
    <mergeCell ref="A77:Y77"/>
    <mergeCell ref="A73:Y73"/>
    <mergeCell ref="A71:Y71"/>
    <mergeCell ref="A84:Q84"/>
    <mergeCell ref="A85:V85"/>
    <mergeCell ref="A86:Y86"/>
    <mergeCell ref="A90:Y90"/>
    <mergeCell ref="A91:Q91"/>
    <mergeCell ref="A81:X81"/>
    <mergeCell ref="A89:Y89"/>
    <mergeCell ref="V8:Y10"/>
    <mergeCell ref="J11:M12"/>
    <mergeCell ref="R11:U12"/>
    <mergeCell ref="A80:Q80"/>
    <mergeCell ref="A82:X82"/>
    <mergeCell ref="A67:Z67"/>
    <mergeCell ref="A69:Y69"/>
    <mergeCell ref="N13:O14"/>
    <mergeCell ref="V13:W14"/>
    <mergeCell ref="R13:S14"/>
    <mergeCell ref="L13:M14"/>
    <mergeCell ref="X13:Y14"/>
  </mergeCells>
  <phoneticPr fontId="6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M261"/>
  <sheetViews>
    <sheetView workbookViewId="0">
      <selection activeCell="Q250" sqref="Q250"/>
    </sheetView>
  </sheetViews>
  <sheetFormatPr defaultRowHeight="13.5"/>
  <cols>
    <col min="1" max="1" width="6" style="249" customWidth="1"/>
    <col min="2" max="3" width="10.375" style="249" customWidth="1"/>
    <col min="4" max="10" width="9.25" style="249" customWidth="1"/>
    <col min="11" max="11" width="9.625" style="249" customWidth="1"/>
    <col min="12" max="12" width="13.375" style="249" customWidth="1"/>
    <col min="13" max="254" width="9" style="249"/>
    <col min="255" max="255" width="6" style="249" customWidth="1"/>
    <col min="256" max="257" width="10.375" style="249" customWidth="1"/>
    <col min="258" max="264" width="9.25" style="249" customWidth="1"/>
    <col min="265" max="265" width="9.625" style="249" customWidth="1"/>
    <col min="266" max="266" width="13.375" style="249" customWidth="1"/>
    <col min="267" max="510" width="9" style="249"/>
    <col min="511" max="511" width="6" style="249" customWidth="1"/>
    <col min="512" max="513" width="10.375" style="249" customWidth="1"/>
    <col min="514" max="520" width="9.25" style="249" customWidth="1"/>
    <col min="521" max="521" width="9.625" style="249" customWidth="1"/>
    <col min="522" max="522" width="13.375" style="249" customWidth="1"/>
    <col min="523" max="766" width="9" style="249"/>
    <col min="767" max="767" width="6" style="249" customWidth="1"/>
    <col min="768" max="769" width="10.375" style="249" customWidth="1"/>
    <col min="770" max="776" width="9.25" style="249" customWidth="1"/>
    <col min="777" max="777" width="9.625" style="249" customWidth="1"/>
    <col min="778" max="778" width="13.375" style="249" customWidth="1"/>
    <col min="779" max="1022" width="9" style="249"/>
    <col min="1023" max="1023" width="6" style="249" customWidth="1"/>
    <col min="1024" max="1025" width="10.375" style="249" customWidth="1"/>
    <col min="1026" max="1032" width="9.25" style="249" customWidth="1"/>
    <col min="1033" max="1033" width="9.625" style="249" customWidth="1"/>
    <col min="1034" max="1034" width="13.375" style="249" customWidth="1"/>
    <col min="1035" max="1278" width="9" style="249"/>
    <col min="1279" max="1279" width="6" style="249" customWidth="1"/>
    <col min="1280" max="1281" width="10.375" style="249" customWidth="1"/>
    <col min="1282" max="1288" width="9.25" style="249" customWidth="1"/>
    <col min="1289" max="1289" width="9.625" style="249" customWidth="1"/>
    <col min="1290" max="1290" width="13.375" style="249" customWidth="1"/>
    <col min="1291" max="1534" width="9" style="249"/>
    <col min="1535" max="1535" width="6" style="249" customWidth="1"/>
    <col min="1536" max="1537" width="10.375" style="249" customWidth="1"/>
    <col min="1538" max="1544" width="9.25" style="249" customWidth="1"/>
    <col min="1545" max="1545" width="9.625" style="249" customWidth="1"/>
    <col min="1546" max="1546" width="13.375" style="249" customWidth="1"/>
    <col min="1547" max="1790" width="9" style="249"/>
    <col min="1791" max="1791" width="6" style="249" customWidth="1"/>
    <col min="1792" max="1793" width="10.375" style="249" customWidth="1"/>
    <col min="1794" max="1800" width="9.25" style="249" customWidth="1"/>
    <col min="1801" max="1801" width="9.625" style="249" customWidth="1"/>
    <col min="1802" max="1802" width="13.375" style="249" customWidth="1"/>
    <col min="1803" max="2046" width="9" style="249"/>
    <col min="2047" max="2047" width="6" style="249" customWidth="1"/>
    <col min="2048" max="2049" width="10.375" style="249" customWidth="1"/>
    <col min="2050" max="2056" width="9.25" style="249" customWidth="1"/>
    <col min="2057" max="2057" width="9.625" style="249" customWidth="1"/>
    <col min="2058" max="2058" width="13.375" style="249" customWidth="1"/>
    <col min="2059" max="2302" width="9" style="249"/>
    <col min="2303" max="2303" width="6" style="249" customWidth="1"/>
    <col min="2304" max="2305" width="10.375" style="249" customWidth="1"/>
    <col min="2306" max="2312" width="9.25" style="249" customWidth="1"/>
    <col min="2313" max="2313" width="9.625" style="249" customWidth="1"/>
    <col min="2314" max="2314" width="13.375" style="249" customWidth="1"/>
    <col min="2315" max="2558" width="9" style="249"/>
    <col min="2559" max="2559" width="6" style="249" customWidth="1"/>
    <col min="2560" max="2561" width="10.375" style="249" customWidth="1"/>
    <col min="2562" max="2568" width="9.25" style="249" customWidth="1"/>
    <col min="2569" max="2569" width="9.625" style="249" customWidth="1"/>
    <col min="2570" max="2570" width="13.375" style="249" customWidth="1"/>
    <col min="2571" max="2814" width="9" style="249"/>
    <col min="2815" max="2815" width="6" style="249" customWidth="1"/>
    <col min="2816" max="2817" width="10.375" style="249" customWidth="1"/>
    <col min="2818" max="2824" width="9.25" style="249" customWidth="1"/>
    <col min="2825" max="2825" width="9.625" style="249" customWidth="1"/>
    <col min="2826" max="2826" width="13.375" style="249" customWidth="1"/>
    <col min="2827" max="3070" width="9" style="249"/>
    <col min="3071" max="3071" width="6" style="249" customWidth="1"/>
    <col min="3072" max="3073" width="10.375" style="249" customWidth="1"/>
    <col min="3074" max="3080" width="9.25" style="249" customWidth="1"/>
    <col min="3081" max="3081" width="9.625" style="249" customWidth="1"/>
    <col min="3082" max="3082" width="13.375" style="249" customWidth="1"/>
    <col min="3083" max="3326" width="9" style="249"/>
    <col min="3327" max="3327" width="6" style="249" customWidth="1"/>
    <col min="3328" max="3329" width="10.375" style="249" customWidth="1"/>
    <col min="3330" max="3336" width="9.25" style="249" customWidth="1"/>
    <col min="3337" max="3337" width="9.625" style="249" customWidth="1"/>
    <col min="3338" max="3338" width="13.375" style="249" customWidth="1"/>
    <col min="3339" max="3582" width="9" style="249"/>
    <col min="3583" max="3583" width="6" style="249" customWidth="1"/>
    <col min="3584" max="3585" width="10.375" style="249" customWidth="1"/>
    <col min="3586" max="3592" width="9.25" style="249" customWidth="1"/>
    <col min="3593" max="3593" width="9.625" style="249" customWidth="1"/>
    <col min="3594" max="3594" width="13.375" style="249" customWidth="1"/>
    <col min="3595" max="3838" width="9" style="249"/>
    <col min="3839" max="3839" width="6" style="249" customWidth="1"/>
    <col min="3840" max="3841" width="10.375" style="249" customWidth="1"/>
    <col min="3842" max="3848" width="9.25" style="249" customWidth="1"/>
    <col min="3849" max="3849" width="9.625" style="249" customWidth="1"/>
    <col min="3850" max="3850" width="13.375" style="249" customWidth="1"/>
    <col min="3851" max="4094" width="9" style="249"/>
    <col min="4095" max="4095" width="6" style="249" customWidth="1"/>
    <col min="4096" max="4097" width="10.375" style="249" customWidth="1"/>
    <col min="4098" max="4104" width="9.25" style="249" customWidth="1"/>
    <col min="4105" max="4105" width="9.625" style="249" customWidth="1"/>
    <col min="4106" max="4106" width="13.375" style="249" customWidth="1"/>
    <col min="4107" max="4350" width="9" style="249"/>
    <col min="4351" max="4351" width="6" style="249" customWidth="1"/>
    <col min="4352" max="4353" width="10.375" style="249" customWidth="1"/>
    <col min="4354" max="4360" width="9.25" style="249" customWidth="1"/>
    <col min="4361" max="4361" width="9.625" style="249" customWidth="1"/>
    <col min="4362" max="4362" width="13.375" style="249" customWidth="1"/>
    <col min="4363" max="4606" width="9" style="249"/>
    <col min="4607" max="4607" width="6" style="249" customWidth="1"/>
    <col min="4608" max="4609" width="10.375" style="249" customWidth="1"/>
    <col min="4610" max="4616" width="9.25" style="249" customWidth="1"/>
    <col min="4617" max="4617" width="9.625" style="249" customWidth="1"/>
    <col min="4618" max="4618" width="13.375" style="249" customWidth="1"/>
    <col min="4619" max="4862" width="9" style="249"/>
    <col min="4863" max="4863" width="6" style="249" customWidth="1"/>
    <col min="4864" max="4865" width="10.375" style="249" customWidth="1"/>
    <col min="4866" max="4872" width="9.25" style="249" customWidth="1"/>
    <col min="4873" max="4873" width="9.625" style="249" customWidth="1"/>
    <col min="4874" max="4874" width="13.375" style="249" customWidth="1"/>
    <col min="4875" max="5118" width="9" style="249"/>
    <col min="5119" max="5119" width="6" style="249" customWidth="1"/>
    <col min="5120" max="5121" width="10.375" style="249" customWidth="1"/>
    <col min="5122" max="5128" width="9.25" style="249" customWidth="1"/>
    <col min="5129" max="5129" width="9.625" style="249" customWidth="1"/>
    <col min="5130" max="5130" width="13.375" style="249" customWidth="1"/>
    <col min="5131" max="5374" width="9" style="249"/>
    <col min="5375" max="5375" width="6" style="249" customWidth="1"/>
    <col min="5376" max="5377" width="10.375" style="249" customWidth="1"/>
    <col min="5378" max="5384" width="9.25" style="249" customWidth="1"/>
    <col min="5385" max="5385" width="9.625" style="249" customWidth="1"/>
    <col min="5386" max="5386" width="13.375" style="249" customWidth="1"/>
    <col min="5387" max="5630" width="9" style="249"/>
    <col min="5631" max="5631" width="6" style="249" customWidth="1"/>
    <col min="5632" max="5633" width="10.375" style="249" customWidth="1"/>
    <col min="5634" max="5640" width="9.25" style="249" customWidth="1"/>
    <col min="5641" max="5641" width="9.625" style="249" customWidth="1"/>
    <col min="5642" max="5642" width="13.375" style="249" customWidth="1"/>
    <col min="5643" max="5886" width="9" style="249"/>
    <col min="5887" max="5887" width="6" style="249" customWidth="1"/>
    <col min="5888" max="5889" width="10.375" style="249" customWidth="1"/>
    <col min="5890" max="5896" width="9.25" style="249" customWidth="1"/>
    <col min="5897" max="5897" width="9.625" style="249" customWidth="1"/>
    <col min="5898" max="5898" width="13.375" style="249" customWidth="1"/>
    <col min="5899" max="6142" width="9" style="249"/>
    <col min="6143" max="6143" width="6" style="249" customWidth="1"/>
    <col min="6144" max="6145" width="10.375" style="249" customWidth="1"/>
    <col min="6146" max="6152" width="9.25" style="249" customWidth="1"/>
    <col min="6153" max="6153" width="9.625" style="249" customWidth="1"/>
    <col min="6154" max="6154" width="13.375" style="249" customWidth="1"/>
    <col min="6155" max="6398" width="9" style="249"/>
    <col min="6399" max="6399" width="6" style="249" customWidth="1"/>
    <col min="6400" max="6401" width="10.375" style="249" customWidth="1"/>
    <col min="6402" max="6408" width="9.25" style="249" customWidth="1"/>
    <col min="6409" max="6409" width="9.625" style="249" customWidth="1"/>
    <col min="6410" max="6410" width="13.375" style="249" customWidth="1"/>
    <col min="6411" max="6654" width="9" style="249"/>
    <col min="6655" max="6655" width="6" style="249" customWidth="1"/>
    <col min="6656" max="6657" width="10.375" style="249" customWidth="1"/>
    <col min="6658" max="6664" width="9.25" style="249" customWidth="1"/>
    <col min="6665" max="6665" width="9.625" style="249" customWidth="1"/>
    <col min="6666" max="6666" width="13.375" style="249" customWidth="1"/>
    <col min="6667" max="6910" width="9" style="249"/>
    <col min="6911" max="6911" width="6" style="249" customWidth="1"/>
    <col min="6912" max="6913" width="10.375" style="249" customWidth="1"/>
    <col min="6914" max="6920" width="9.25" style="249" customWidth="1"/>
    <col min="6921" max="6921" width="9.625" style="249" customWidth="1"/>
    <col min="6922" max="6922" width="13.375" style="249" customWidth="1"/>
    <col min="6923" max="7166" width="9" style="249"/>
    <col min="7167" max="7167" width="6" style="249" customWidth="1"/>
    <col min="7168" max="7169" width="10.375" style="249" customWidth="1"/>
    <col min="7170" max="7176" width="9.25" style="249" customWidth="1"/>
    <col min="7177" max="7177" width="9.625" style="249" customWidth="1"/>
    <col min="7178" max="7178" width="13.375" style="249" customWidth="1"/>
    <col min="7179" max="7422" width="9" style="249"/>
    <col min="7423" max="7423" width="6" style="249" customWidth="1"/>
    <col min="7424" max="7425" width="10.375" style="249" customWidth="1"/>
    <col min="7426" max="7432" width="9.25" style="249" customWidth="1"/>
    <col min="7433" max="7433" width="9.625" style="249" customWidth="1"/>
    <col min="7434" max="7434" width="13.375" style="249" customWidth="1"/>
    <col min="7435" max="7678" width="9" style="249"/>
    <col min="7679" max="7679" width="6" style="249" customWidth="1"/>
    <col min="7680" max="7681" width="10.375" style="249" customWidth="1"/>
    <col min="7682" max="7688" width="9.25" style="249" customWidth="1"/>
    <col min="7689" max="7689" width="9.625" style="249" customWidth="1"/>
    <col min="7690" max="7690" width="13.375" style="249" customWidth="1"/>
    <col min="7691" max="7934" width="9" style="249"/>
    <col min="7935" max="7935" width="6" style="249" customWidth="1"/>
    <col min="7936" max="7937" width="10.375" style="249" customWidth="1"/>
    <col min="7938" max="7944" width="9.25" style="249" customWidth="1"/>
    <col min="7945" max="7945" width="9.625" style="249" customWidth="1"/>
    <col min="7946" max="7946" width="13.375" style="249" customWidth="1"/>
    <col min="7947" max="8190" width="9" style="249"/>
    <col min="8191" max="8191" width="6" style="249" customWidth="1"/>
    <col min="8192" max="8193" width="10.375" style="249" customWidth="1"/>
    <col min="8194" max="8200" width="9.25" style="249" customWidth="1"/>
    <col min="8201" max="8201" width="9.625" style="249" customWidth="1"/>
    <col min="8202" max="8202" width="13.375" style="249" customWidth="1"/>
    <col min="8203" max="8446" width="9" style="249"/>
    <col min="8447" max="8447" width="6" style="249" customWidth="1"/>
    <col min="8448" max="8449" width="10.375" style="249" customWidth="1"/>
    <col min="8450" max="8456" width="9.25" style="249" customWidth="1"/>
    <col min="8457" max="8457" width="9.625" style="249" customWidth="1"/>
    <col min="8458" max="8458" width="13.375" style="249" customWidth="1"/>
    <col min="8459" max="8702" width="9" style="249"/>
    <col min="8703" max="8703" width="6" style="249" customWidth="1"/>
    <col min="8704" max="8705" width="10.375" style="249" customWidth="1"/>
    <col min="8706" max="8712" width="9.25" style="249" customWidth="1"/>
    <col min="8713" max="8713" width="9.625" style="249" customWidth="1"/>
    <col min="8714" max="8714" width="13.375" style="249" customWidth="1"/>
    <col min="8715" max="8958" width="9" style="249"/>
    <col min="8959" max="8959" width="6" style="249" customWidth="1"/>
    <col min="8960" max="8961" width="10.375" style="249" customWidth="1"/>
    <col min="8962" max="8968" width="9.25" style="249" customWidth="1"/>
    <col min="8969" max="8969" width="9.625" style="249" customWidth="1"/>
    <col min="8970" max="8970" width="13.375" style="249" customWidth="1"/>
    <col min="8971" max="9214" width="9" style="249"/>
    <col min="9215" max="9215" width="6" style="249" customWidth="1"/>
    <col min="9216" max="9217" width="10.375" style="249" customWidth="1"/>
    <col min="9218" max="9224" width="9.25" style="249" customWidth="1"/>
    <col min="9225" max="9225" width="9.625" style="249" customWidth="1"/>
    <col min="9226" max="9226" width="13.375" style="249" customWidth="1"/>
    <col min="9227" max="9470" width="9" style="249"/>
    <col min="9471" max="9471" width="6" style="249" customWidth="1"/>
    <col min="9472" max="9473" width="10.375" style="249" customWidth="1"/>
    <col min="9474" max="9480" width="9.25" style="249" customWidth="1"/>
    <col min="9481" max="9481" width="9.625" style="249" customWidth="1"/>
    <col min="9482" max="9482" width="13.375" style="249" customWidth="1"/>
    <col min="9483" max="9726" width="9" style="249"/>
    <col min="9727" max="9727" width="6" style="249" customWidth="1"/>
    <col min="9728" max="9729" width="10.375" style="249" customWidth="1"/>
    <col min="9730" max="9736" width="9.25" style="249" customWidth="1"/>
    <col min="9737" max="9737" width="9.625" style="249" customWidth="1"/>
    <col min="9738" max="9738" width="13.375" style="249" customWidth="1"/>
    <col min="9739" max="9982" width="9" style="249"/>
    <col min="9983" max="9983" width="6" style="249" customWidth="1"/>
    <col min="9984" max="9985" width="10.375" style="249" customWidth="1"/>
    <col min="9986" max="9992" width="9.25" style="249" customWidth="1"/>
    <col min="9993" max="9993" width="9.625" style="249" customWidth="1"/>
    <col min="9994" max="9994" width="13.375" style="249" customWidth="1"/>
    <col min="9995" max="10238" width="9" style="249"/>
    <col min="10239" max="10239" width="6" style="249" customWidth="1"/>
    <col min="10240" max="10241" width="10.375" style="249" customWidth="1"/>
    <col min="10242" max="10248" width="9.25" style="249" customWidth="1"/>
    <col min="10249" max="10249" width="9.625" style="249" customWidth="1"/>
    <col min="10250" max="10250" width="13.375" style="249" customWidth="1"/>
    <col min="10251" max="10494" width="9" style="249"/>
    <col min="10495" max="10495" width="6" style="249" customWidth="1"/>
    <col min="10496" max="10497" width="10.375" style="249" customWidth="1"/>
    <col min="10498" max="10504" width="9.25" style="249" customWidth="1"/>
    <col min="10505" max="10505" width="9.625" style="249" customWidth="1"/>
    <col min="10506" max="10506" width="13.375" style="249" customWidth="1"/>
    <col min="10507" max="10750" width="9" style="249"/>
    <col min="10751" max="10751" width="6" style="249" customWidth="1"/>
    <col min="10752" max="10753" width="10.375" style="249" customWidth="1"/>
    <col min="10754" max="10760" width="9.25" style="249" customWidth="1"/>
    <col min="10761" max="10761" width="9.625" style="249" customWidth="1"/>
    <col min="10762" max="10762" width="13.375" style="249" customWidth="1"/>
    <col min="10763" max="11006" width="9" style="249"/>
    <col min="11007" max="11007" width="6" style="249" customWidth="1"/>
    <col min="11008" max="11009" width="10.375" style="249" customWidth="1"/>
    <col min="11010" max="11016" width="9.25" style="249" customWidth="1"/>
    <col min="11017" max="11017" width="9.625" style="249" customWidth="1"/>
    <col min="11018" max="11018" width="13.375" style="249" customWidth="1"/>
    <col min="11019" max="11262" width="9" style="249"/>
    <col min="11263" max="11263" width="6" style="249" customWidth="1"/>
    <col min="11264" max="11265" width="10.375" style="249" customWidth="1"/>
    <col min="11266" max="11272" width="9.25" style="249" customWidth="1"/>
    <col min="11273" max="11273" width="9.625" style="249" customWidth="1"/>
    <col min="11274" max="11274" width="13.375" style="249" customWidth="1"/>
    <col min="11275" max="11518" width="9" style="249"/>
    <col min="11519" max="11519" width="6" style="249" customWidth="1"/>
    <col min="11520" max="11521" width="10.375" style="249" customWidth="1"/>
    <col min="11522" max="11528" width="9.25" style="249" customWidth="1"/>
    <col min="11529" max="11529" width="9.625" style="249" customWidth="1"/>
    <col min="11530" max="11530" width="13.375" style="249" customWidth="1"/>
    <col min="11531" max="11774" width="9" style="249"/>
    <col min="11775" max="11775" width="6" style="249" customWidth="1"/>
    <col min="11776" max="11777" width="10.375" style="249" customWidth="1"/>
    <col min="11778" max="11784" width="9.25" style="249" customWidth="1"/>
    <col min="11785" max="11785" width="9.625" style="249" customWidth="1"/>
    <col min="11786" max="11786" width="13.375" style="249" customWidth="1"/>
    <col min="11787" max="12030" width="9" style="249"/>
    <col min="12031" max="12031" width="6" style="249" customWidth="1"/>
    <col min="12032" max="12033" width="10.375" style="249" customWidth="1"/>
    <col min="12034" max="12040" width="9.25" style="249" customWidth="1"/>
    <col min="12041" max="12041" width="9.625" style="249" customWidth="1"/>
    <col min="12042" max="12042" width="13.375" style="249" customWidth="1"/>
    <col min="12043" max="12286" width="9" style="249"/>
    <col min="12287" max="12287" width="6" style="249" customWidth="1"/>
    <col min="12288" max="12289" width="10.375" style="249" customWidth="1"/>
    <col min="12290" max="12296" width="9.25" style="249" customWidth="1"/>
    <col min="12297" max="12297" width="9.625" style="249" customWidth="1"/>
    <col min="12298" max="12298" width="13.375" style="249" customWidth="1"/>
    <col min="12299" max="12542" width="9" style="249"/>
    <col min="12543" max="12543" width="6" style="249" customWidth="1"/>
    <col min="12544" max="12545" width="10.375" style="249" customWidth="1"/>
    <col min="12546" max="12552" width="9.25" style="249" customWidth="1"/>
    <col min="12553" max="12553" width="9.625" style="249" customWidth="1"/>
    <col min="12554" max="12554" width="13.375" style="249" customWidth="1"/>
    <col min="12555" max="12798" width="9" style="249"/>
    <col min="12799" max="12799" width="6" style="249" customWidth="1"/>
    <col min="12800" max="12801" width="10.375" style="249" customWidth="1"/>
    <col min="12802" max="12808" width="9.25" style="249" customWidth="1"/>
    <col min="12809" max="12809" width="9.625" style="249" customWidth="1"/>
    <col min="12810" max="12810" width="13.375" style="249" customWidth="1"/>
    <col min="12811" max="13054" width="9" style="249"/>
    <col min="13055" max="13055" width="6" style="249" customWidth="1"/>
    <col min="13056" max="13057" width="10.375" style="249" customWidth="1"/>
    <col min="13058" max="13064" width="9.25" style="249" customWidth="1"/>
    <col min="13065" max="13065" width="9.625" style="249" customWidth="1"/>
    <col min="13066" max="13066" width="13.375" style="249" customWidth="1"/>
    <col min="13067" max="13310" width="9" style="249"/>
    <col min="13311" max="13311" width="6" style="249" customWidth="1"/>
    <col min="13312" max="13313" width="10.375" style="249" customWidth="1"/>
    <col min="13314" max="13320" width="9.25" style="249" customWidth="1"/>
    <col min="13321" max="13321" width="9.625" style="249" customWidth="1"/>
    <col min="13322" max="13322" width="13.375" style="249" customWidth="1"/>
    <col min="13323" max="13566" width="9" style="249"/>
    <col min="13567" max="13567" width="6" style="249" customWidth="1"/>
    <col min="13568" max="13569" width="10.375" style="249" customWidth="1"/>
    <col min="13570" max="13576" width="9.25" style="249" customWidth="1"/>
    <col min="13577" max="13577" width="9.625" style="249" customWidth="1"/>
    <col min="13578" max="13578" width="13.375" style="249" customWidth="1"/>
    <col min="13579" max="13822" width="9" style="249"/>
    <col min="13823" max="13823" width="6" style="249" customWidth="1"/>
    <col min="13824" max="13825" width="10.375" style="249" customWidth="1"/>
    <col min="13826" max="13832" width="9.25" style="249" customWidth="1"/>
    <col min="13833" max="13833" width="9.625" style="249" customWidth="1"/>
    <col min="13834" max="13834" width="13.375" style="249" customWidth="1"/>
    <col min="13835" max="14078" width="9" style="249"/>
    <col min="14079" max="14079" width="6" style="249" customWidth="1"/>
    <col min="14080" max="14081" width="10.375" style="249" customWidth="1"/>
    <col min="14082" max="14088" width="9.25" style="249" customWidth="1"/>
    <col min="14089" max="14089" width="9.625" style="249" customWidth="1"/>
    <col min="14090" max="14090" width="13.375" style="249" customWidth="1"/>
    <col min="14091" max="14334" width="9" style="249"/>
    <col min="14335" max="14335" width="6" style="249" customWidth="1"/>
    <col min="14336" max="14337" width="10.375" style="249" customWidth="1"/>
    <col min="14338" max="14344" width="9.25" style="249" customWidth="1"/>
    <col min="14345" max="14345" width="9.625" style="249" customWidth="1"/>
    <col min="14346" max="14346" width="13.375" style="249" customWidth="1"/>
    <col min="14347" max="14590" width="9" style="249"/>
    <col min="14591" max="14591" width="6" style="249" customWidth="1"/>
    <col min="14592" max="14593" width="10.375" style="249" customWidth="1"/>
    <col min="14594" max="14600" width="9.25" style="249" customWidth="1"/>
    <col min="14601" max="14601" width="9.625" style="249" customWidth="1"/>
    <col min="14602" max="14602" width="13.375" style="249" customWidth="1"/>
    <col min="14603" max="14846" width="9" style="249"/>
    <col min="14847" max="14847" width="6" style="249" customWidth="1"/>
    <col min="14848" max="14849" width="10.375" style="249" customWidth="1"/>
    <col min="14850" max="14856" width="9.25" style="249" customWidth="1"/>
    <col min="14857" max="14857" width="9.625" style="249" customWidth="1"/>
    <col min="14858" max="14858" width="13.375" style="249" customWidth="1"/>
    <col min="14859" max="15102" width="9" style="249"/>
    <col min="15103" max="15103" width="6" style="249" customWidth="1"/>
    <col min="15104" max="15105" width="10.375" style="249" customWidth="1"/>
    <col min="15106" max="15112" width="9.25" style="249" customWidth="1"/>
    <col min="15113" max="15113" width="9.625" style="249" customWidth="1"/>
    <col min="15114" max="15114" width="13.375" style="249" customWidth="1"/>
    <col min="15115" max="15358" width="9" style="249"/>
    <col min="15359" max="15359" width="6" style="249" customWidth="1"/>
    <col min="15360" max="15361" width="10.375" style="249" customWidth="1"/>
    <col min="15362" max="15368" width="9.25" style="249" customWidth="1"/>
    <col min="15369" max="15369" width="9.625" style="249" customWidth="1"/>
    <col min="15370" max="15370" width="13.375" style="249" customWidth="1"/>
    <col min="15371" max="15614" width="9" style="249"/>
    <col min="15615" max="15615" width="6" style="249" customWidth="1"/>
    <col min="15616" max="15617" width="10.375" style="249" customWidth="1"/>
    <col min="15618" max="15624" width="9.25" style="249" customWidth="1"/>
    <col min="15625" max="15625" width="9.625" style="249" customWidth="1"/>
    <col min="15626" max="15626" width="13.375" style="249" customWidth="1"/>
    <col min="15627" max="15870" width="9" style="249"/>
    <col min="15871" max="15871" width="6" style="249" customWidth="1"/>
    <col min="15872" max="15873" width="10.375" style="249" customWidth="1"/>
    <col min="15874" max="15880" width="9.25" style="249" customWidth="1"/>
    <col min="15881" max="15881" width="9.625" style="249" customWidth="1"/>
    <col min="15882" max="15882" width="13.375" style="249" customWidth="1"/>
    <col min="15883" max="16126" width="9" style="249"/>
    <col min="16127" max="16127" width="6" style="249" customWidth="1"/>
    <col min="16128" max="16129" width="10.375" style="249" customWidth="1"/>
    <col min="16130" max="16136" width="9.25" style="249" customWidth="1"/>
    <col min="16137" max="16137" width="9.625" style="249" customWidth="1"/>
    <col min="16138" max="16138" width="13.375" style="249" customWidth="1"/>
    <col min="16139" max="16384" width="9" style="249"/>
  </cols>
  <sheetData>
    <row r="1" spans="1:13" ht="30" customHeight="1">
      <c r="B1" s="396" t="s">
        <v>126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250"/>
    </row>
    <row r="2" spans="1:13" ht="30" customHeight="1" thickBot="1">
      <c r="B2" s="397" t="s">
        <v>127</v>
      </c>
      <c r="C2" s="397"/>
      <c r="D2" s="397"/>
      <c r="E2" s="397"/>
      <c r="F2" s="397"/>
      <c r="G2" s="397"/>
      <c r="H2" s="397"/>
      <c r="I2" s="397"/>
      <c r="J2" s="397"/>
      <c r="K2" s="397"/>
      <c r="L2" s="397"/>
    </row>
    <row r="3" spans="1:13" s="251" customFormat="1" ht="22.5" customHeight="1">
      <c r="B3" s="252" t="s">
        <v>14</v>
      </c>
      <c r="C3" s="253"/>
      <c r="D3" s="254" t="s">
        <v>15</v>
      </c>
      <c r="E3" s="255"/>
      <c r="F3" s="255"/>
      <c r="G3" s="255"/>
      <c r="H3" s="255"/>
      <c r="I3" s="255"/>
      <c r="J3" s="255"/>
      <c r="K3" s="255"/>
      <c r="L3" s="256" t="s">
        <v>16</v>
      </c>
    </row>
    <row r="4" spans="1:13" s="251" customFormat="1" ht="22.5" customHeight="1">
      <c r="B4" s="257" t="s">
        <v>42</v>
      </c>
      <c r="C4" s="258"/>
      <c r="D4" s="259" t="s">
        <v>17</v>
      </c>
      <c r="E4" s="260"/>
      <c r="F4" s="260"/>
      <c r="G4" s="260"/>
      <c r="H4" s="260"/>
      <c r="I4" s="260"/>
      <c r="J4" s="260"/>
      <c r="K4" s="260"/>
      <c r="L4" s="261" t="s">
        <v>18</v>
      </c>
    </row>
    <row r="5" spans="1:13" s="251" customFormat="1" ht="22.5" customHeight="1">
      <c r="B5" s="262" t="s">
        <v>43</v>
      </c>
      <c r="C5" s="263"/>
      <c r="D5" s="264" t="s">
        <v>19</v>
      </c>
      <c r="E5" s="264" t="s">
        <v>20</v>
      </c>
      <c r="F5" s="264" t="s">
        <v>21</v>
      </c>
      <c r="G5" s="264" t="s">
        <v>22</v>
      </c>
      <c r="H5" s="264" t="s">
        <v>23</v>
      </c>
      <c r="I5" s="264" t="s">
        <v>24</v>
      </c>
      <c r="J5" s="264" t="s">
        <v>25</v>
      </c>
      <c r="K5" s="264" t="s">
        <v>26</v>
      </c>
      <c r="L5" s="265"/>
    </row>
    <row r="6" spans="1:13" s="251" customFormat="1" ht="22.5" customHeight="1">
      <c r="B6" s="266" t="s">
        <v>27</v>
      </c>
      <c r="C6" s="264" t="s">
        <v>28</v>
      </c>
      <c r="D6" s="267" t="s">
        <v>29</v>
      </c>
      <c r="E6" s="267"/>
      <c r="F6" s="267"/>
      <c r="G6" s="267"/>
      <c r="H6" s="267"/>
      <c r="I6" s="267"/>
      <c r="J6" s="267"/>
      <c r="K6" s="267"/>
      <c r="L6" s="268" t="s">
        <v>30</v>
      </c>
    </row>
    <row r="7" spans="1:13" s="251" customFormat="1">
      <c r="B7" s="269" t="s">
        <v>31</v>
      </c>
      <c r="C7" s="270" t="s">
        <v>31</v>
      </c>
      <c r="D7" s="270" t="s">
        <v>31</v>
      </c>
      <c r="E7" s="270" t="s">
        <v>31</v>
      </c>
      <c r="F7" s="270" t="s">
        <v>31</v>
      </c>
      <c r="G7" s="270" t="s">
        <v>31</v>
      </c>
      <c r="H7" s="270" t="s">
        <v>31</v>
      </c>
      <c r="I7" s="270" t="s">
        <v>31</v>
      </c>
      <c r="J7" s="270" t="s">
        <v>31</v>
      </c>
      <c r="K7" s="270" t="s">
        <v>31</v>
      </c>
      <c r="L7" s="271" t="s">
        <v>31</v>
      </c>
    </row>
    <row r="8" spans="1:13" s="251" customFormat="1" ht="65.25" customHeight="1">
      <c r="B8" s="272">
        <v>88000</v>
      </c>
      <c r="C8" s="273" t="s">
        <v>32</v>
      </c>
      <c r="D8" s="273">
        <v>0</v>
      </c>
      <c r="E8" s="273">
        <v>0</v>
      </c>
      <c r="F8" s="273">
        <v>0</v>
      </c>
      <c r="G8" s="273">
        <v>0</v>
      </c>
      <c r="H8" s="273">
        <v>0</v>
      </c>
      <c r="I8" s="273">
        <v>0</v>
      </c>
      <c r="J8" s="273">
        <v>0</v>
      </c>
      <c r="K8" s="273">
        <v>0</v>
      </c>
      <c r="L8" s="274" t="s">
        <v>128</v>
      </c>
    </row>
    <row r="9" spans="1:13">
      <c r="A9" s="275">
        <v>1</v>
      </c>
      <c r="B9" s="158">
        <v>88000</v>
      </c>
      <c r="C9" s="159">
        <v>89000</v>
      </c>
      <c r="D9" s="159">
        <v>130</v>
      </c>
      <c r="E9" s="159">
        <v>0</v>
      </c>
      <c r="F9" s="159">
        <v>0</v>
      </c>
      <c r="G9" s="159">
        <v>0</v>
      </c>
      <c r="H9" s="159">
        <v>0</v>
      </c>
      <c r="I9" s="159">
        <v>0</v>
      </c>
      <c r="J9" s="159">
        <v>0</v>
      </c>
      <c r="K9" s="159">
        <v>0</v>
      </c>
      <c r="L9" s="160">
        <v>3200</v>
      </c>
    </row>
    <row r="10" spans="1:13">
      <c r="A10" s="275">
        <v>1</v>
      </c>
      <c r="B10" s="158">
        <v>89000</v>
      </c>
      <c r="C10" s="159">
        <v>90000</v>
      </c>
      <c r="D10" s="159">
        <v>180</v>
      </c>
      <c r="E10" s="159">
        <v>0</v>
      </c>
      <c r="F10" s="159">
        <v>0</v>
      </c>
      <c r="G10" s="159">
        <v>0</v>
      </c>
      <c r="H10" s="159">
        <v>0</v>
      </c>
      <c r="I10" s="159">
        <v>0</v>
      </c>
      <c r="J10" s="159">
        <v>0</v>
      </c>
      <c r="K10" s="159">
        <v>0</v>
      </c>
      <c r="L10" s="160">
        <v>3200</v>
      </c>
    </row>
    <row r="11" spans="1:13">
      <c r="A11" s="275">
        <v>1</v>
      </c>
      <c r="B11" s="158">
        <v>90000</v>
      </c>
      <c r="C11" s="159">
        <v>91000</v>
      </c>
      <c r="D11" s="159">
        <v>230</v>
      </c>
      <c r="E11" s="159">
        <v>0</v>
      </c>
      <c r="F11" s="159">
        <v>0</v>
      </c>
      <c r="G11" s="159">
        <v>0</v>
      </c>
      <c r="H11" s="159">
        <v>0</v>
      </c>
      <c r="I11" s="159">
        <v>0</v>
      </c>
      <c r="J11" s="159">
        <v>0</v>
      </c>
      <c r="K11" s="159">
        <v>0</v>
      </c>
      <c r="L11" s="160">
        <v>3200</v>
      </c>
    </row>
    <row r="12" spans="1:13">
      <c r="A12" s="275">
        <v>1</v>
      </c>
      <c r="B12" s="158">
        <v>91000</v>
      </c>
      <c r="C12" s="159">
        <v>92000</v>
      </c>
      <c r="D12" s="159">
        <v>290</v>
      </c>
      <c r="E12" s="159">
        <v>0</v>
      </c>
      <c r="F12" s="159">
        <v>0</v>
      </c>
      <c r="G12" s="159">
        <v>0</v>
      </c>
      <c r="H12" s="159">
        <v>0</v>
      </c>
      <c r="I12" s="159">
        <v>0</v>
      </c>
      <c r="J12" s="159">
        <v>0</v>
      </c>
      <c r="K12" s="159">
        <v>0</v>
      </c>
      <c r="L12" s="160">
        <v>3200</v>
      </c>
    </row>
    <row r="13" spans="1:13">
      <c r="A13" s="275">
        <v>1</v>
      </c>
      <c r="B13" s="158">
        <v>92000</v>
      </c>
      <c r="C13" s="159">
        <v>93000</v>
      </c>
      <c r="D13" s="159">
        <v>340</v>
      </c>
      <c r="E13" s="159">
        <v>0</v>
      </c>
      <c r="F13" s="159">
        <v>0</v>
      </c>
      <c r="G13" s="159">
        <v>0</v>
      </c>
      <c r="H13" s="159">
        <v>0</v>
      </c>
      <c r="I13" s="159">
        <v>0</v>
      </c>
      <c r="J13" s="159">
        <v>0</v>
      </c>
      <c r="K13" s="159">
        <v>0</v>
      </c>
      <c r="L13" s="160">
        <v>3300</v>
      </c>
    </row>
    <row r="14" spans="1:13">
      <c r="A14" s="275">
        <v>1</v>
      </c>
      <c r="B14" s="158">
        <v>93000</v>
      </c>
      <c r="C14" s="159">
        <v>94000</v>
      </c>
      <c r="D14" s="159">
        <v>390</v>
      </c>
      <c r="E14" s="159">
        <v>0</v>
      </c>
      <c r="F14" s="159">
        <v>0</v>
      </c>
      <c r="G14" s="159">
        <v>0</v>
      </c>
      <c r="H14" s="159">
        <v>0</v>
      </c>
      <c r="I14" s="159">
        <v>0</v>
      </c>
      <c r="J14" s="159">
        <v>0</v>
      </c>
      <c r="K14" s="159">
        <v>0</v>
      </c>
      <c r="L14" s="160">
        <v>3300</v>
      </c>
    </row>
    <row r="15" spans="1:13">
      <c r="A15" s="275">
        <v>1</v>
      </c>
      <c r="B15" s="158">
        <v>94000</v>
      </c>
      <c r="C15" s="159">
        <v>95000</v>
      </c>
      <c r="D15" s="159">
        <v>440</v>
      </c>
      <c r="E15" s="159">
        <v>0</v>
      </c>
      <c r="F15" s="159">
        <v>0</v>
      </c>
      <c r="G15" s="159">
        <v>0</v>
      </c>
      <c r="H15" s="159">
        <v>0</v>
      </c>
      <c r="I15" s="159">
        <v>0</v>
      </c>
      <c r="J15" s="159">
        <v>0</v>
      </c>
      <c r="K15" s="159">
        <v>0</v>
      </c>
      <c r="L15" s="160">
        <v>3300</v>
      </c>
    </row>
    <row r="16" spans="1:13">
      <c r="A16" s="275">
        <v>1</v>
      </c>
      <c r="B16" s="158">
        <v>95000</v>
      </c>
      <c r="C16" s="159">
        <v>96000</v>
      </c>
      <c r="D16" s="159">
        <v>490</v>
      </c>
      <c r="E16" s="159">
        <v>0</v>
      </c>
      <c r="F16" s="159">
        <v>0</v>
      </c>
      <c r="G16" s="159">
        <v>0</v>
      </c>
      <c r="H16" s="159">
        <v>0</v>
      </c>
      <c r="I16" s="159">
        <v>0</v>
      </c>
      <c r="J16" s="159">
        <v>0</v>
      </c>
      <c r="K16" s="159">
        <v>0</v>
      </c>
      <c r="L16" s="160">
        <v>3400</v>
      </c>
    </row>
    <row r="17" spans="1:12">
      <c r="A17" s="275">
        <v>1</v>
      </c>
      <c r="B17" s="158">
        <v>96000</v>
      </c>
      <c r="C17" s="159">
        <v>97000</v>
      </c>
      <c r="D17" s="159">
        <v>540</v>
      </c>
      <c r="E17" s="159">
        <v>0</v>
      </c>
      <c r="F17" s="159">
        <v>0</v>
      </c>
      <c r="G17" s="159">
        <v>0</v>
      </c>
      <c r="H17" s="159">
        <v>0</v>
      </c>
      <c r="I17" s="159">
        <v>0</v>
      </c>
      <c r="J17" s="159">
        <v>0</v>
      </c>
      <c r="K17" s="159">
        <v>0</v>
      </c>
      <c r="L17" s="160">
        <v>3400</v>
      </c>
    </row>
    <row r="18" spans="1:12">
      <c r="A18" s="275">
        <v>1</v>
      </c>
      <c r="B18" s="158">
        <v>97000</v>
      </c>
      <c r="C18" s="159">
        <v>98000</v>
      </c>
      <c r="D18" s="159">
        <v>590</v>
      </c>
      <c r="E18" s="159">
        <v>0</v>
      </c>
      <c r="F18" s="159">
        <v>0</v>
      </c>
      <c r="G18" s="159">
        <v>0</v>
      </c>
      <c r="H18" s="159">
        <v>0</v>
      </c>
      <c r="I18" s="159">
        <v>0</v>
      </c>
      <c r="J18" s="159">
        <v>0</v>
      </c>
      <c r="K18" s="159">
        <v>0</v>
      </c>
      <c r="L18" s="160">
        <v>3500</v>
      </c>
    </row>
    <row r="19" spans="1:12">
      <c r="A19" s="275">
        <v>1</v>
      </c>
      <c r="B19" s="158">
        <v>98000</v>
      </c>
      <c r="C19" s="159">
        <v>99000</v>
      </c>
      <c r="D19" s="159">
        <v>640</v>
      </c>
      <c r="E19" s="159">
        <v>0</v>
      </c>
      <c r="F19" s="159">
        <v>0</v>
      </c>
      <c r="G19" s="159">
        <v>0</v>
      </c>
      <c r="H19" s="159">
        <v>0</v>
      </c>
      <c r="I19" s="159">
        <v>0</v>
      </c>
      <c r="J19" s="159">
        <v>0</v>
      </c>
      <c r="K19" s="159">
        <v>0</v>
      </c>
      <c r="L19" s="160">
        <v>3500</v>
      </c>
    </row>
    <row r="20" spans="1:12">
      <c r="A20" s="275">
        <v>1</v>
      </c>
      <c r="B20" s="158">
        <v>99000</v>
      </c>
      <c r="C20" s="159">
        <v>101000</v>
      </c>
      <c r="D20" s="159">
        <v>720</v>
      </c>
      <c r="E20" s="159">
        <v>0</v>
      </c>
      <c r="F20" s="159">
        <v>0</v>
      </c>
      <c r="G20" s="159">
        <v>0</v>
      </c>
      <c r="H20" s="159">
        <v>0</v>
      </c>
      <c r="I20" s="159">
        <v>0</v>
      </c>
      <c r="J20" s="159">
        <v>0</v>
      </c>
      <c r="K20" s="159">
        <v>0</v>
      </c>
      <c r="L20" s="160">
        <v>3600</v>
      </c>
    </row>
    <row r="21" spans="1:12">
      <c r="A21" s="275">
        <v>1</v>
      </c>
      <c r="B21" s="158">
        <v>101000</v>
      </c>
      <c r="C21" s="159">
        <v>103000</v>
      </c>
      <c r="D21" s="159">
        <v>830</v>
      </c>
      <c r="E21" s="159">
        <v>0</v>
      </c>
      <c r="F21" s="159">
        <v>0</v>
      </c>
      <c r="G21" s="159">
        <v>0</v>
      </c>
      <c r="H21" s="159">
        <v>0</v>
      </c>
      <c r="I21" s="159">
        <v>0</v>
      </c>
      <c r="J21" s="159">
        <v>0</v>
      </c>
      <c r="K21" s="159">
        <v>0</v>
      </c>
      <c r="L21" s="160">
        <v>3600</v>
      </c>
    </row>
    <row r="22" spans="1:12">
      <c r="A22" s="275">
        <v>1</v>
      </c>
      <c r="B22" s="158">
        <v>103000</v>
      </c>
      <c r="C22" s="159">
        <v>105000</v>
      </c>
      <c r="D22" s="159">
        <v>930</v>
      </c>
      <c r="E22" s="159">
        <v>0</v>
      </c>
      <c r="F22" s="159">
        <v>0</v>
      </c>
      <c r="G22" s="159">
        <v>0</v>
      </c>
      <c r="H22" s="159">
        <v>0</v>
      </c>
      <c r="I22" s="159">
        <v>0</v>
      </c>
      <c r="J22" s="159">
        <v>0</v>
      </c>
      <c r="K22" s="159">
        <v>0</v>
      </c>
      <c r="L22" s="160">
        <v>3700</v>
      </c>
    </row>
    <row r="23" spans="1:12">
      <c r="A23" s="275">
        <v>1</v>
      </c>
      <c r="B23" s="158">
        <v>105000</v>
      </c>
      <c r="C23" s="159">
        <v>107000</v>
      </c>
      <c r="D23" s="159">
        <v>1030</v>
      </c>
      <c r="E23" s="159">
        <v>0</v>
      </c>
      <c r="F23" s="159">
        <v>0</v>
      </c>
      <c r="G23" s="159">
        <v>0</v>
      </c>
      <c r="H23" s="159">
        <v>0</v>
      </c>
      <c r="I23" s="159">
        <v>0</v>
      </c>
      <c r="J23" s="159">
        <v>0</v>
      </c>
      <c r="K23" s="159">
        <v>0</v>
      </c>
      <c r="L23" s="160">
        <v>3800</v>
      </c>
    </row>
    <row r="24" spans="1:12">
      <c r="A24" s="275">
        <v>1</v>
      </c>
      <c r="B24" s="158">
        <v>107000</v>
      </c>
      <c r="C24" s="159">
        <v>109000</v>
      </c>
      <c r="D24" s="159">
        <v>1130</v>
      </c>
      <c r="E24" s="159">
        <v>0</v>
      </c>
      <c r="F24" s="159">
        <v>0</v>
      </c>
      <c r="G24" s="159">
        <v>0</v>
      </c>
      <c r="H24" s="159">
        <v>0</v>
      </c>
      <c r="I24" s="159">
        <v>0</v>
      </c>
      <c r="J24" s="159">
        <v>0</v>
      </c>
      <c r="K24" s="159">
        <v>0</v>
      </c>
      <c r="L24" s="160">
        <v>3800</v>
      </c>
    </row>
    <row r="25" spans="1:12">
      <c r="A25" s="275">
        <v>1</v>
      </c>
      <c r="B25" s="158">
        <v>109000</v>
      </c>
      <c r="C25" s="159">
        <v>111000</v>
      </c>
      <c r="D25" s="159">
        <v>1240</v>
      </c>
      <c r="E25" s="159">
        <v>0</v>
      </c>
      <c r="F25" s="159">
        <v>0</v>
      </c>
      <c r="G25" s="159">
        <v>0</v>
      </c>
      <c r="H25" s="159">
        <v>0</v>
      </c>
      <c r="I25" s="159">
        <v>0</v>
      </c>
      <c r="J25" s="159">
        <v>0</v>
      </c>
      <c r="K25" s="159">
        <v>0</v>
      </c>
      <c r="L25" s="160">
        <v>3900</v>
      </c>
    </row>
    <row r="26" spans="1:12">
      <c r="A26" s="275">
        <v>1</v>
      </c>
      <c r="B26" s="158">
        <v>111000</v>
      </c>
      <c r="C26" s="159">
        <v>113000</v>
      </c>
      <c r="D26" s="159">
        <v>1340</v>
      </c>
      <c r="E26" s="159">
        <v>0</v>
      </c>
      <c r="F26" s="159">
        <v>0</v>
      </c>
      <c r="G26" s="159">
        <v>0</v>
      </c>
      <c r="H26" s="159">
        <v>0</v>
      </c>
      <c r="I26" s="159">
        <v>0</v>
      </c>
      <c r="J26" s="159">
        <v>0</v>
      </c>
      <c r="K26" s="159">
        <v>0</v>
      </c>
      <c r="L26" s="160">
        <v>4000</v>
      </c>
    </row>
    <row r="27" spans="1:12">
      <c r="A27" s="275">
        <v>1</v>
      </c>
      <c r="B27" s="158">
        <v>113000</v>
      </c>
      <c r="C27" s="159">
        <v>115000</v>
      </c>
      <c r="D27" s="159">
        <v>1440</v>
      </c>
      <c r="E27" s="159">
        <v>0</v>
      </c>
      <c r="F27" s="159">
        <v>0</v>
      </c>
      <c r="G27" s="159">
        <v>0</v>
      </c>
      <c r="H27" s="159">
        <v>0</v>
      </c>
      <c r="I27" s="159">
        <v>0</v>
      </c>
      <c r="J27" s="159">
        <v>0</v>
      </c>
      <c r="K27" s="159">
        <v>0</v>
      </c>
      <c r="L27" s="160">
        <v>4100</v>
      </c>
    </row>
    <row r="28" spans="1:12">
      <c r="A28" s="275">
        <v>1</v>
      </c>
      <c r="B28" s="158">
        <v>115000</v>
      </c>
      <c r="C28" s="159">
        <v>117000</v>
      </c>
      <c r="D28" s="159">
        <v>1540</v>
      </c>
      <c r="E28" s="159">
        <v>0</v>
      </c>
      <c r="F28" s="159">
        <v>0</v>
      </c>
      <c r="G28" s="159">
        <v>0</v>
      </c>
      <c r="H28" s="159">
        <v>0</v>
      </c>
      <c r="I28" s="159">
        <v>0</v>
      </c>
      <c r="J28" s="159">
        <v>0</v>
      </c>
      <c r="K28" s="159">
        <v>0</v>
      </c>
      <c r="L28" s="160">
        <v>4100</v>
      </c>
    </row>
    <row r="29" spans="1:12">
      <c r="A29" s="275">
        <v>1</v>
      </c>
      <c r="B29" s="158">
        <v>117000</v>
      </c>
      <c r="C29" s="159">
        <v>119000</v>
      </c>
      <c r="D29" s="159">
        <v>1640</v>
      </c>
      <c r="E29" s="159">
        <v>0</v>
      </c>
      <c r="F29" s="159">
        <v>0</v>
      </c>
      <c r="G29" s="159">
        <v>0</v>
      </c>
      <c r="H29" s="159">
        <v>0</v>
      </c>
      <c r="I29" s="159">
        <v>0</v>
      </c>
      <c r="J29" s="159">
        <v>0</v>
      </c>
      <c r="K29" s="159">
        <v>0</v>
      </c>
      <c r="L29" s="160">
        <v>4200</v>
      </c>
    </row>
    <row r="30" spans="1:12">
      <c r="A30" s="275">
        <v>1</v>
      </c>
      <c r="B30" s="158">
        <v>119000</v>
      </c>
      <c r="C30" s="159">
        <v>121000</v>
      </c>
      <c r="D30" s="159">
        <v>1750</v>
      </c>
      <c r="E30" s="159">
        <v>120</v>
      </c>
      <c r="F30" s="159">
        <v>0</v>
      </c>
      <c r="G30" s="159">
        <v>0</v>
      </c>
      <c r="H30" s="159">
        <v>0</v>
      </c>
      <c r="I30" s="159">
        <v>0</v>
      </c>
      <c r="J30" s="159">
        <v>0</v>
      </c>
      <c r="K30" s="159">
        <v>0</v>
      </c>
      <c r="L30" s="160">
        <v>4300</v>
      </c>
    </row>
    <row r="31" spans="1:12">
      <c r="A31" s="275">
        <v>1</v>
      </c>
      <c r="B31" s="158">
        <v>121000</v>
      </c>
      <c r="C31" s="159">
        <v>123000</v>
      </c>
      <c r="D31" s="159">
        <v>1850</v>
      </c>
      <c r="E31" s="159">
        <v>220</v>
      </c>
      <c r="F31" s="159">
        <v>0</v>
      </c>
      <c r="G31" s="159">
        <v>0</v>
      </c>
      <c r="H31" s="159">
        <v>0</v>
      </c>
      <c r="I31" s="159">
        <v>0</v>
      </c>
      <c r="J31" s="159">
        <v>0</v>
      </c>
      <c r="K31" s="159">
        <v>0</v>
      </c>
      <c r="L31" s="160">
        <v>4500</v>
      </c>
    </row>
    <row r="32" spans="1:12">
      <c r="A32" s="275">
        <v>1</v>
      </c>
      <c r="B32" s="158">
        <v>123000</v>
      </c>
      <c r="C32" s="159">
        <v>125000</v>
      </c>
      <c r="D32" s="159">
        <v>1950</v>
      </c>
      <c r="E32" s="159">
        <v>330</v>
      </c>
      <c r="F32" s="159">
        <v>0</v>
      </c>
      <c r="G32" s="159">
        <v>0</v>
      </c>
      <c r="H32" s="159">
        <v>0</v>
      </c>
      <c r="I32" s="159">
        <v>0</v>
      </c>
      <c r="J32" s="159">
        <v>0</v>
      </c>
      <c r="K32" s="159">
        <v>0</v>
      </c>
      <c r="L32" s="160">
        <v>4800</v>
      </c>
    </row>
    <row r="33" spans="1:12">
      <c r="A33" s="275">
        <v>1</v>
      </c>
      <c r="B33" s="158">
        <v>125000</v>
      </c>
      <c r="C33" s="159">
        <v>127000</v>
      </c>
      <c r="D33" s="159">
        <v>2050</v>
      </c>
      <c r="E33" s="159">
        <v>430</v>
      </c>
      <c r="F33" s="159">
        <v>0</v>
      </c>
      <c r="G33" s="159">
        <v>0</v>
      </c>
      <c r="H33" s="159">
        <v>0</v>
      </c>
      <c r="I33" s="159">
        <v>0</v>
      </c>
      <c r="J33" s="159">
        <v>0</v>
      </c>
      <c r="K33" s="159">
        <v>0</v>
      </c>
      <c r="L33" s="160">
        <v>5100</v>
      </c>
    </row>
    <row r="34" spans="1:12">
      <c r="A34" s="275">
        <v>1</v>
      </c>
      <c r="B34" s="158">
        <v>127000</v>
      </c>
      <c r="C34" s="159">
        <v>129000</v>
      </c>
      <c r="D34" s="159">
        <v>2150</v>
      </c>
      <c r="E34" s="159">
        <v>530</v>
      </c>
      <c r="F34" s="159">
        <v>0</v>
      </c>
      <c r="G34" s="159">
        <v>0</v>
      </c>
      <c r="H34" s="159">
        <v>0</v>
      </c>
      <c r="I34" s="159">
        <v>0</v>
      </c>
      <c r="J34" s="159">
        <v>0</v>
      </c>
      <c r="K34" s="159">
        <v>0</v>
      </c>
      <c r="L34" s="160">
        <v>5400</v>
      </c>
    </row>
    <row r="35" spans="1:12">
      <c r="A35" s="275">
        <v>1</v>
      </c>
      <c r="B35" s="158">
        <v>129000</v>
      </c>
      <c r="C35" s="159">
        <v>131000</v>
      </c>
      <c r="D35" s="159">
        <v>2260</v>
      </c>
      <c r="E35" s="159">
        <v>630</v>
      </c>
      <c r="F35" s="159">
        <v>0</v>
      </c>
      <c r="G35" s="159">
        <v>0</v>
      </c>
      <c r="H35" s="159">
        <v>0</v>
      </c>
      <c r="I35" s="159">
        <v>0</v>
      </c>
      <c r="J35" s="159">
        <v>0</v>
      </c>
      <c r="K35" s="159">
        <v>0</v>
      </c>
      <c r="L35" s="160">
        <v>5700</v>
      </c>
    </row>
    <row r="36" spans="1:12">
      <c r="A36" s="275">
        <v>1</v>
      </c>
      <c r="B36" s="158">
        <v>131000</v>
      </c>
      <c r="C36" s="159">
        <v>133000</v>
      </c>
      <c r="D36" s="159">
        <v>2360</v>
      </c>
      <c r="E36" s="159">
        <v>740</v>
      </c>
      <c r="F36" s="159">
        <v>0</v>
      </c>
      <c r="G36" s="159">
        <v>0</v>
      </c>
      <c r="H36" s="159">
        <v>0</v>
      </c>
      <c r="I36" s="159">
        <v>0</v>
      </c>
      <c r="J36" s="159">
        <v>0</v>
      </c>
      <c r="K36" s="159">
        <v>0</v>
      </c>
      <c r="L36" s="160">
        <v>6000</v>
      </c>
    </row>
    <row r="37" spans="1:12">
      <c r="A37" s="275">
        <v>1</v>
      </c>
      <c r="B37" s="158">
        <v>133000</v>
      </c>
      <c r="C37" s="159">
        <v>135000</v>
      </c>
      <c r="D37" s="159">
        <v>2460</v>
      </c>
      <c r="E37" s="159">
        <v>840</v>
      </c>
      <c r="F37" s="159">
        <v>0</v>
      </c>
      <c r="G37" s="159">
        <v>0</v>
      </c>
      <c r="H37" s="159">
        <v>0</v>
      </c>
      <c r="I37" s="159">
        <v>0</v>
      </c>
      <c r="J37" s="159">
        <v>0</v>
      </c>
      <c r="K37" s="159">
        <v>0</v>
      </c>
      <c r="L37" s="160">
        <v>6300</v>
      </c>
    </row>
    <row r="38" spans="1:12">
      <c r="A38" s="275">
        <v>1</v>
      </c>
      <c r="B38" s="158">
        <v>135000</v>
      </c>
      <c r="C38" s="159">
        <v>137000</v>
      </c>
      <c r="D38" s="159">
        <v>2550</v>
      </c>
      <c r="E38" s="159">
        <v>930</v>
      </c>
      <c r="F38" s="159">
        <v>0</v>
      </c>
      <c r="G38" s="159">
        <v>0</v>
      </c>
      <c r="H38" s="159">
        <v>0</v>
      </c>
      <c r="I38" s="159">
        <v>0</v>
      </c>
      <c r="J38" s="159">
        <v>0</v>
      </c>
      <c r="K38" s="159">
        <v>0</v>
      </c>
      <c r="L38" s="160">
        <v>6600</v>
      </c>
    </row>
    <row r="39" spans="1:12">
      <c r="A39" s="275">
        <v>1</v>
      </c>
      <c r="B39" s="158">
        <v>137000</v>
      </c>
      <c r="C39" s="159">
        <v>139000</v>
      </c>
      <c r="D39" s="159">
        <v>2610</v>
      </c>
      <c r="E39" s="159">
        <v>990</v>
      </c>
      <c r="F39" s="159">
        <v>0</v>
      </c>
      <c r="G39" s="159">
        <v>0</v>
      </c>
      <c r="H39" s="159">
        <v>0</v>
      </c>
      <c r="I39" s="159">
        <v>0</v>
      </c>
      <c r="J39" s="159">
        <v>0</v>
      </c>
      <c r="K39" s="159">
        <v>0</v>
      </c>
      <c r="L39" s="160">
        <v>6800</v>
      </c>
    </row>
    <row r="40" spans="1:12">
      <c r="A40" s="275">
        <v>1</v>
      </c>
      <c r="B40" s="158">
        <v>139000</v>
      </c>
      <c r="C40" s="159">
        <v>141000</v>
      </c>
      <c r="D40" s="159">
        <v>2680</v>
      </c>
      <c r="E40" s="159">
        <v>1050</v>
      </c>
      <c r="F40" s="159">
        <v>0</v>
      </c>
      <c r="G40" s="159">
        <v>0</v>
      </c>
      <c r="H40" s="159">
        <v>0</v>
      </c>
      <c r="I40" s="159">
        <v>0</v>
      </c>
      <c r="J40" s="159">
        <v>0</v>
      </c>
      <c r="K40" s="159">
        <v>0</v>
      </c>
      <c r="L40" s="160">
        <v>7100</v>
      </c>
    </row>
    <row r="41" spans="1:12">
      <c r="A41" s="275">
        <v>1</v>
      </c>
      <c r="B41" s="158">
        <v>141000</v>
      </c>
      <c r="C41" s="159">
        <v>143000</v>
      </c>
      <c r="D41" s="159">
        <v>2740</v>
      </c>
      <c r="E41" s="159">
        <v>1110</v>
      </c>
      <c r="F41" s="159">
        <v>0</v>
      </c>
      <c r="G41" s="159">
        <v>0</v>
      </c>
      <c r="H41" s="159">
        <v>0</v>
      </c>
      <c r="I41" s="159">
        <v>0</v>
      </c>
      <c r="J41" s="159">
        <v>0</v>
      </c>
      <c r="K41" s="159">
        <v>0</v>
      </c>
      <c r="L41" s="160">
        <v>7500</v>
      </c>
    </row>
    <row r="42" spans="1:12">
      <c r="A42" s="275">
        <v>1</v>
      </c>
      <c r="B42" s="158">
        <v>143000</v>
      </c>
      <c r="C42" s="159">
        <v>145000</v>
      </c>
      <c r="D42" s="159">
        <v>2800</v>
      </c>
      <c r="E42" s="159">
        <v>1170</v>
      </c>
      <c r="F42" s="159">
        <v>0</v>
      </c>
      <c r="G42" s="159">
        <v>0</v>
      </c>
      <c r="H42" s="159">
        <v>0</v>
      </c>
      <c r="I42" s="159">
        <v>0</v>
      </c>
      <c r="J42" s="159">
        <v>0</v>
      </c>
      <c r="K42" s="159">
        <v>0</v>
      </c>
      <c r="L42" s="160">
        <v>7800</v>
      </c>
    </row>
    <row r="43" spans="1:12">
      <c r="A43" s="275">
        <v>1</v>
      </c>
      <c r="B43" s="158">
        <v>145000</v>
      </c>
      <c r="C43" s="159">
        <v>147000</v>
      </c>
      <c r="D43" s="159">
        <v>2860</v>
      </c>
      <c r="E43" s="159">
        <v>1240</v>
      </c>
      <c r="F43" s="159">
        <v>0</v>
      </c>
      <c r="G43" s="159">
        <v>0</v>
      </c>
      <c r="H43" s="159">
        <v>0</v>
      </c>
      <c r="I43" s="159">
        <v>0</v>
      </c>
      <c r="J43" s="159">
        <v>0</v>
      </c>
      <c r="K43" s="159">
        <v>0</v>
      </c>
      <c r="L43" s="160">
        <v>8100</v>
      </c>
    </row>
    <row r="44" spans="1:12">
      <c r="A44" s="275">
        <v>1</v>
      </c>
      <c r="B44" s="158">
        <v>147000</v>
      </c>
      <c r="C44" s="159">
        <v>149000</v>
      </c>
      <c r="D44" s="159">
        <v>2920</v>
      </c>
      <c r="E44" s="159">
        <v>1300</v>
      </c>
      <c r="F44" s="159">
        <v>0</v>
      </c>
      <c r="G44" s="159">
        <v>0</v>
      </c>
      <c r="H44" s="159">
        <v>0</v>
      </c>
      <c r="I44" s="159">
        <v>0</v>
      </c>
      <c r="J44" s="159">
        <v>0</v>
      </c>
      <c r="K44" s="159">
        <v>0</v>
      </c>
      <c r="L44" s="160">
        <v>8400</v>
      </c>
    </row>
    <row r="45" spans="1:12">
      <c r="A45" s="275">
        <v>1</v>
      </c>
      <c r="B45" s="158">
        <v>149000</v>
      </c>
      <c r="C45" s="159">
        <v>151000</v>
      </c>
      <c r="D45" s="159">
        <v>2980</v>
      </c>
      <c r="E45" s="159">
        <v>1360</v>
      </c>
      <c r="F45" s="159">
        <v>0</v>
      </c>
      <c r="G45" s="159">
        <v>0</v>
      </c>
      <c r="H45" s="159">
        <v>0</v>
      </c>
      <c r="I45" s="159">
        <v>0</v>
      </c>
      <c r="J45" s="159">
        <v>0</v>
      </c>
      <c r="K45" s="159">
        <v>0</v>
      </c>
      <c r="L45" s="160">
        <v>8700</v>
      </c>
    </row>
    <row r="46" spans="1:12">
      <c r="A46" s="275">
        <v>1</v>
      </c>
      <c r="B46" s="158">
        <v>151000</v>
      </c>
      <c r="C46" s="159">
        <v>153000</v>
      </c>
      <c r="D46" s="159">
        <v>3050</v>
      </c>
      <c r="E46" s="159">
        <v>1430</v>
      </c>
      <c r="F46" s="159">
        <v>0</v>
      </c>
      <c r="G46" s="159">
        <v>0</v>
      </c>
      <c r="H46" s="159">
        <v>0</v>
      </c>
      <c r="I46" s="159">
        <v>0</v>
      </c>
      <c r="J46" s="159">
        <v>0</v>
      </c>
      <c r="K46" s="159">
        <v>0</v>
      </c>
      <c r="L46" s="160">
        <v>9000</v>
      </c>
    </row>
    <row r="47" spans="1:12">
      <c r="A47" s="275">
        <v>1</v>
      </c>
      <c r="B47" s="158">
        <v>153000</v>
      </c>
      <c r="C47" s="159">
        <v>155000</v>
      </c>
      <c r="D47" s="159">
        <v>3120</v>
      </c>
      <c r="E47" s="159">
        <v>1500</v>
      </c>
      <c r="F47" s="159">
        <v>0</v>
      </c>
      <c r="G47" s="159">
        <v>0</v>
      </c>
      <c r="H47" s="159">
        <v>0</v>
      </c>
      <c r="I47" s="159">
        <v>0</v>
      </c>
      <c r="J47" s="159">
        <v>0</v>
      </c>
      <c r="K47" s="159">
        <v>0</v>
      </c>
      <c r="L47" s="160">
        <v>9300</v>
      </c>
    </row>
    <row r="48" spans="1:12">
      <c r="A48" s="275">
        <v>1</v>
      </c>
      <c r="B48" s="158">
        <v>155000</v>
      </c>
      <c r="C48" s="159">
        <v>157000</v>
      </c>
      <c r="D48" s="159">
        <v>3200</v>
      </c>
      <c r="E48" s="159">
        <v>1570</v>
      </c>
      <c r="F48" s="159">
        <v>0</v>
      </c>
      <c r="G48" s="159">
        <v>0</v>
      </c>
      <c r="H48" s="159">
        <v>0</v>
      </c>
      <c r="I48" s="159">
        <v>0</v>
      </c>
      <c r="J48" s="159">
        <v>0</v>
      </c>
      <c r="K48" s="159">
        <v>0</v>
      </c>
      <c r="L48" s="160">
        <v>9600</v>
      </c>
    </row>
    <row r="49" spans="1:12">
      <c r="A49" s="275">
        <v>1</v>
      </c>
      <c r="B49" s="158">
        <v>157000</v>
      </c>
      <c r="C49" s="159">
        <v>159000</v>
      </c>
      <c r="D49" s="159">
        <v>3270</v>
      </c>
      <c r="E49" s="159">
        <v>1640</v>
      </c>
      <c r="F49" s="159">
        <v>0</v>
      </c>
      <c r="G49" s="159">
        <v>0</v>
      </c>
      <c r="H49" s="159">
        <v>0</v>
      </c>
      <c r="I49" s="159">
        <v>0</v>
      </c>
      <c r="J49" s="159">
        <v>0</v>
      </c>
      <c r="K49" s="159">
        <v>0</v>
      </c>
      <c r="L49" s="160">
        <v>9900</v>
      </c>
    </row>
    <row r="50" spans="1:12">
      <c r="A50" s="275">
        <v>1</v>
      </c>
      <c r="B50" s="158">
        <v>159000</v>
      </c>
      <c r="C50" s="159">
        <v>161000</v>
      </c>
      <c r="D50" s="159">
        <v>3340</v>
      </c>
      <c r="E50" s="159">
        <v>1720</v>
      </c>
      <c r="F50" s="159">
        <v>100</v>
      </c>
      <c r="G50" s="159">
        <v>0</v>
      </c>
      <c r="H50" s="159">
        <v>0</v>
      </c>
      <c r="I50" s="159">
        <v>0</v>
      </c>
      <c r="J50" s="159">
        <v>0</v>
      </c>
      <c r="K50" s="159">
        <v>0</v>
      </c>
      <c r="L50" s="160">
        <v>10200</v>
      </c>
    </row>
    <row r="51" spans="1:12">
      <c r="A51" s="275">
        <v>1</v>
      </c>
      <c r="B51" s="158">
        <v>161000</v>
      </c>
      <c r="C51" s="159">
        <v>163000</v>
      </c>
      <c r="D51" s="159">
        <v>3410</v>
      </c>
      <c r="E51" s="159">
        <v>1790</v>
      </c>
      <c r="F51" s="159">
        <v>170</v>
      </c>
      <c r="G51" s="159">
        <v>0</v>
      </c>
      <c r="H51" s="159">
        <v>0</v>
      </c>
      <c r="I51" s="159">
        <v>0</v>
      </c>
      <c r="J51" s="159">
        <v>0</v>
      </c>
      <c r="K51" s="159">
        <v>0</v>
      </c>
      <c r="L51" s="160">
        <v>10500</v>
      </c>
    </row>
    <row r="52" spans="1:12">
      <c r="A52" s="275">
        <v>1</v>
      </c>
      <c r="B52" s="158">
        <v>163000</v>
      </c>
      <c r="C52" s="159">
        <v>165000</v>
      </c>
      <c r="D52" s="159">
        <v>3480</v>
      </c>
      <c r="E52" s="159">
        <v>1860</v>
      </c>
      <c r="F52" s="159">
        <v>250</v>
      </c>
      <c r="G52" s="159">
        <v>0</v>
      </c>
      <c r="H52" s="159">
        <v>0</v>
      </c>
      <c r="I52" s="159">
        <v>0</v>
      </c>
      <c r="J52" s="159">
        <v>0</v>
      </c>
      <c r="K52" s="159">
        <v>0</v>
      </c>
      <c r="L52" s="160">
        <v>10800</v>
      </c>
    </row>
    <row r="53" spans="1:12">
      <c r="A53" s="275">
        <v>1</v>
      </c>
      <c r="B53" s="158">
        <v>165000</v>
      </c>
      <c r="C53" s="159">
        <v>167000</v>
      </c>
      <c r="D53" s="159">
        <v>3550</v>
      </c>
      <c r="E53" s="159">
        <v>1930</v>
      </c>
      <c r="F53" s="159">
        <v>320</v>
      </c>
      <c r="G53" s="159">
        <v>0</v>
      </c>
      <c r="H53" s="159">
        <v>0</v>
      </c>
      <c r="I53" s="159">
        <v>0</v>
      </c>
      <c r="J53" s="159">
        <v>0</v>
      </c>
      <c r="K53" s="159">
        <v>0</v>
      </c>
      <c r="L53" s="160">
        <v>11100</v>
      </c>
    </row>
    <row r="54" spans="1:12">
      <c r="A54" s="275">
        <v>1</v>
      </c>
      <c r="B54" s="158">
        <v>167000</v>
      </c>
      <c r="C54" s="159">
        <v>169000</v>
      </c>
      <c r="D54" s="159">
        <v>3620</v>
      </c>
      <c r="E54" s="159">
        <v>2000</v>
      </c>
      <c r="F54" s="159">
        <v>390</v>
      </c>
      <c r="G54" s="159">
        <v>0</v>
      </c>
      <c r="H54" s="159">
        <v>0</v>
      </c>
      <c r="I54" s="159">
        <v>0</v>
      </c>
      <c r="J54" s="159">
        <v>0</v>
      </c>
      <c r="K54" s="159">
        <v>0</v>
      </c>
      <c r="L54" s="160">
        <v>11400</v>
      </c>
    </row>
    <row r="55" spans="1:12">
      <c r="A55" s="275">
        <v>1</v>
      </c>
      <c r="B55" s="158">
        <v>169000</v>
      </c>
      <c r="C55" s="159">
        <v>171000</v>
      </c>
      <c r="D55" s="159">
        <v>3700</v>
      </c>
      <c r="E55" s="159">
        <v>2070</v>
      </c>
      <c r="F55" s="159">
        <v>460</v>
      </c>
      <c r="G55" s="159">
        <v>0</v>
      </c>
      <c r="H55" s="159">
        <v>0</v>
      </c>
      <c r="I55" s="159">
        <v>0</v>
      </c>
      <c r="J55" s="159">
        <v>0</v>
      </c>
      <c r="K55" s="159">
        <v>0</v>
      </c>
      <c r="L55" s="160">
        <v>11700</v>
      </c>
    </row>
    <row r="56" spans="1:12">
      <c r="A56" s="275">
        <v>1</v>
      </c>
      <c r="B56" s="158">
        <v>171000</v>
      </c>
      <c r="C56" s="159">
        <v>173000</v>
      </c>
      <c r="D56" s="159">
        <v>3770</v>
      </c>
      <c r="E56" s="159">
        <v>2140</v>
      </c>
      <c r="F56" s="159">
        <v>530</v>
      </c>
      <c r="G56" s="159">
        <v>0</v>
      </c>
      <c r="H56" s="159">
        <v>0</v>
      </c>
      <c r="I56" s="159">
        <v>0</v>
      </c>
      <c r="J56" s="159">
        <v>0</v>
      </c>
      <c r="K56" s="159">
        <v>0</v>
      </c>
      <c r="L56" s="160">
        <v>12000</v>
      </c>
    </row>
    <row r="57" spans="1:12">
      <c r="A57" s="275">
        <v>1</v>
      </c>
      <c r="B57" s="158">
        <v>173000</v>
      </c>
      <c r="C57" s="159">
        <v>175000</v>
      </c>
      <c r="D57" s="159">
        <v>3840</v>
      </c>
      <c r="E57" s="159">
        <v>2220</v>
      </c>
      <c r="F57" s="159">
        <v>600</v>
      </c>
      <c r="G57" s="159">
        <v>0</v>
      </c>
      <c r="H57" s="159">
        <v>0</v>
      </c>
      <c r="I57" s="159">
        <v>0</v>
      </c>
      <c r="J57" s="159">
        <v>0</v>
      </c>
      <c r="K57" s="159">
        <v>0</v>
      </c>
      <c r="L57" s="160">
        <v>12400</v>
      </c>
    </row>
    <row r="58" spans="1:12">
      <c r="A58" s="275">
        <v>1</v>
      </c>
      <c r="B58" s="158">
        <v>175000</v>
      </c>
      <c r="C58" s="159">
        <v>177000</v>
      </c>
      <c r="D58" s="159">
        <v>3910</v>
      </c>
      <c r="E58" s="159">
        <v>2290</v>
      </c>
      <c r="F58" s="159">
        <v>670</v>
      </c>
      <c r="G58" s="159">
        <v>0</v>
      </c>
      <c r="H58" s="159">
        <v>0</v>
      </c>
      <c r="I58" s="159">
        <v>0</v>
      </c>
      <c r="J58" s="159">
        <v>0</v>
      </c>
      <c r="K58" s="159">
        <v>0</v>
      </c>
      <c r="L58" s="160">
        <v>12700</v>
      </c>
    </row>
    <row r="59" spans="1:12">
      <c r="A59" s="275">
        <v>1</v>
      </c>
      <c r="B59" s="158">
        <v>177000</v>
      </c>
      <c r="C59" s="159">
        <v>179000</v>
      </c>
      <c r="D59" s="159">
        <v>3980</v>
      </c>
      <c r="E59" s="159">
        <v>2360</v>
      </c>
      <c r="F59" s="159">
        <v>750</v>
      </c>
      <c r="G59" s="159">
        <v>0</v>
      </c>
      <c r="H59" s="159">
        <v>0</v>
      </c>
      <c r="I59" s="159">
        <v>0</v>
      </c>
      <c r="J59" s="159">
        <v>0</v>
      </c>
      <c r="K59" s="159">
        <v>0</v>
      </c>
      <c r="L59" s="160">
        <v>13200</v>
      </c>
    </row>
    <row r="60" spans="1:12">
      <c r="A60" s="275">
        <v>1</v>
      </c>
      <c r="B60" s="158">
        <v>179000</v>
      </c>
      <c r="C60" s="159">
        <v>181000</v>
      </c>
      <c r="D60" s="159">
        <v>4050</v>
      </c>
      <c r="E60" s="159">
        <v>2430</v>
      </c>
      <c r="F60" s="159">
        <v>820</v>
      </c>
      <c r="G60" s="159">
        <v>0</v>
      </c>
      <c r="H60" s="159">
        <v>0</v>
      </c>
      <c r="I60" s="159">
        <v>0</v>
      </c>
      <c r="J60" s="159">
        <v>0</v>
      </c>
      <c r="K60" s="159">
        <v>0</v>
      </c>
      <c r="L60" s="160">
        <v>13900</v>
      </c>
    </row>
    <row r="61" spans="1:12">
      <c r="A61" s="275">
        <v>1</v>
      </c>
      <c r="B61" s="158">
        <v>181000</v>
      </c>
      <c r="C61" s="159">
        <v>183000</v>
      </c>
      <c r="D61" s="159">
        <v>4120</v>
      </c>
      <c r="E61" s="159">
        <v>2500</v>
      </c>
      <c r="F61" s="159">
        <v>890</v>
      </c>
      <c r="G61" s="159">
        <v>0</v>
      </c>
      <c r="H61" s="159">
        <v>0</v>
      </c>
      <c r="I61" s="159">
        <v>0</v>
      </c>
      <c r="J61" s="159">
        <v>0</v>
      </c>
      <c r="K61" s="159">
        <v>0</v>
      </c>
      <c r="L61" s="160">
        <v>14600</v>
      </c>
    </row>
    <row r="62" spans="1:12">
      <c r="A62" s="275">
        <v>1</v>
      </c>
      <c r="B62" s="158">
        <v>183000</v>
      </c>
      <c r="C62" s="159">
        <v>185000</v>
      </c>
      <c r="D62" s="159">
        <v>4200</v>
      </c>
      <c r="E62" s="159">
        <v>2570</v>
      </c>
      <c r="F62" s="159">
        <v>960</v>
      </c>
      <c r="G62" s="159">
        <v>0</v>
      </c>
      <c r="H62" s="159">
        <v>0</v>
      </c>
      <c r="I62" s="159">
        <v>0</v>
      </c>
      <c r="J62" s="159">
        <v>0</v>
      </c>
      <c r="K62" s="159">
        <v>0</v>
      </c>
      <c r="L62" s="160">
        <v>15300</v>
      </c>
    </row>
    <row r="63" spans="1:12">
      <c r="A63" s="275">
        <v>1</v>
      </c>
      <c r="B63" s="158">
        <v>185000</v>
      </c>
      <c r="C63" s="159">
        <v>187000</v>
      </c>
      <c r="D63" s="159">
        <v>4270</v>
      </c>
      <c r="E63" s="159">
        <v>2640</v>
      </c>
      <c r="F63" s="159">
        <v>1030</v>
      </c>
      <c r="G63" s="159">
        <v>0</v>
      </c>
      <c r="H63" s="159">
        <v>0</v>
      </c>
      <c r="I63" s="159">
        <v>0</v>
      </c>
      <c r="J63" s="159">
        <v>0</v>
      </c>
      <c r="K63" s="159">
        <v>0</v>
      </c>
      <c r="L63" s="160">
        <v>16000</v>
      </c>
    </row>
    <row r="64" spans="1:12">
      <c r="A64" s="275">
        <v>1</v>
      </c>
      <c r="B64" s="158">
        <v>187000</v>
      </c>
      <c r="C64" s="159">
        <v>189000</v>
      </c>
      <c r="D64" s="159">
        <v>4340</v>
      </c>
      <c r="E64" s="159">
        <v>2720</v>
      </c>
      <c r="F64" s="159">
        <v>1100</v>
      </c>
      <c r="G64" s="159">
        <v>0</v>
      </c>
      <c r="H64" s="159">
        <v>0</v>
      </c>
      <c r="I64" s="159">
        <v>0</v>
      </c>
      <c r="J64" s="159">
        <v>0</v>
      </c>
      <c r="K64" s="159">
        <v>0</v>
      </c>
      <c r="L64" s="160">
        <v>16700</v>
      </c>
    </row>
    <row r="65" spans="1:12">
      <c r="A65" s="275">
        <v>1</v>
      </c>
      <c r="B65" s="158">
        <v>189000</v>
      </c>
      <c r="C65" s="159">
        <v>191000</v>
      </c>
      <c r="D65" s="159">
        <v>4410</v>
      </c>
      <c r="E65" s="159">
        <v>2790</v>
      </c>
      <c r="F65" s="159">
        <v>1170</v>
      </c>
      <c r="G65" s="159">
        <v>0</v>
      </c>
      <c r="H65" s="159">
        <v>0</v>
      </c>
      <c r="I65" s="159">
        <v>0</v>
      </c>
      <c r="J65" s="159">
        <v>0</v>
      </c>
      <c r="K65" s="159">
        <v>0</v>
      </c>
      <c r="L65" s="160">
        <v>17500</v>
      </c>
    </row>
    <row r="66" spans="1:12">
      <c r="A66" s="275">
        <v>1</v>
      </c>
      <c r="B66" s="158">
        <v>191000</v>
      </c>
      <c r="C66" s="159">
        <v>193000</v>
      </c>
      <c r="D66" s="159">
        <v>4480</v>
      </c>
      <c r="E66" s="159">
        <v>2860</v>
      </c>
      <c r="F66" s="159">
        <v>1250</v>
      </c>
      <c r="G66" s="159">
        <v>0</v>
      </c>
      <c r="H66" s="159">
        <v>0</v>
      </c>
      <c r="I66" s="159">
        <v>0</v>
      </c>
      <c r="J66" s="159">
        <v>0</v>
      </c>
      <c r="K66" s="159">
        <v>0</v>
      </c>
      <c r="L66" s="160">
        <v>18100</v>
      </c>
    </row>
    <row r="67" spans="1:12">
      <c r="A67" s="275">
        <v>1</v>
      </c>
      <c r="B67" s="158">
        <v>193000</v>
      </c>
      <c r="C67" s="159">
        <v>195000</v>
      </c>
      <c r="D67" s="159">
        <v>4550</v>
      </c>
      <c r="E67" s="159">
        <v>2930</v>
      </c>
      <c r="F67" s="159">
        <v>1320</v>
      </c>
      <c r="G67" s="159">
        <v>0</v>
      </c>
      <c r="H67" s="159">
        <v>0</v>
      </c>
      <c r="I67" s="159">
        <v>0</v>
      </c>
      <c r="J67" s="159">
        <v>0</v>
      </c>
      <c r="K67" s="159">
        <v>0</v>
      </c>
      <c r="L67" s="160">
        <v>18800</v>
      </c>
    </row>
    <row r="68" spans="1:12">
      <c r="A68" s="275">
        <v>1</v>
      </c>
      <c r="B68" s="158">
        <v>195000</v>
      </c>
      <c r="C68" s="159">
        <v>197000</v>
      </c>
      <c r="D68" s="159">
        <v>4630</v>
      </c>
      <c r="E68" s="159">
        <v>3000</v>
      </c>
      <c r="F68" s="159">
        <v>1390</v>
      </c>
      <c r="G68" s="159">
        <v>0</v>
      </c>
      <c r="H68" s="159">
        <v>0</v>
      </c>
      <c r="I68" s="159">
        <v>0</v>
      </c>
      <c r="J68" s="159">
        <v>0</v>
      </c>
      <c r="K68" s="159">
        <v>0</v>
      </c>
      <c r="L68" s="160">
        <v>19500</v>
      </c>
    </row>
    <row r="69" spans="1:12">
      <c r="A69" s="275">
        <v>1</v>
      </c>
      <c r="B69" s="158">
        <v>197000</v>
      </c>
      <c r="C69" s="159">
        <v>199000</v>
      </c>
      <c r="D69" s="159">
        <v>4700</v>
      </c>
      <c r="E69" s="159">
        <v>3070</v>
      </c>
      <c r="F69" s="159">
        <v>1460</v>
      </c>
      <c r="G69" s="159">
        <v>0</v>
      </c>
      <c r="H69" s="159">
        <v>0</v>
      </c>
      <c r="I69" s="159">
        <v>0</v>
      </c>
      <c r="J69" s="159">
        <v>0</v>
      </c>
      <c r="K69" s="159">
        <v>0</v>
      </c>
      <c r="L69" s="160">
        <v>20200</v>
      </c>
    </row>
    <row r="70" spans="1:12">
      <c r="A70" s="275">
        <v>1</v>
      </c>
      <c r="B70" s="158">
        <v>199000</v>
      </c>
      <c r="C70" s="159">
        <v>201000</v>
      </c>
      <c r="D70" s="159">
        <v>4770</v>
      </c>
      <c r="E70" s="159">
        <v>3140</v>
      </c>
      <c r="F70" s="159">
        <v>1530</v>
      </c>
      <c r="G70" s="159">
        <v>0</v>
      </c>
      <c r="H70" s="159">
        <v>0</v>
      </c>
      <c r="I70" s="159">
        <v>0</v>
      </c>
      <c r="J70" s="159">
        <v>0</v>
      </c>
      <c r="K70" s="159">
        <v>0</v>
      </c>
      <c r="L70" s="160">
        <v>20900</v>
      </c>
    </row>
    <row r="71" spans="1:12">
      <c r="A71" s="275">
        <v>1</v>
      </c>
      <c r="B71" s="158">
        <v>201000</v>
      </c>
      <c r="C71" s="159">
        <v>203000</v>
      </c>
      <c r="D71" s="159">
        <v>4840</v>
      </c>
      <c r="E71" s="159">
        <v>3220</v>
      </c>
      <c r="F71" s="159">
        <v>1600</v>
      </c>
      <c r="G71" s="159">
        <v>0</v>
      </c>
      <c r="H71" s="159">
        <v>0</v>
      </c>
      <c r="I71" s="159">
        <v>0</v>
      </c>
      <c r="J71" s="159">
        <v>0</v>
      </c>
      <c r="K71" s="159">
        <v>0</v>
      </c>
      <c r="L71" s="160">
        <v>21500</v>
      </c>
    </row>
    <row r="72" spans="1:12">
      <c r="A72" s="275">
        <v>1</v>
      </c>
      <c r="B72" s="158">
        <v>203000</v>
      </c>
      <c r="C72" s="159">
        <v>205000</v>
      </c>
      <c r="D72" s="159">
        <v>4910</v>
      </c>
      <c r="E72" s="159">
        <v>3290</v>
      </c>
      <c r="F72" s="159">
        <v>1670</v>
      </c>
      <c r="G72" s="159">
        <v>0</v>
      </c>
      <c r="H72" s="159">
        <v>0</v>
      </c>
      <c r="I72" s="159">
        <v>0</v>
      </c>
      <c r="J72" s="159">
        <v>0</v>
      </c>
      <c r="K72" s="159">
        <v>0</v>
      </c>
      <c r="L72" s="160">
        <v>22200</v>
      </c>
    </row>
    <row r="73" spans="1:12">
      <c r="A73" s="275">
        <v>1</v>
      </c>
      <c r="B73" s="158">
        <v>205000</v>
      </c>
      <c r="C73" s="159">
        <v>207000</v>
      </c>
      <c r="D73" s="159">
        <v>4980</v>
      </c>
      <c r="E73" s="159">
        <v>3360</v>
      </c>
      <c r="F73" s="159">
        <v>1750</v>
      </c>
      <c r="G73" s="159">
        <v>130</v>
      </c>
      <c r="H73" s="159">
        <v>0</v>
      </c>
      <c r="I73" s="159">
        <v>0</v>
      </c>
      <c r="J73" s="159">
        <v>0</v>
      </c>
      <c r="K73" s="159">
        <v>0</v>
      </c>
      <c r="L73" s="160">
        <v>22700</v>
      </c>
    </row>
    <row r="74" spans="1:12">
      <c r="A74" s="275">
        <v>1</v>
      </c>
      <c r="B74" s="158">
        <v>207000</v>
      </c>
      <c r="C74" s="159">
        <v>209000</v>
      </c>
      <c r="D74" s="159">
        <v>5050</v>
      </c>
      <c r="E74" s="159">
        <v>3430</v>
      </c>
      <c r="F74" s="159">
        <v>1820</v>
      </c>
      <c r="G74" s="159">
        <v>200</v>
      </c>
      <c r="H74" s="159">
        <v>0</v>
      </c>
      <c r="I74" s="159">
        <v>0</v>
      </c>
      <c r="J74" s="159">
        <v>0</v>
      </c>
      <c r="K74" s="159">
        <v>0</v>
      </c>
      <c r="L74" s="160">
        <v>23300</v>
      </c>
    </row>
    <row r="75" spans="1:12">
      <c r="A75" s="275">
        <v>1</v>
      </c>
      <c r="B75" s="158">
        <v>209000</v>
      </c>
      <c r="C75" s="159">
        <v>211000</v>
      </c>
      <c r="D75" s="159">
        <v>5130</v>
      </c>
      <c r="E75" s="159">
        <v>3500</v>
      </c>
      <c r="F75" s="159">
        <v>1890</v>
      </c>
      <c r="G75" s="159">
        <v>280</v>
      </c>
      <c r="H75" s="159">
        <v>0</v>
      </c>
      <c r="I75" s="159">
        <v>0</v>
      </c>
      <c r="J75" s="159">
        <v>0</v>
      </c>
      <c r="K75" s="159">
        <v>0</v>
      </c>
      <c r="L75" s="160">
        <v>23900</v>
      </c>
    </row>
    <row r="76" spans="1:12">
      <c r="A76" s="275">
        <v>1</v>
      </c>
      <c r="B76" s="158">
        <v>211000</v>
      </c>
      <c r="C76" s="159">
        <v>213000</v>
      </c>
      <c r="D76" s="159">
        <v>5200</v>
      </c>
      <c r="E76" s="159">
        <v>3570</v>
      </c>
      <c r="F76" s="159">
        <v>1960</v>
      </c>
      <c r="G76" s="159">
        <v>350</v>
      </c>
      <c r="H76" s="159">
        <v>0</v>
      </c>
      <c r="I76" s="159">
        <v>0</v>
      </c>
      <c r="J76" s="159">
        <v>0</v>
      </c>
      <c r="K76" s="159">
        <v>0</v>
      </c>
      <c r="L76" s="160">
        <v>24400</v>
      </c>
    </row>
    <row r="77" spans="1:12">
      <c r="A77" s="275">
        <v>1</v>
      </c>
      <c r="B77" s="158">
        <v>213000</v>
      </c>
      <c r="C77" s="159">
        <v>215000</v>
      </c>
      <c r="D77" s="159">
        <v>5270</v>
      </c>
      <c r="E77" s="159">
        <v>3640</v>
      </c>
      <c r="F77" s="159">
        <v>2030</v>
      </c>
      <c r="G77" s="159">
        <v>420</v>
      </c>
      <c r="H77" s="159">
        <v>0</v>
      </c>
      <c r="I77" s="159">
        <v>0</v>
      </c>
      <c r="J77" s="159">
        <v>0</v>
      </c>
      <c r="K77" s="159">
        <v>0</v>
      </c>
      <c r="L77" s="160">
        <v>25000</v>
      </c>
    </row>
    <row r="78" spans="1:12">
      <c r="A78" s="275">
        <v>1</v>
      </c>
      <c r="B78" s="158">
        <v>215000</v>
      </c>
      <c r="C78" s="159">
        <v>217000</v>
      </c>
      <c r="D78" s="159">
        <v>5340</v>
      </c>
      <c r="E78" s="159">
        <v>3720</v>
      </c>
      <c r="F78" s="159">
        <v>2100</v>
      </c>
      <c r="G78" s="159">
        <v>490</v>
      </c>
      <c r="H78" s="159">
        <v>0</v>
      </c>
      <c r="I78" s="159">
        <v>0</v>
      </c>
      <c r="J78" s="159">
        <v>0</v>
      </c>
      <c r="K78" s="159">
        <v>0</v>
      </c>
      <c r="L78" s="160">
        <v>25500</v>
      </c>
    </row>
    <row r="79" spans="1:12">
      <c r="A79" s="275">
        <v>1</v>
      </c>
      <c r="B79" s="158">
        <v>217000</v>
      </c>
      <c r="C79" s="159">
        <v>219000</v>
      </c>
      <c r="D79" s="159">
        <v>5410</v>
      </c>
      <c r="E79" s="159">
        <v>3790</v>
      </c>
      <c r="F79" s="159">
        <v>2170</v>
      </c>
      <c r="G79" s="159">
        <v>560</v>
      </c>
      <c r="H79" s="159">
        <v>0</v>
      </c>
      <c r="I79" s="159">
        <v>0</v>
      </c>
      <c r="J79" s="159">
        <v>0</v>
      </c>
      <c r="K79" s="159">
        <v>0</v>
      </c>
      <c r="L79" s="160">
        <v>26100</v>
      </c>
    </row>
    <row r="80" spans="1:12">
      <c r="A80" s="275">
        <v>1</v>
      </c>
      <c r="B80" s="158">
        <v>219000</v>
      </c>
      <c r="C80" s="159">
        <v>221000</v>
      </c>
      <c r="D80" s="159">
        <v>5480</v>
      </c>
      <c r="E80" s="159">
        <v>3860</v>
      </c>
      <c r="F80" s="159">
        <v>2250</v>
      </c>
      <c r="G80" s="159">
        <v>630</v>
      </c>
      <c r="H80" s="159">
        <v>0</v>
      </c>
      <c r="I80" s="159">
        <v>0</v>
      </c>
      <c r="J80" s="159">
        <v>0</v>
      </c>
      <c r="K80" s="159">
        <v>0</v>
      </c>
      <c r="L80" s="160">
        <v>26800</v>
      </c>
    </row>
    <row r="81" spans="1:12">
      <c r="A81" s="275">
        <v>1</v>
      </c>
      <c r="B81" s="158">
        <v>221000</v>
      </c>
      <c r="C81" s="159">
        <v>224000</v>
      </c>
      <c r="D81" s="159">
        <v>5560</v>
      </c>
      <c r="E81" s="159">
        <v>3950</v>
      </c>
      <c r="F81" s="159">
        <v>2340</v>
      </c>
      <c r="G81" s="159">
        <v>710</v>
      </c>
      <c r="H81" s="159">
        <v>0</v>
      </c>
      <c r="I81" s="159">
        <v>0</v>
      </c>
      <c r="J81" s="159">
        <v>0</v>
      </c>
      <c r="K81" s="159">
        <v>0</v>
      </c>
      <c r="L81" s="160">
        <v>27400</v>
      </c>
    </row>
    <row r="82" spans="1:12">
      <c r="A82" s="275">
        <v>1</v>
      </c>
      <c r="B82" s="158">
        <v>224000</v>
      </c>
      <c r="C82" s="159">
        <v>227000</v>
      </c>
      <c r="D82" s="159">
        <v>5680</v>
      </c>
      <c r="E82" s="159">
        <v>4060</v>
      </c>
      <c r="F82" s="159">
        <v>2440</v>
      </c>
      <c r="G82" s="159">
        <v>830</v>
      </c>
      <c r="H82" s="159">
        <v>0</v>
      </c>
      <c r="I82" s="159">
        <v>0</v>
      </c>
      <c r="J82" s="159">
        <v>0</v>
      </c>
      <c r="K82" s="159">
        <v>0</v>
      </c>
      <c r="L82" s="160">
        <v>28400</v>
      </c>
    </row>
    <row r="83" spans="1:12">
      <c r="A83" s="275">
        <v>1</v>
      </c>
      <c r="B83" s="158">
        <v>227000</v>
      </c>
      <c r="C83" s="159">
        <v>230000</v>
      </c>
      <c r="D83" s="159">
        <v>5780</v>
      </c>
      <c r="E83" s="159">
        <v>4170</v>
      </c>
      <c r="F83" s="159">
        <v>2550</v>
      </c>
      <c r="G83" s="159">
        <v>930</v>
      </c>
      <c r="H83" s="159">
        <v>0</v>
      </c>
      <c r="I83" s="159">
        <v>0</v>
      </c>
      <c r="J83" s="159">
        <v>0</v>
      </c>
      <c r="K83" s="159">
        <v>0</v>
      </c>
      <c r="L83" s="160">
        <v>29300</v>
      </c>
    </row>
    <row r="84" spans="1:12">
      <c r="A84" s="275">
        <v>1</v>
      </c>
      <c r="B84" s="158">
        <v>230000</v>
      </c>
      <c r="C84" s="159">
        <v>233000</v>
      </c>
      <c r="D84" s="159">
        <v>5890</v>
      </c>
      <c r="E84" s="159">
        <v>4280</v>
      </c>
      <c r="F84" s="159">
        <v>2650</v>
      </c>
      <c r="G84" s="159">
        <v>1040</v>
      </c>
      <c r="H84" s="159">
        <v>0</v>
      </c>
      <c r="I84" s="159">
        <v>0</v>
      </c>
      <c r="J84" s="159">
        <v>0</v>
      </c>
      <c r="K84" s="159">
        <v>0</v>
      </c>
      <c r="L84" s="160">
        <v>30300</v>
      </c>
    </row>
    <row r="85" spans="1:12">
      <c r="A85" s="275">
        <v>1</v>
      </c>
      <c r="B85" s="158">
        <v>233000</v>
      </c>
      <c r="C85" s="159">
        <v>236000</v>
      </c>
      <c r="D85" s="159">
        <v>5990</v>
      </c>
      <c r="E85" s="159">
        <v>4380</v>
      </c>
      <c r="F85" s="159">
        <v>2770</v>
      </c>
      <c r="G85" s="159">
        <v>1140</v>
      </c>
      <c r="H85" s="159">
        <v>0</v>
      </c>
      <c r="I85" s="159">
        <v>0</v>
      </c>
      <c r="J85" s="159">
        <v>0</v>
      </c>
      <c r="K85" s="159">
        <v>0</v>
      </c>
      <c r="L85" s="160">
        <v>31300</v>
      </c>
    </row>
    <row r="86" spans="1:12">
      <c r="A86" s="275">
        <v>1</v>
      </c>
      <c r="B86" s="158">
        <v>236000</v>
      </c>
      <c r="C86" s="159">
        <v>239000</v>
      </c>
      <c r="D86" s="159">
        <v>6110</v>
      </c>
      <c r="E86" s="159">
        <v>4490</v>
      </c>
      <c r="F86" s="159">
        <v>2870</v>
      </c>
      <c r="G86" s="159">
        <v>1260</v>
      </c>
      <c r="H86" s="159">
        <v>0</v>
      </c>
      <c r="I86" s="159">
        <v>0</v>
      </c>
      <c r="J86" s="159">
        <v>0</v>
      </c>
      <c r="K86" s="159">
        <v>0</v>
      </c>
      <c r="L86" s="160">
        <v>32400</v>
      </c>
    </row>
    <row r="87" spans="1:12">
      <c r="A87" s="275">
        <v>1</v>
      </c>
      <c r="B87" s="158">
        <v>239000</v>
      </c>
      <c r="C87" s="159">
        <v>242000</v>
      </c>
      <c r="D87" s="159">
        <v>6210</v>
      </c>
      <c r="E87" s="159">
        <v>4590</v>
      </c>
      <c r="F87" s="159">
        <v>2980</v>
      </c>
      <c r="G87" s="159">
        <v>1360</v>
      </c>
      <c r="H87" s="159">
        <v>0</v>
      </c>
      <c r="I87" s="159">
        <v>0</v>
      </c>
      <c r="J87" s="159">
        <v>0</v>
      </c>
      <c r="K87" s="159">
        <v>0</v>
      </c>
      <c r="L87" s="160">
        <v>33400</v>
      </c>
    </row>
    <row r="88" spans="1:12">
      <c r="A88" s="275">
        <v>1</v>
      </c>
      <c r="B88" s="158">
        <v>242000</v>
      </c>
      <c r="C88" s="159">
        <v>245000</v>
      </c>
      <c r="D88" s="159">
        <v>6320</v>
      </c>
      <c r="E88" s="159">
        <v>4710</v>
      </c>
      <c r="F88" s="159">
        <v>3080</v>
      </c>
      <c r="G88" s="159">
        <v>1470</v>
      </c>
      <c r="H88" s="159">
        <v>0</v>
      </c>
      <c r="I88" s="159">
        <v>0</v>
      </c>
      <c r="J88" s="159">
        <v>0</v>
      </c>
      <c r="K88" s="159">
        <v>0</v>
      </c>
      <c r="L88" s="160">
        <v>34400</v>
      </c>
    </row>
    <row r="89" spans="1:12">
      <c r="A89" s="275">
        <v>1</v>
      </c>
      <c r="B89" s="158">
        <v>245000</v>
      </c>
      <c r="C89" s="159">
        <v>248000</v>
      </c>
      <c r="D89" s="159">
        <v>6420</v>
      </c>
      <c r="E89" s="159">
        <v>4810</v>
      </c>
      <c r="F89" s="159">
        <v>3200</v>
      </c>
      <c r="G89" s="159">
        <v>1570</v>
      </c>
      <c r="H89" s="159">
        <v>0</v>
      </c>
      <c r="I89" s="159">
        <v>0</v>
      </c>
      <c r="J89" s="159">
        <v>0</v>
      </c>
      <c r="K89" s="159">
        <v>0</v>
      </c>
      <c r="L89" s="160">
        <v>35400</v>
      </c>
    </row>
    <row r="90" spans="1:12">
      <c r="A90" s="275">
        <v>1</v>
      </c>
      <c r="B90" s="158">
        <v>248000</v>
      </c>
      <c r="C90" s="159">
        <v>251000</v>
      </c>
      <c r="D90" s="159">
        <v>6530</v>
      </c>
      <c r="E90" s="159">
        <v>4920</v>
      </c>
      <c r="F90" s="159">
        <v>3300</v>
      </c>
      <c r="G90" s="159">
        <v>1680</v>
      </c>
      <c r="H90" s="159">
        <v>0</v>
      </c>
      <c r="I90" s="159">
        <v>0</v>
      </c>
      <c r="J90" s="159">
        <v>0</v>
      </c>
      <c r="K90" s="159">
        <v>0</v>
      </c>
      <c r="L90" s="160">
        <v>36400</v>
      </c>
    </row>
    <row r="91" spans="1:12">
      <c r="A91" s="275">
        <v>1</v>
      </c>
      <c r="B91" s="158">
        <v>251000</v>
      </c>
      <c r="C91" s="159">
        <v>254000</v>
      </c>
      <c r="D91" s="159">
        <v>6640</v>
      </c>
      <c r="E91" s="159">
        <v>5020</v>
      </c>
      <c r="F91" s="159">
        <v>3410</v>
      </c>
      <c r="G91" s="159">
        <v>1790</v>
      </c>
      <c r="H91" s="159">
        <v>170</v>
      </c>
      <c r="I91" s="159">
        <v>0</v>
      </c>
      <c r="J91" s="159">
        <v>0</v>
      </c>
      <c r="K91" s="159">
        <v>0</v>
      </c>
      <c r="L91" s="160">
        <v>37500</v>
      </c>
    </row>
    <row r="92" spans="1:12">
      <c r="A92" s="275">
        <v>1</v>
      </c>
      <c r="B92" s="158">
        <v>254000</v>
      </c>
      <c r="C92" s="159">
        <v>257000</v>
      </c>
      <c r="D92" s="159">
        <v>6750</v>
      </c>
      <c r="E92" s="159">
        <v>5140</v>
      </c>
      <c r="F92" s="159">
        <v>3510</v>
      </c>
      <c r="G92" s="159">
        <v>1900</v>
      </c>
      <c r="H92" s="159">
        <v>290</v>
      </c>
      <c r="I92" s="159">
        <v>0</v>
      </c>
      <c r="J92" s="159">
        <v>0</v>
      </c>
      <c r="K92" s="159">
        <v>0</v>
      </c>
      <c r="L92" s="160">
        <v>38500</v>
      </c>
    </row>
    <row r="93" spans="1:12">
      <c r="A93" s="275">
        <v>1</v>
      </c>
      <c r="B93" s="158">
        <v>257000</v>
      </c>
      <c r="C93" s="159">
        <v>260000</v>
      </c>
      <c r="D93" s="159">
        <v>6850</v>
      </c>
      <c r="E93" s="159">
        <v>5240</v>
      </c>
      <c r="F93" s="159">
        <v>3620</v>
      </c>
      <c r="G93" s="159">
        <v>2000</v>
      </c>
      <c r="H93" s="159">
        <v>390</v>
      </c>
      <c r="I93" s="159">
        <v>0</v>
      </c>
      <c r="J93" s="159">
        <v>0</v>
      </c>
      <c r="K93" s="159">
        <v>0</v>
      </c>
      <c r="L93" s="160">
        <v>39400</v>
      </c>
    </row>
    <row r="94" spans="1:12">
      <c r="A94" s="275">
        <v>1</v>
      </c>
      <c r="B94" s="158">
        <v>260000</v>
      </c>
      <c r="C94" s="159">
        <v>263000</v>
      </c>
      <c r="D94" s="159">
        <v>6960</v>
      </c>
      <c r="E94" s="159">
        <v>5350</v>
      </c>
      <c r="F94" s="159">
        <v>3730</v>
      </c>
      <c r="G94" s="159">
        <v>2110</v>
      </c>
      <c r="H94" s="159">
        <v>500</v>
      </c>
      <c r="I94" s="159">
        <v>0</v>
      </c>
      <c r="J94" s="159">
        <v>0</v>
      </c>
      <c r="K94" s="159">
        <v>0</v>
      </c>
      <c r="L94" s="160">
        <v>40400</v>
      </c>
    </row>
    <row r="95" spans="1:12">
      <c r="A95" s="275">
        <v>1</v>
      </c>
      <c r="B95" s="158">
        <v>263000</v>
      </c>
      <c r="C95" s="159">
        <v>266000</v>
      </c>
      <c r="D95" s="159">
        <v>7070</v>
      </c>
      <c r="E95" s="159">
        <v>5450</v>
      </c>
      <c r="F95" s="159">
        <v>3840</v>
      </c>
      <c r="G95" s="159">
        <v>2220</v>
      </c>
      <c r="H95" s="159">
        <v>600</v>
      </c>
      <c r="I95" s="159">
        <v>0</v>
      </c>
      <c r="J95" s="159">
        <v>0</v>
      </c>
      <c r="K95" s="159">
        <v>0</v>
      </c>
      <c r="L95" s="160">
        <v>41500</v>
      </c>
    </row>
    <row r="96" spans="1:12">
      <c r="A96" s="275">
        <v>1</v>
      </c>
      <c r="B96" s="158">
        <v>266000</v>
      </c>
      <c r="C96" s="159">
        <v>269000</v>
      </c>
      <c r="D96" s="159">
        <v>7180</v>
      </c>
      <c r="E96" s="159">
        <v>5560</v>
      </c>
      <c r="F96" s="159">
        <v>3940</v>
      </c>
      <c r="G96" s="159">
        <v>2330</v>
      </c>
      <c r="H96" s="159">
        <v>710</v>
      </c>
      <c r="I96" s="159">
        <v>0</v>
      </c>
      <c r="J96" s="159">
        <v>0</v>
      </c>
      <c r="K96" s="159">
        <v>0</v>
      </c>
      <c r="L96" s="160">
        <v>42500</v>
      </c>
    </row>
    <row r="97" spans="1:12">
      <c r="A97" s="275">
        <v>1</v>
      </c>
      <c r="B97" s="158">
        <v>269000</v>
      </c>
      <c r="C97" s="159">
        <v>272000</v>
      </c>
      <c r="D97" s="159">
        <v>7280</v>
      </c>
      <c r="E97" s="159">
        <v>5670</v>
      </c>
      <c r="F97" s="159">
        <v>4050</v>
      </c>
      <c r="G97" s="159">
        <v>2430</v>
      </c>
      <c r="H97" s="159">
        <v>820</v>
      </c>
      <c r="I97" s="159">
        <v>0</v>
      </c>
      <c r="J97" s="159">
        <v>0</v>
      </c>
      <c r="K97" s="159">
        <v>0</v>
      </c>
      <c r="L97" s="160">
        <v>43500</v>
      </c>
    </row>
    <row r="98" spans="1:12">
      <c r="A98" s="275">
        <v>1</v>
      </c>
      <c r="B98" s="158">
        <v>272000</v>
      </c>
      <c r="C98" s="159">
        <v>275000</v>
      </c>
      <c r="D98" s="159">
        <v>7390</v>
      </c>
      <c r="E98" s="159">
        <v>5780</v>
      </c>
      <c r="F98" s="159">
        <v>4160</v>
      </c>
      <c r="G98" s="159">
        <v>2540</v>
      </c>
      <c r="H98" s="159">
        <v>930</v>
      </c>
      <c r="I98" s="159">
        <v>0</v>
      </c>
      <c r="J98" s="159">
        <v>0</v>
      </c>
      <c r="K98" s="159">
        <v>0</v>
      </c>
      <c r="L98" s="160">
        <v>44500</v>
      </c>
    </row>
    <row r="99" spans="1:12">
      <c r="A99" s="275">
        <v>1</v>
      </c>
      <c r="B99" s="158">
        <v>275000</v>
      </c>
      <c r="C99" s="159">
        <v>278000</v>
      </c>
      <c r="D99" s="159">
        <v>7490</v>
      </c>
      <c r="E99" s="159">
        <v>5880</v>
      </c>
      <c r="F99" s="159">
        <v>4270</v>
      </c>
      <c r="G99" s="159">
        <v>2640</v>
      </c>
      <c r="H99" s="159">
        <v>1030</v>
      </c>
      <c r="I99" s="159">
        <v>0</v>
      </c>
      <c r="J99" s="159">
        <v>0</v>
      </c>
      <c r="K99" s="159">
        <v>0</v>
      </c>
      <c r="L99" s="160">
        <v>45500</v>
      </c>
    </row>
    <row r="100" spans="1:12">
      <c r="A100" s="275">
        <v>1</v>
      </c>
      <c r="B100" s="158">
        <v>278000</v>
      </c>
      <c r="C100" s="159">
        <v>281000</v>
      </c>
      <c r="D100" s="159">
        <v>7610</v>
      </c>
      <c r="E100" s="159">
        <v>5990</v>
      </c>
      <c r="F100" s="159">
        <v>4370</v>
      </c>
      <c r="G100" s="159">
        <v>2760</v>
      </c>
      <c r="H100" s="159">
        <v>1140</v>
      </c>
      <c r="I100" s="159">
        <v>0</v>
      </c>
      <c r="J100" s="159">
        <v>0</v>
      </c>
      <c r="K100" s="159">
        <v>0</v>
      </c>
      <c r="L100" s="160">
        <v>46600</v>
      </c>
    </row>
    <row r="101" spans="1:12">
      <c r="A101" s="275">
        <v>1</v>
      </c>
      <c r="B101" s="158">
        <v>281000</v>
      </c>
      <c r="C101" s="159">
        <v>284000</v>
      </c>
      <c r="D101" s="159">
        <v>7710</v>
      </c>
      <c r="E101" s="159">
        <v>6100</v>
      </c>
      <c r="F101" s="159">
        <v>4480</v>
      </c>
      <c r="G101" s="159">
        <v>2860</v>
      </c>
      <c r="H101" s="159">
        <v>1250</v>
      </c>
      <c r="I101" s="159">
        <v>0</v>
      </c>
      <c r="J101" s="159">
        <v>0</v>
      </c>
      <c r="K101" s="159">
        <v>0</v>
      </c>
      <c r="L101" s="160">
        <v>47600</v>
      </c>
    </row>
    <row r="102" spans="1:12">
      <c r="A102" s="275">
        <v>1</v>
      </c>
      <c r="B102" s="158">
        <v>284000</v>
      </c>
      <c r="C102" s="159">
        <v>287000</v>
      </c>
      <c r="D102" s="159">
        <v>7820</v>
      </c>
      <c r="E102" s="159">
        <v>6210</v>
      </c>
      <c r="F102" s="159">
        <v>4580</v>
      </c>
      <c r="G102" s="159">
        <v>2970</v>
      </c>
      <c r="H102" s="159">
        <v>1360</v>
      </c>
      <c r="I102" s="159">
        <v>0</v>
      </c>
      <c r="J102" s="159">
        <v>0</v>
      </c>
      <c r="K102" s="159">
        <v>0</v>
      </c>
      <c r="L102" s="160">
        <v>48600</v>
      </c>
    </row>
    <row r="103" spans="1:12">
      <c r="A103" s="275">
        <v>1</v>
      </c>
      <c r="B103" s="158">
        <v>287000</v>
      </c>
      <c r="C103" s="159">
        <v>290000</v>
      </c>
      <c r="D103" s="159">
        <v>7920</v>
      </c>
      <c r="E103" s="159">
        <v>6310</v>
      </c>
      <c r="F103" s="159">
        <v>4700</v>
      </c>
      <c r="G103" s="159">
        <v>3070</v>
      </c>
      <c r="H103" s="159">
        <v>1460</v>
      </c>
      <c r="I103" s="159">
        <v>0</v>
      </c>
      <c r="J103" s="159">
        <v>0</v>
      </c>
      <c r="K103" s="159">
        <v>0</v>
      </c>
      <c r="L103" s="276">
        <v>49700</v>
      </c>
    </row>
    <row r="104" spans="1:12">
      <c r="A104" s="275">
        <v>1</v>
      </c>
      <c r="B104" s="158">
        <v>290000</v>
      </c>
      <c r="C104" s="159">
        <v>293000</v>
      </c>
      <c r="D104" s="159">
        <v>8040</v>
      </c>
      <c r="E104" s="159">
        <v>6420</v>
      </c>
      <c r="F104" s="159">
        <v>4800</v>
      </c>
      <c r="G104" s="159">
        <v>3190</v>
      </c>
      <c r="H104" s="159">
        <v>1570</v>
      </c>
      <c r="I104" s="159">
        <v>0</v>
      </c>
      <c r="J104" s="159">
        <v>0</v>
      </c>
      <c r="K104" s="159">
        <v>0</v>
      </c>
      <c r="L104" s="276">
        <v>50900</v>
      </c>
    </row>
    <row r="105" spans="1:12">
      <c r="A105" s="275">
        <v>1</v>
      </c>
      <c r="B105" s="158">
        <v>293000</v>
      </c>
      <c r="C105" s="159">
        <v>296000</v>
      </c>
      <c r="D105" s="159">
        <v>8140</v>
      </c>
      <c r="E105" s="159">
        <v>6520</v>
      </c>
      <c r="F105" s="159">
        <v>4910</v>
      </c>
      <c r="G105" s="159">
        <v>3290</v>
      </c>
      <c r="H105" s="159">
        <v>1670</v>
      </c>
      <c r="I105" s="159">
        <v>0</v>
      </c>
      <c r="J105" s="159">
        <v>0</v>
      </c>
      <c r="K105" s="159">
        <v>0</v>
      </c>
      <c r="L105" s="276">
        <v>52100</v>
      </c>
    </row>
    <row r="106" spans="1:12">
      <c r="A106" s="275">
        <v>1</v>
      </c>
      <c r="B106" s="158">
        <v>296000</v>
      </c>
      <c r="C106" s="159">
        <v>299000</v>
      </c>
      <c r="D106" s="159">
        <v>8250</v>
      </c>
      <c r="E106" s="159">
        <v>6640</v>
      </c>
      <c r="F106" s="159">
        <v>5010</v>
      </c>
      <c r="G106" s="159">
        <v>3400</v>
      </c>
      <c r="H106" s="159">
        <v>1790</v>
      </c>
      <c r="I106" s="159">
        <v>160</v>
      </c>
      <c r="J106" s="159">
        <v>0</v>
      </c>
      <c r="K106" s="159">
        <v>0</v>
      </c>
      <c r="L106" s="276">
        <v>52900</v>
      </c>
    </row>
    <row r="107" spans="1:12">
      <c r="A107" s="275">
        <v>1</v>
      </c>
      <c r="B107" s="158">
        <v>299000</v>
      </c>
      <c r="C107" s="159">
        <v>302000</v>
      </c>
      <c r="D107" s="159">
        <v>8420</v>
      </c>
      <c r="E107" s="159">
        <v>6740</v>
      </c>
      <c r="F107" s="159">
        <v>5130</v>
      </c>
      <c r="G107" s="159">
        <v>3510</v>
      </c>
      <c r="H107" s="159">
        <v>1890</v>
      </c>
      <c r="I107" s="159">
        <v>280</v>
      </c>
      <c r="J107" s="159">
        <v>0</v>
      </c>
      <c r="K107" s="159">
        <v>0</v>
      </c>
      <c r="L107" s="276">
        <v>53700</v>
      </c>
    </row>
    <row r="108" spans="1:12">
      <c r="A108" s="275">
        <v>1</v>
      </c>
      <c r="B108" s="158">
        <v>302000</v>
      </c>
      <c r="C108" s="159">
        <v>305000</v>
      </c>
      <c r="D108" s="159">
        <v>8670</v>
      </c>
      <c r="E108" s="159">
        <v>6860</v>
      </c>
      <c r="F108" s="159">
        <v>5250</v>
      </c>
      <c r="G108" s="159">
        <v>3630</v>
      </c>
      <c r="H108" s="159">
        <v>2010</v>
      </c>
      <c r="I108" s="159">
        <v>400</v>
      </c>
      <c r="J108" s="159">
        <v>0</v>
      </c>
      <c r="K108" s="159">
        <v>0</v>
      </c>
      <c r="L108" s="276">
        <v>54500</v>
      </c>
    </row>
    <row r="109" spans="1:12">
      <c r="A109" s="275">
        <v>1</v>
      </c>
      <c r="B109" s="158">
        <v>305000</v>
      </c>
      <c r="C109" s="159">
        <v>308000</v>
      </c>
      <c r="D109" s="159">
        <v>8910</v>
      </c>
      <c r="E109" s="159">
        <v>6980</v>
      </c>
      <c r="F109" s="159">
        <v>5370</v>
      </c>
      <c r="G109" s="159">
        <v>3760</v>
      </c>
      <c r="H109" s="159">
        <v>2130</v>
      </c>
      <c r="I109" s="159">
        <v>520</v>
      </c>
      <c r="J109" s="159">
        <v>0</v>
      </c>
      <c r="K109" s="159">
        <v>0</v>
      </c>
      <c r="L109" s="276">
        <v>55200</v>
      </c>
    </row>
    <row r="110" spans="1:12">
      <c r="A110" s="275">
        <v>1</v>
      </c>
      <c r="B110" s="158">
        <v>308000</v>
      </c>
      <c r="C110" s="159">
        <v>311000</v>
      </c>
      <c r="D110" s="159">
        <v>9160</v>
      </c>
      <c r="E110" s="159">
        <v>7110</v>
      </c>
      <c r="F110" s="159">
        <v>5490</v>
      </c>
      <c r="G110" s="159">
        <v>3880</v>
      </c>
      <c r="H110" s="159">
        <v>2260</v>
      </c>
      <c r="I110" s="159">
        <v>640</v>
      </c>
      <c r="J110" s="159">
        <v>0</v>
      </c>
      <c r="K110" s="159">
        <v>0</v>
      </c>
      <c r="L110" s="276">
        <v>56100</v>
      </c>
    </row>
    <row r="111" spans="1:12">
      <c r="A111" s="275">
        <v>1</v>
      </c>
      <c r="B111" s="158">
        <v>311000</v>
      </c>
      <c r="C111" s="159">
        <v>314000</v>
      </c>
      <c r="D111" s="159">
        <v>9400</v>
      </c>
      <c r="E111" s="159">
        <v>7230</v>
      </c>
      <c r="F111" s="159">
        <v>5620</v>
      </c>
      <c r="G111" s="159">
        <v>4000</v>
      </c>
      <c r="H111" s="159">
        <v>2380</v>
      </c>
      <c r="I111" s="159">
        <v>770</v>
      </c>
      <c r="J111" s="159">
        <v>0</v>
      </c>
      <c r="K111" s="159">
        <v>0</v>
      </c>
      <c r="L111" s="276">
        <v>56900</v>
      </c>
    </row>
    <row r="112" spans="1:12">
      <c r="A112" s="275">
        <v>1</v>
      </c>
      <c r="B112" s="158">
        <v>314000</v>
      </c>
      <c r="C112" s="159">
        <v>317000</v>
      </c>
      <c r="D112" s="159">
        <v>9650</v>
      </c>
      <c r="E112" s="159">
        <v>7350</v>
      </c>
      <c r="F112" s="159">
        <v>5740</v>
      </c>
      <c r="G112" s="159">
        <v>4120</v>
      </c>
      <c r="H112" s="159">
        <v>2500</v>
      </c>
      <c r="I112" s="159">
        <v>890</v>
      </c>
      <c r="J112" s="159">
        <v>0</v>
      </c>
      <c r="K112" s="159">
        <v>0</v>
      </c>
      <c r="L112" s="276">
        <v>57800</v>
      </c>
    </row>
    <row r="113" spans="1:12">
      <c r="A113" s="275">
        <v>1</v>
      </c>
      <c r="B113" s="158">
        <v>317000</v>
      </c>
      <c r="C113" s="159">
        <v>320000</v>
      </c>
      <c r="D113" s="159">
        <v>9890</v>
      </c>
      <c r="E113" s="159">
        <v>7470</v>
      </c>
      <c r="F113" s="159">
        <v>5860</v>
      </c>
      <c r="G113" s="159">
        <v>4250</v>
      </c>
      <c r="H113" s="159">
        <v>2620</v>
      </c>
      <c r="I113" s="159">
        <v>1010</v>
      </c>
      <c r="J113" s="159">
        <v>0</v>
      </c>
      <c r="K113" s="159">
        <v>0</v>
      </c>
      <c r="L113" s="276">
        <v>58800</v>
      </c>
    </row>
    <row r="114" spans="1:12">
      <c r="A114" s="275">
        <v>1</v>
      </c>
      <c r="B114" s="158">
        <v>320000</v>
      </c>
      <c r="C114" s="159">
        <v>323000</v>
      </c>
      <c r="D114" s="159">
        <v>10140</v>
      </c>
      <c r="E114" s="159">
        <v>7600</v>
      </c>
      <c r="F114" s="159">
        <v>5980</v>
      </c>
      <c r="G114" s="159">
        <v>4370</v>
      </c>
      <c r="H114" s="159">
        <v>2750</v>
      </c>
      <c r="I114" s="159">
        <v>1130</v>
      </c>
      <c r="J114" s="159">
        <v>0</v>
      </c>
      <c r="K114" s="159">
        <v>0</v>
      </c>
      <c r="L114" s="276">
        <v>59800</v>
      </c>
    </row>
    <row r="115" spans="1:12">
      <c r="A115" s="275">
        <v>1</v>
      </c>
      <c r="B115" s="158">
        <v>323000</v>
      </c>
      <c r="C115" s="159">
        <v>326000</v>
      </c>
      <c r="D115" s="159">
        <v>10380</v>
      </c>
      <c r="E115" s="159">
        <v>7720</v>
      </c>
      <c r="F115" s="159">
        <v>6110</v>
      </c>
      <c r="G115" s="159">
        <v>4490</v>
      </c>
      <c r="H115" s="159">
        <v>2870</v>
      </c>
      <c r="I115" s="159">
        <v>1260</v>
      </c>
      <c r="J115" s="159">
        <v>0</v>
      </c>
      <c r="K115" s="159">
        <v>0</v>
      </c>
      <c r="L115" s="276">
        <v>60900</v>
      </c>
    </row>
    <row r="116" spans="1:12">
      <c r="A116" s="275">
        <v>1</v>
      </c>
      <c r="B116" s="158">
        <v>326000</v>
      </c>
      <c r="C116" s="159">
        <v>329000</v>
      </c>
      <c r="D116" s="159">
        <v>10630</v>
      </c>
      <c r="E116" s="159">
        <v>7840</v>
      </c>
      <c r="F116" s="159">
        <v>6230</v>
      </c>
      <c r="G116" s="159">
        <v>4610</v>
      </c>
      <c r="H116" s="159">
        <v>2990</v>
      </c>
      <c r="I116" s="159">
        <v>1380</v>
      </c>
      <c r="J116" s="159">
        <v>0</v>
      </c>
      <c r="K116" s="159">
        <v>0</v>
      </c>
      <c r="L116" s="276">
        <v>61900</v>
      </c>
    </row>
    <row r="117" spans="1:12">
      <c r="A117" s="275">
        <v>1</v>
      </c>
      <c r="B117" s="158">
        <v>329000</v>
      </c>
      <c r="C117" s="159">
        <v>332000</v>
      </c>
      <c r="D117" s="159">
        <v>10870</v>
      </c>
      <c r="E117" s="159">
        <v>7960</v>
      </c>
      <c r="F117" s="159">
        <v>6350</v>
      </c>
      <c r="G117" s="159">
        <v>4740</v>
      </c>
      <c r="H117" s="159">
        <v>3110</v>
      </c>
      <c r="I117" s="159">
        <v>1500</v>
      </c>
      <c r="J117" s="159">
        <v>0</v>
      </c>
      <c r="K117" s="159">
        <v>0</v>
      </c>
      <c r="L117" s="276">
        <v>62900</v>
      </c>
    </row>
    <row r="118" spans="1:12">
      <c r="A118" s="275">
        <v>1</v>
      </c>
      <c r="B118" s="158">
        <v>332000</v>
      </c>
      <c r="C118" s="159">
        <v>335000</v>
      </c>
      <c r="D118" s="159">
        <v>11120</v>
      </c>
      <c r="E118" s="159">
        <v>8090</v>
      </c>
      <c r="F118" s="159">
        <v>6470</v>
      </c>
      <c r="G118" s="159">
        <v>4860</v>
      </c>
      <c r="H118" s="159">
        <v>3240</v>
      </c>
      <c r="I118" s="159">
        <v>1620</v>
      </c>
      <c r="J118" s="159">
        <v>0</v>
      </c>
      <c r="K118" s="159">
        <v>0</v>
      </c>
      <c r="L118" s="276">
        <v>63900</v>
      </c>
    </row>
    <row r="119" spans="1:12">
      <c r="A119" s="275">
        <v>1</v>
      </c>
      <c r="B119" s="158">
        <v>335000</v>
      </c>
      <c r="C119" s="159">
        <v>338000</v>
      </c>
      <c r="D119" s="159">
        <v>11360</v>
      </c>
      <c r="E119" s="159">
        <v>8210</v>
      </c>
      <c r="F119" s="159">
        <v>6600</v>
      </c>
      <c r="G119" s="159">
        <v>4980</v>
      </c>
      <c r="H119" s="159">
        <v>3360</v>
      </c>
      <c r="I119" s="159">
        <v>1750</v>
      </c>
      <c r="J119" s="159">
        <v>130</v>
      </c>
      <c r="K119" s="159">
        <v>0</v>
      </c>
      <c r="L119" s="276">
        <v>64900</v>
      </c>
    </row>
    <row r="120" spans="1:12">
      <c r="A120" s="275">
        <v>1</v>
      </c>
      <c r="B120" s="158">
        <v>338000</v>
      </c>
      <c r="C120" s="159">
        <v>341000</v>
      </c>
      <c r="D120" s="159">
        <v>11610</v>
      </c>
      <c r="E120" s="159">
        <v>8370</v>
      </c>
      <c r="F120" s="159">
        <v>6720</v>
      </c>
      <c r="G120" s="159">
        <v>5110</v>
      </c>
      <c r="H120" s="159">
        <v>3480</v>
      </c>
      <c r="I120" s="159">
        <v>1870</v>
      </c>
      <c r="J120" s="159">
        <v>260</v>
      </c>
      <c r="K120" s="159">
        <v>0</v>
      </c>
      <c r="L120" s="276">
        <v>66000</v>
      </c>
    </row>
    <row r="121" spans="1:12">
      <c r="A121" s="275">
        <v>1</v>
      </c>
      <c r="B121" s="158">
        <v>341000</v>
      </c>
      <c r="C121" s="159">
        <v>344000</v>
      </c>
      <c r="D121" s="159">
        <v>11850</v>
      </c>
      <c r="E121" s="159">
        <v>8620</v>
      </c>
      <c r="F121" s="159">
        <v>6840</v>
      </c>
      <c r="G121" s="159">
        <v>5230</v>
      </c>
      <c r="H121" s="159">
        <v>3600</v>
      </c>
      <c r="I121" s="159">
        <v>1990</v>
      </c>
      <c r="J121" s="159">
        <v>380</v>
      </c>
      <c r="K121" s="159">
        <v>0</v>
      </c>
      <c r="L121" s="276">
        <v>67000</v>
      </c>
    </row>
    <row r="122" spans="1:12">
      <c r="A122" s="275">
        <v>1</v>
      </c>
      <c r="B122" s="158">
        <v>344000</v>
      </c>
      <c r="C122" s="159">
        <v>347000</v>
      </c>
      <c r="D122" s="159">
        <v>12100</v>
      </c>
      <c r="E122" s="159">
        <v>8860</v>
      </c>
      <c r="F122" s="159">
        <v>6960</v>
      </c>
      <c r="G122" s="159">
        <v>5350</v>
      </c>
      <c r="H122" s="159">
        <v>3730</v>
      </c>
      <c r="I122" s="159">
        <v>2110</v>
      </c>
      <c r="J122" s="159">
        <v>500</v>
      </c>
      <c r="K122" s="159">
        <v>0</v>
      </c>
      <c r="L122" s="276">
        <v>68000</v>
      </c>
    </row>
    <row r="123" spans="1:12">
      <c r="A123" s="275">
        <v>1</v>
      </c>
      <c r="B123" s="158">
        <v>347000</v>
      </c>
      <c r="C123" s="159">
        <v>350000</v>
      </c>
      <c r="D123" s="159">
        <v>12340</v>
      </c>
      <c r="E123" s="159">
        <v>9110</v>
      </c>
      <c r="F123" s="159">
        <v>7090</v>
      </c>
      <c r="G123" s="159">
        <v>5470</v>
      </c>
      <c r="H123" s="159">
        <v>3850</v>
      </c>
      <c r="I123" s="159">
        <v>2240</v>
      </c>
      <c r="J123" s="159">
        <v>620</v>
      </c>
      <c r="K123" s="159">
        <v>0</v>
      </c>
      <c r="L123" s="276">
        <v>69000</v>
      </c>
    </row>
    <row r="124" spans="1:12">
      <c r="A124" s="275">
        <v>1</v>
      </c>
      <c r="B124" s="158">
        <v>350000</v>
      </c>
      <c r="C124" s="159">
        <v>353000</v>
      </c>
      <c r="D124" s="159">
        <v>12590</v>
      </c>
      <c r="E124" s="159">
        <v>9350</v>
      </c>
      <c r="F124" s="159">
        <v>7210</v>
      </c>
      <c r="G124" s="159">
        <v>5600</v>
      </c>
      <c r="H124" s="159">
        <v>3970</v>
      </c>
      <c r="I124" s="159">
        <v>2360</v>
      </c>
      <c r="J124" s="159">
        <v>750</v>
      </c>
      <c r="K124" s="159">
        <v>0</v>
      </c>
      <c r="L124" s="276">
        <v>70000</v>
      </c>
    </row>
    <row r="125" spans="1:12">
      <c r="A125" s="275">
        <v>1</v>
      </c>
      <c r="B125" s="158">
        <v>353000</v>
      </c>
      <c r="C125" s="159">
        <v>356000</v>
      </c>
      <c r="D125" s="159">
        <v>12830</v>
      </c>
      <c r="E125" s="159">
        <v>9600</v>
      </c>
      <c r="F125" s="159">
        <v>7330</v>
      </c>
      <c r="G125" s="159">
        <v>5720</v>
      </c>
      <c r="H125" s="159">
        <v>4090</v>
      </c>
      <c r="I125" s="159">
        <v>2480</v>
      </c>
      <c r="J125" s="159">
        <v>870</v>
      </c>
      <c r="K125" s="159">
        <v>0</v>
      </c>
      <c r="L125" s="276">
        <v>71100</v>
      </c>
    </row>
    <row r="126" spans="1:12">
      <c r="A126" s="275">
        <v>1</v>
      </c>
      <c r="B126" s="158">
        <v>356000</v>
      </c>
      <c r="C126" s="159">
        <v>359000</v>
      </c>
      <c r="D126" s="159">
        <v>13080</v>
      </c>
      <c r="E126" s="159">
        <v>9840</v>
      </c>
      <c r="F126" s="159">
        <v>7450</v>
      </c>
      <c r="G126" s="159">
        <v>5840</v>
      </c>
      <c r="H126" s="159">
        <v>4220</v>
      </c>
      <c r="I126" s="159">
        <v>2600</v>
      </c>
      <c r="J126" s="159">
        <v>990</v>
      </c>
      <c r="K126" s="159">
        <v>0</v>
      </c>
      <c r="L126" s="276">
        <v>72100</v>
      </c>
    </row>
    <row r="127" spans="1:12">
      <c r="A127" s="275">
        <v>1</v>
      </c>
      <c r="B127" s="158">
        <v>359000</v>
      </c>
      <c r="C127" s="159">
        <v>362000</v>
      </c>
      <c r="D127" s="159">
        <v>13320</v>
      </c>
      <c r="E127" s="159">
        <v>10090</v>
      </c>
      <c r="F127" s="159">
        <v>7580</v>
      </c>
      <c r="G127" s="159">
        <v>5960</v>
      </c>
      <c r="H127" s="159">
        <v>4340</v>
      </c>
      <c r="I127" s="159">
        <v>2730</v>
      </c>
      <c r="J127" s="159">
        <v>1110</v>
      </c>
      <c r="K127" s="159">
        <v>0</v>
      </c>
      <c r="L127" s="276">
        <v>73100</v>
      </c>
    </row>
    <row r="128" spans="1:12">
      <c r="A128" s="275">
        <v>1</v>
      </c>
      <c r="B128" s="158">
        <v>362000</v>
      </c>
      <c r="C128" s="159">
        <v>365000</v>
      </c>
      <c r="D128" s="159">
        <v>13570</v>
      </c>
      <c r="E128" s="159">
        <v>10330</v>
      </c>
      <c r="F128" s="159">
        <v>7700</v>
      </c>
      <c r="G128" s="159">
        <v>6090</v>
      </c>
      <c r="H128" s="159">
        <v>4460</v>
      </c>
      <c r="I128" s="159">
        <v>2850</v>
      </c>
      <c r="J128" s="159">
        <v>1240</v>
      </c>
      <c r="K128" s="159">
        <v>0</v>
      </c>
      <c r="L128" s="276">
        <v>74200</v>
      </c>
    </row>
    <row r="129" spans="1:12">
      <c r="A129" s="275">
        <v>1</v>
      </c>
      <c r="B129" s="158">
        <v>365000</v>
      </c>
      <c r="C129" s="159">
        <v>368000</v>
      </c>
      <c r="D129" s="159">
        <v>13810</v>
      </c>
      <c r="E129" s="159">
        <v>10580</v>
      </c>
      <c r="F129" s="159">
        <v>7820</v>
      </c>
      <c r="G129" s="159">
        <v>6210</v>
      </c>
      <c r="H129" s="159">
        <v>4580</v>
      </c>
      <c r="I129" s="159">
        <v>2970</v>
      </c>
      <c r="J129" s="159">
        <v>1360</v>
      </c>
      <c r="K129" s="159">
        <v>0</v>
      </c>
      <c r="L129" s="276">
        <v>75200</v>
      </c>
    </row>
    <row r="130" spans="1:12">
      <c r="A130" s="275">
        <v>1</v>
      </c>
      <c r="B130" s="158">
        <v>368000</v>
      </c>
      <c r="C130" s="159">
        <v>371000</v>
      </c>
      <c r="D130" s="159">
        <v>14060</v>
      </c>
      <c r="E130" s="159">
        <v>10820</v>
      </c>
      <c r="F130" s="159">
        <v>7940</v>
      </c>
      <c r="G130" s="159">
        <v>6330</v>
      </c>
      <c r="H130" s="159">
        <v>4710</v>
      </c>
      <c r="I130" s="159">
        <v>3090</v>
      </c>
      <c r="J130" s="159">
        <v>1480</v>
      </c>
      <c r="K130" s="159">
        <v>0</v>
      </c>
      <c r="L130" s="276">
        <v>76200</v>
      </c>
    </row>
    <row r="131" spans="1:12">
      <c r="A131" s="275">
        <v>1</v>
      </c>
      <c r="B131" s="158">
        <v>371000</v>
      </c>
      <c r="C131" s="159">
        <v>374000</v>
      </c>
      <c r="D131" s="159">
        <v>14300</v>
      </c>
      <c r="E131" s="159">
        <v>11070</v>
      </c>
      <c r="F131" s="159">
        <v>8070</v>
      </c>
      <c r="G131" s="159">
        <v>6450</v>
      </c>
      <c r="H131" s="159">
        <v>4830</v>
      </c>
      <c r="I131" s="159">
        <v>3220</v>
      </c>
      <c r="J131" s="159">
        <v>1600</v>
      </c>
      <c r="K131" s="159">
        <v>0</v>
      </c>
      <c r="L131" s="276">
        <v>77100</v>
      </c>
    </row>
    <row r="132" spans="1:12">
      <c r="A132" s="275">
        <v>1</v>
      </c>
      <c r="B132" s="158">
        <v>374000</v>
      </c>
      <c r="C132" s="159">
        <v>377000</v>
      </c>
      <c r="D132" s="159">
        <v>14550</v>
      </c>
      <c r="E132" s="159">
        <v>11310</v>
      </c>
      <c r="F132" s="159">
        <v>8190</v>
      </c>
      <c r="G132" s="159">
        <v>6580</v>
      </c>
      <c r="H132" s="159">
        <v>4950</v>
      </c>
      <c r="I132" s="159">
        <v>3340</v>
      </c>
      <c r="J132" s="159">
        <v>1730</v>
      </c>
      <c r="K132" s="159">
        <v>100</v>
      </c>
      <c r="L132" s="276">
        <v>78100</v>
      </c>
    </row>
    <row r="133" spans="1:12">
      <c r="A133" s="275">
        <v>1</v>
      </c>
      <c r="B133" s="158">
        <v>377000</v>
      </c>
      <c r="C133" s="159">
        <v>380000</v>
      </c>
      <c r="D133" s="159">
        <v>14790</v>
      </c>
      <c r="E133" s="159">
        <v>11560</v>
      </c>
      <c r="F133" s="159">
        <v>8320</v>
      </c>
      <c r="G133" s="159">
        <v>6700</v>
      </c>
      <c r="H133" s="159">
        <v>5070</v>
      </c>
      <c r="I133" s="159">
        <v>3460</v>
      </c>
      <c r="J133" s="159">
        <v>1850</v>
      </c>
      <c r="K133" s="159">
        <v>220</v>
      </c>
      <c r="L133" s="276">
        <v>79000</v>
      </c>
    </row>
    <row r="134" spans="1:12">
      <c r="A134" s="275">
        <v>1</v>
      </c>
      <c r="B134" s="158">
        <v>380000</v>
      </c>
      <c r="C134" s="159">
        <v>383000</v>
      </c>
      <c r="D134" s="159">
        <v>15040</v>
      </c>
      <c r="E134" s="159">
        <v>11800</v>
      </c>
      <c r="F134" s="159">
        <v>8570</v>
      </c>
      <c r="G134" s="159">
        <v>6820</v>
      </c>
      <c r="H134" s="159">
        <v>5200</v>
      </c>
      <c r="I134" s="159">
        <v>3580</v>
      </c>
      <c r="J134" s="159">
        <v>1970</v>
      </c>
      <c r="K134" s="159">
        <v>350</v>
      </c>
      <c r="L134" s="276">
        <v>79900</v>
      </c>
    </row>
    <row r="135" spans="1:12">
      <c r="A135" s="275">
        <v>1</v>
      </c>
      <c r="B135" s="158">
        <v>383000</v>
      </c>
      <c r="C135" s="159">
        <v>386000</v>
      </c>
      <c r="D135" s="159">
        <v>15280</v>
      </c>
      <c r="E135" s="159">
        <v>12050</v>
      </c>
      <c r="F135" s="159">
        <v>8810</v>
      </c>
      <c r="G135" s="159">
        <v>6940</v>
      </c>
      <c r="H135" s="159">
        <v>5320</v>
      </c>
      <c r="I135" s="159">
        <v>3710</v>
      </c>
      <c r="J135" s="159">
        <v>2090</v>
      </c>
      <c r="K135" s="159">
        <v>470</v>
      </c>
      <c r="L135" s="276">
        <v>81400</v>
      </c>
    </row>
    <row r="136" spans="1:12">
      <c r="A136" s="275">
        <v>1</v>
      </c>
      <c r="B136" s="158">
        <v>386000</v>
      </c>
      <c r="C136" s="159">
        <v>389000</v>
      </c>
      <c r="D136" s="159">
        <v>15530</v>
      </c>
      <c r="E136" s="159">
        <v>12290</v>
      </c>
      <c r="F136" s="159">
        <v>9060</v>
      </c>
      <c r="G136" s="159">
        <v>7070</v>
      </c>
      <c r="H136" s="159">
        <v>5440</v>
      </c>
      <c r="I136" s="159">
        <v>3830</v>
      </c>
      <c r="J136" s="159">
        <v>2220</v>
      </c>
      <c r="K136" s="159">
        <v>590</v>
      </c>
      <c r="L136" s="276">
        <v>83100</v>
      </c>
    </row>
    <row r="137" spans="1:12">
      <c r="A137" s="275">
        <v>1</v>
      </c>
      <c r="B137" s="158">
        <v>389000</v>
      </c>
      <c r="C137" s="159">
        <v>392000</v>
      </c>
      <c r="D137" s="159">
        <v>15770</v>
      </c>
      <c r="E137" s="159">
        <v>12540</v>
      </c>
      <c r="F137" s="159">
        <v>9300</v>
      </c>
      <c r="G137" s="159">
        <v>7190</v>
      </c>
      <c r="H137" s="159">
        <v>5560</v>
      </c>
      <c r="I137" s="159">
        <v>3950</v>
      </c>
      <c r="J137" s="159">
        <v>2340</v>
      </c>
      <c r="K137" s="159">
        <v>710</v>
      </c>
      <c r="L137" s="276">
        <v>84700</v>
      </c>
    </row>
    <row r="138" spans="1:12">
      <c r="A138" s="275">
        <v>1</v>
      </c>
      <c r="B138" s="158">
        <v>392000</v>
      </c>
      <c r="C138" s="159">
        <v>395000</v>
      </c>
      <c r="D138" s="159">
        <v>16020</v>
      </c>
      <c r="E138" s="159">
        <v>12780</v>
      </c>
      <c r="F138" s="159">
        <v>9550</v>
      </c>
      <c r="G138" s="159">
        <v>7310</v>
      </c>
      <c r="H138" s="159">
        <v>5690</v>
      </c>
      <c r="I138" s="159">
        <v>4070</v>
      </c>
      <c r="J138" s="159">
        <v>2460</v>
      </c>
      <c r="K138" s="159">
        <v>840</v>
      </c>
      <c r="L138" s="276">
        <v>86500</v>
      </c>
    </row>
    <row r="139" spans="1:12">
      <c r="A139" s="275">
        <v>1</v>
      </c>
      <c r="B139" s="158">
        <v>395000</v>
      </c>
      <c r="C139" s="159">
        <v>398000</v>
      </c>
      <c r="D139" s="159">
        <v>16260</v>
      </c>
      <c r="E139" s="159">
        <v>13030</v>
      </c>
      <c r="F139" s="159">
        <v>9790</v>
      </c>
      <c r="G139" s="159">
        <v>7430</v>
      </c>
      <c r="H139" s="159">
        <v>5810</v>
      </c>
      <c r="I139" s="159">
        <v>4200</v>
      </c>
      <c r="J139" s="159">
        <v>2580</v>
      </c>
      <c r="K139" s="159">
        <v>960</v>
      </c>
      <c r="L139" s="276">
        <v>88200</v>
      </c>
    </row>
    <row r="140" spans="1:12">
      <c r="A140" s="275">
        <v>1</v>
      </c>
      <c r="B140" s="158">
        <v>398000</v>
      </c>
      <c r="C140" s="159">
        <v>401000</v>
      </c>
      <c r="D140" s="159">
        <v>16510</v>
      </c>
      <c r="E140" s="159">
        <v>13270</v>
      </c>
      <c r="F140" s="159">
        <v>10040</v>
      </c>
      <c r="G140" s="159">
        <v>7560</v>
      </c>
      <c r="H140" s="159">
        <v>5930</v>
      </c>
      <c r="I140" s="159">
        <v>4320</v>
      </c>
      <c r="J140" s="159">
        <v>2710</v>
      </c>
      <c r="K140" s="159">
        <v>1080</v>
      </c>
      <c r="L140" s="276">
        <v>89800</v>
      </c>
    </row>
    <row r="141" spans="1:12">
      <c r="A141" s="275">
        <v>1</v>
      </c>
      <c r="B141" s="158">
        <v>401000</v>
      </c>
      <c r="C141" s="159">
        <v>404000</v>
      </c>
      <c r="D141" s="159">
        <v>16750</v>
      </c>
      <c r="E141" s="159">
        <v>13520</v>
      </c>
      <c r="F141" s="159">
        <v>10280</v>
      </c>
      <c r="G141" s="159">
        <v>7680</v>
      </c>
      <c r="H141" s="159">
        <v>6050</v>
      </c>
      <c r="I141" s="159">
        <v>4440</v>
      </c>
      <c r="J141" s="159">
        <v>2830</v>
      </c>
      <c r="K141" s="159">
        <v>1200</v>
      </c>
      <c r="L141" s="276">
        <v>91600</v>
      </c>
    </row>
    <row r="142" spans="1:12">
      <c r="A142" s="275">
        <v>1</v>
      </c>
      <c r="B142" s="158">
        <v>404000</v>
      </c>
      <c r="C142" s="159">
        <v>407000</v>
      </c>
      <c r="D142" s="159">
        <v>17000</v>
      </c>
      <c r="E142" s="159">
        <v>13760</v>
      </c>
      <c r="F142" s="159">
        <v>10530</v>
      </c>
      <c r="G142" s="159">
        <v>7800</v>
      </c>
      <c r="H142" s="159">
        <v>6180</v>
      </c>
      <c r="I142" s="159">
        <v>4560</v>
      </c>
      <c r="J142" s="159">
        <v>2950</v>
      </c>
      <c r="K142" s="159">
        <v>1330</v>
      </c>
      <c r="L142" s="276">
        <v>93300</v>
      </c>
    </row>
    <row r="143" spans="1:12">
      <c r="A143" s="275">
        <v>1</v>
      </c>
      <c r="B143" s="158">
        <v>407000</v>
      </c>
      <c r="C143" s="159">
        <v>410000</v>
      </c>
      <c r="D143" s="159">
        <v>17240</v>
      </c>
      <c r="E143" s="159">
        <v>14010</v>
      </c>
      <c r="F143" s="159">
        <v>10770</v>
      </c>
      <c r="G143" s="159">
        <v>7920</v>
      </c>
      <c r="H143" s="159">
        <v>6300</v>
      </c>
      <c r="I143" s="159">
        <v>4690</v>
      </c>
      <c r="J143" s="159">
        <v>3070</v>
      </c>
      <c r="K143" s="159">
        <v>1450</v>
      </c>
      <c r="L143" s="276">
        <v>95000</v>
      </c>
    </row>
    <row r="144" spans="1:12">
      <c r="A144" s="275">
        <v>1</v>
      </c>
      <c r="B144" s="158">
        <v>410000</v>
      </c>
      <c r="C144" s="159">
        <v>413000</v>
      </c>
      <c r="D144" s="159">
        <v>17490</v>
      </c>
      <c r="E144" s="159">
        <v>14250</v>
      </c>
      <c r="F144" s="159">
        <v>11020</v>
      </c>
      <c r="G144" s="159">
        <v>8050</v>
      </c>
      <c r="H144" s="159">
        <v>6420</v>
      </c>
      <c r="I144" s="159">
        <v>4810</v>
      </c>
      <c r="J144" s="159">
        <v>3200</v>
      </c>
      <c r="K144" s="159">
        <v>1570</v>
      </c>
      <c r="L144" s="276">
        <v>96700</v>
      </c>
    </row>
    <row r="145" spans="1:12">
      <c r="A145" s="275">
        <v>1</v>
      </c>
      <c r="B145" s="158">
        <v>413000</v>
      </c>
      <c r="C145" s="159">
        <v>416000</v>
      </c>
      <c r="D145" s="159">
        <v>17730</v>
      </c>
      <c r="E145" s="159">
        <v>14500</v>
      </c>
      <c r="F145" s="159">
        <v>11260</v>
      </c>
      <c r="G145" s="159">
        <v>8170</v>
      </c>
      <c r="H145" s="159">
        <v>6540</v>
      </c>
      <c r="I145" s="159">
        <v>4930</v>
      </c>
      <c r="J145" s="159">
        <v>3320</v>
      </c>
      <c r="K145" s="159">
        <v>1690</v>
      </c>
      <c r="L145" s="276">
        <v>98300</v>
      </c>
    </row>
    <row r="146" spans="1:12">
      <c r="A146" s="275">
        <v>1</v>
      </c>
      <c r="B146" s="158">
        <v>416000</v>
      </c>
      <c r="C146" s="159">
        <v>419000</v>
      </c>
      <c r="D146" s="159">
        <v>17980</v>
      </c>
      <c r="E146" s="159">
        <v>14740</v>
      </c>
      <c r="F146" s="159">
        <v>11510</v>
      </c>
      <c r="G146" s="159">
        <v>8290</v>
      </c>
      <c r="H146" s="159">
        <v>6670</v>
      </c>
      <c r="I146" s="159">
        <v>5050</v>
      </c>
      <c r="J146" s="159">
        <v>3440</v>
      </c>
      <c r="K146" s="159">
        <v>1820</v>
      </c>
      <c r="L146" s="276">
        <v>100100</v>
      </c>
    </row>
    <row r="147" spans="1:12">
      <c r="A147" s="275">
        <v>1</v>
      </c>
      <c r="B147" s="158">
        <v>419000</v>
      </c>
      <c r="C147" s="159">
        <v>422000</v>
      </c>
      <c r="D147" s="159">
        <v>18220</v>
      </c>
      <c r="E147" s="159">
        <v>14990</v>
      </c>
      <c r="F147" s="159">
        <v>11750</v>
      </c>
      <c r="G147" s="159">
        <v>8530</v>
      </c>
      <c r="H147" s="159">
        <v>6790</v>
      </c>
      <c r="I147" s="159">
        <v>5180</v>
      </c>
      <c r="J147" s="159">
        <v>3560</v>
      </c>
      <c r="K147" s="159">
        <v>1940</v>
      </c>
      <c r="L147" s="276">
        <v>101800</v>
      </c>
    </row>
    <row r="148" spans="1:12">
      <c r="A148" s="275">
        <v>1</v>
      </c>
      <c r="B148" s="158">
        <v>422000</v>
      </c>
      <c r="C148" s="159">
        <v>425000</v>
      </c>
      <c r="D148" s="159">
        <v>18470</v>
      </c>
      <c r="E148" s="159">
        <v>15230</v>
      </c>
      <c r="F148" s="159">
        <v>12000</v>
      </c>
      <c r="G148" s="159">
        <v>8770</v>
      </c>
      <c r="H148" s="159">
        <v>6910</v>
      </c>
      <c r="I148" s="159">
        <v>5300</v>
      </c>
      <c r="J148" s="159">
        <v>3690</v>
      </c>
      <c r="K148" s="159">
        <v>2060</v>
      </c>
      <c r="L148" s="276">
        <v>103400</v>
      </c>
    </row>
    <row r="149" spans="1:12">
      <c r="A149" s="275">
        <v>1</v>
      </c>
      <c r="B149" s="158">
        <v>425000</v>
      </c>
      <c r="C149" s="159">
        <v>428000</v>
      </c>
      <c r="D149" s="159">
        <v>18710</v>
      </c>
      <c r="E149" s="159">
        <v>15480</v>
      </c>
      <c r="F149" s="159">
        <v>12240</v>
      </c>
      <c r="G149" s="159">
        <v>9020</v>
      </c>
      <c r="H149" s="159">
        <v>7030</v>
      </c>
      <c r="I149" s="159">
        <v>5420</v>
      </c>
      <c r="J149" s="159">
        <v>3810</v>
      </c>
      <c r="K149" s="159">
        <v>2180</v>
      </c>
      <c r="L149" s="276">
        <v>105200</v>
      </c>
    </row>
    <row r="150" spans="1:12">
      <c r="A150" s="275">
        <v>1</v>
      </c>
      <c r="B150" s="158">
        <v>428000</v>
      </c>
      <c r="C150" s="159">
        <v>431000</v>
      </c>
      <c r="D150" s="159">
        <v>18960</v>
      </c>
      <c r="E150" s="159">
        <v>15720</v>
      </c>
      <c r="F150" s="159">
        <v>12490</v>
      </c>
      <c r="G150" s="159">
        <v>9260</v>
      </c>
      <c r="H150" s="159">
        <v>7160</v>
      </c>
      <c r="I150" s="159">
        <v>5540</v>
      </c>
      <c r="J150" s="159">
        <v>3930</v>
      </c>
      <c r="K150" s="159">
        <v>2310</v>
      </c>
      <c r="L150" s="276">
        <v>106900</v>
      </c>
    </row>
    <row r="151" spans="1:12">
      <c r="A151" s="275">
        <v>1</v>
      </c>
      <c r="B151" s="158">
        <v>431000</v>
      </c>
      <c r="C151" s="159">
        <v>434000</v>
      </c>
      <c r="D151" s="159">
        <v>19210</v>
      </c>
      <c r="E151" s="159">
        <v>15970</v>
      </c>
      <c r="F151" s="159">
        <v>12730</v>
      </c>
      <c r="G151" s="159">
        <v>9510</v>
      </c>
      <c r="H151" s="159">
        <v>7280</v>
      </c>
      <c r="I151" s="159">
        <v>5670</v>
      </c>
      <c r="J151" s="159">
        <v>4050</v>
      </c>
      <c r="K151" s="159">
        <v>2430</v>
      </c>
      <c r="L151" s="276">
        <v>108500</v>
      </c>
    </row>
    <row r="152" spans="1:12">
      <c r="A152" s="275">
        <v>1</v>
      </c>
      <c r="B152" s="158">
        <v>434000</v>
      </c>
      <c r="C152" s="159">
        <v>437000</v>
      </c>
      <c r="D152" s="159">
        <v>19450</v>
      </c>
      <c r="E152" s="159">
        <v>16210</v>
      </c>
      <c r="F152" s="159">
        <v>12980</v>
      </c>
      <c r="G152" s="159">
        <v>9750</v>
      </c>
      <c r="H152" s="159">
        <v>7400</v>
      </c>
      <c r="I152" s="159">
        <v>5790</v>
      </c>
      <c r="J152" s="159">
        <v>4180</v>
      </c>
      <c r="K152" s="159">
        <v>2550</v>
      </c>
      <c r="L152" s="276">
        <v>110300</v>
      </c>
    </row>
    <row r="153" spans="1:12">
      <c r="A153" s="275">
        <v>1</v>
      </c>
      <c r="B153" s="158">
        <v>437000</v>
      </c>
      <c r="C153" s="159">
        <v>440000</v>
      </c>
      <c r="D153" s="159">
        <v>19700</v>
      </c>
      <c r="E153" s="159">
        <v>16460</v>
      </c>
      <c r="F153" s="159">
        <v>13220</v>
      </c>
      <c r="G153" s="159">
        <v>10000</v>
      </c>
      <c r="H153" s="159">
        <v>7520</v>
      </c>
      <c r="I153" s="159">
        <v>5910</v>
      </c>
      <c r="J153" s="159">
        <v>4300</v>
      </c>
      <c r="K153" s="159">
        <v>2680</v>
      </c>
      <c r="L153" s="276">
        <v>112000</v>
      </c>
    </row>
    <row r="154" spans="1:12">
      <c r="A154" s="275">
        <v>1</v>
      </c>
      <c r="B154" s="158">
        <v>440000</v>
      </c>
      <c r="C154" s="159">
        <v>443000</v>
      </c>
      <c r="D154" s="159">
        <v>20090</v>
      </c>
      <c r="E154" s="159">
        <v>16700</v>
      </c>
      <c r="F154" s="159">
        <v>13470</v>
      </c>
      <c r="G154" s="159">
        <v>10240</v>
      </c>
      <c r="H154" s="159">
        <v>7650</v>
      </c>
      <c r="I154" s="159">
        <v>6030</v>
      </c>
      <c r="J154" s="159">
        <v>4420</v>
      </c>
      <c r="K154" s="159">
        <v>2800</v>
      </c>
      <c r="L154" s="276">
        <v>113600</v>
      </c>
    </row>
    <row r="155" spans="1:12">
      <c r="A155" s="275">
        <v>1</v>
      </c>
      <c r="B155" s="158">
        <v>443000</v>
      </c>
      <c r="C155" s="159">
        <v>446000</v>
      </c>
      <c r="D155" s="159">
        <v>20580</v>
      </c>
      <c r="E155" s="159">
        <v>16950</v>
      </c>
      <c r="F155" s="159">
        <v>13710</v>
      </c>
      <c r="G155" s="159">
        <v>10490</v>
      </c>
      <c r="H155" s="159">
        <v>7770</v>
      </c>
      <c r="I155" s="159">
        <v>6160</v>
      </c>
      <c r="J155" s="159">
        <v>4540</v>
      </c>
      <c r="K155" s="159">
        <v>2920</v>
      </c>
      <c r="L155" s="276">
        <v>115400</v>
      </c>
    </row>
    <row r="156" spans="1:12">
      <c r="A156" s="275">
        <v>1</v>
      </c>
      <c r="B156" s="158">
        <v>446000</v>
      </c>
      <c r="C156" s="159">
        <v>449000</v>
      </c>
      <c r="D156" s="159">
        <v>21070</v>
      </c>
      <c r="E156" s="159">
        <v>17190</v>
      </c>
      <c r="F156" s="159">
        <v>13960</v>
      </c>
      <c r="G156" s="159">
        <v>10730</v>
      </c>
      <c r="H156" s="159">
        <v>7890</v>
      </c>
      <c r="I156" s="159">
        <v>6280</v>
      </c>
      <c r="J156" s="159">
        <v>4670</v>
      </c>
      <c r="K156" s="159">
        <v>3040</v>
      </c>
      <c r="L156" s="276">
        <v>117100</v>
      </c>
    </row>
    <row r="157" spans="1:12">
      <c r="A157" s="275">
        <v>1</v>
      </c>
      <c r="B157" s="158">
        <v>449000</v>
      </c>
      <c r="C157" s="159">
        <v>452000</v>
      </c>
      <c r="D157" s="159">
        <v>21560</v>
      </c>
      <c r="E157" s="159">
        <v>17440</v>
      </c>
      <c r="F157" s="159">
        <v>14200</v>
      </c>
      <c r="G157" s="159">
        <v>10980</v>
      </c>
      <c r="H157" s="159">
        <v>8010</v>
      </c>
      <c r="I157" s="159">
        <v>6400</v>
      </c>
      <c r="J157" s="159">
        <v>4790</v>
      </c>
      <c r="K157" s="159">
        <v>3170</v>
      </c>
      <c r="L157" s="276">
        <v>118700</v>
      </c>
    </row>
    <row r="158" spans="1:12">
      <c r="A158" s="275">
        <v>1</v>
      </c>
      <c r="B158" s="158">
        <v>452000</v>
      </c>
      <c r="C158" s="159">
        <v>455000</v>
      </c>
      <c r="D158" s="159">
        <v>22050</v>
      </c>
      <c r="E158" s="159">
        <v>17680</v>
      </c>
      <c r="F158" s="159">
        <v>14450</v>
      </c>
      <c r="G158" s="159">
        <v>11220</v>
      </c>
      <c r="H158" s="159">
        <v>8140</v>
      </c>
      <c r="I158" s="159">
        <v>6520</v>
      </c>
      <c r="J158" s="159">
        <v>4910</v>
      </c>
      <c r="K158" s="159">
        <v>3290</v>
      </c>
      <c r="L158" s="276">
        <v>120500</v>
      </c>
    </row>
    <row r="159" spans="1:12">
      <c r="A159" s="275">
        <v>1</v>
      </c>
      <c r="B159" s="158">
        <v>455000</v>
      </c>
      <c r="C159" s="159">
        <v>458000</v>
      </c>
      <c r="D159" s="159">
        <v>22540</v>
      </c>
      <c r="E159" s="159">
        <v>17930</v>
      </c>
      <c r="F159" s="159">
        <v>14690</v>
      </c>
      <c r="G159" s="159">
        <v>11470</v>
      </c>
      <c r="H159" s="159">
        <v>8260</v>
      </c>
      <c r="I159" s="159">
        <v>6650</v>
      </c>
      <c r="J159" s="159">
        <v>5030</v>
      </c>
      <c r="K159" s="159">
        <v>3410</v>
      </c>
      <c r="L159" s="276">
        <v>122200</v>
      </c>
    </row>
    <row r="160" spans="1:12">
      <c r="A160" s="275">
        <v>1</v>
      </c>
      <c r="B160" s="158">
        <v>458000</v>
      </c>
      <c r="C160" s="159">
        <v>461000</v>
      </c>
      <c r="D160" s="159">
        <v>23030</v>
      </c>
      <c r="E160" s="159">
        <v>18170</v>
      </c>
      <c r="F160" s="159">
        <v>14940</v>
      </c>
      <c r="G160" s="159">
        <v>11710</v>
      </c>
      <c r="H160" s="159">
        <v>8470</v>
      </c>
      <c r="I160" s="159">
        <v>6770</v>
      </c>
      <c r="J160" s="159">
        <v>5160</v>
      </c>
      <c r="K160" s="159">
        <v>3530</v>
      </c>
      <c r="L160" s="276">
        <v>123800</v>
      </c>
    </row>
    <row r="161" spans="1:12">
      <c r="A161" s="275">
        <v>1</v>
      </c>
      <c r="B161" s="158">
        <v>461000</v>
      </c>
      <c r="C161" s="159">
        <v>464000</v>
      </c>
      <c r="D161" s="159">
        <v>23520</v>
      </c>
      <c r="E161" s="159">
        <v>18420</v>
      </c>
      <c r="F161" s="159">
        <v>15180</v>
      </c>
      <c r="G161" s="159">
        <v>11960</v>
      </c>
      <c r="H161" s="159">
        <v>8720</v>
      </c>
      <c r="I161" s="159">
        <v>6890</v>
      </c>
      <c r="J161" s="159">
        <v>5280</v>
      </c>
      <c r="K161" s="159">
        <v>3660</v>
      </c>
      <c r="L161" s="276">
        <v>125600</v>
      </c>
    </row>
    <row r="162" spans="1:12">
      <c r="A162" s="275">
        <v>1</v>
      </c>
      <c r="B162" s="158">
        <v>464000</v>
      </c>
      <c r="C162" s="159">
        <v>467000</v>
      </c>
      <c r="D162" s="159">
        <v>24010</v>
      </c>
      <c r="E162" s="159">
        <v>18660</v>
      </c>
      <c r="F162" s="159">
        <v>15430</v>
      </c>
      <c r="G162" s="159">
        <v>12200</v>
      </c>
      <c r="H162" s="159">
        <v>8960</v>
      </c>
      <c r="I162" s="159">
        <v>7010</v>
      </c>
      <c r="J162" s="159">
        <v>5400</v>
      </c>
      <c r="K162" s="159">
        <v>3780</v>
      </c>
      <c r="L162" s="276">
        <v>127300</v>
      </c>
    </row>
    <row r="163" spans="1:12">
      <c r="A163" s="275">
        <v>1</v>
      </c>
      <c r="B163" s="158">
        <v>467000</v>
      </c>
      <c r="C163" s="159">
        <v>470000</v>
      </c>
      <c r="D163" s="159">
        <v>24500</v>
      </c>
      <c r="E163" s="159">
        <v>18910</v>
      </c>
      <c r="F163" s="159">
        <v>15670</v>
      </c>
      <c r="G163" s="159">
        <v>12450</v>
      </c>
      <c r="H163" s="159">
        <v>9210</v>
      </c>
      <c r="I163" s="159">
        <v>7140</v>
      </c>
      <c r="J163" s="159">
        <v>5520</v>
      </c>
      <c r="K163" s="159">
        <v>3900</v>
      </c>
      <c r="L163" s="276">
        <v>129000</v>
      </c>
    </row>
    <row r="164" spans="1:12">
      <c r="A164" s="275">
        <v>1</v>
      </c>
      <c r="B164" s="158">
        <v>470000</v>
      </c>
      <c r="C164" s="159">
        <v>473000</v>
      </c>
      <c r="D164" s="159">
        <v>24990</v>
      </c>
      <c r="E164" s="159">
        <v>19150</v>
      </c>
      <c r="F164" s="159">
        <v>15920</v>
      </c>
      <c r="G164" s="159">
        <v>12690</v>
      </c>
      <c r="H164" s="159">
        <v>9450</v>
      </c>
      <c r="I164" s="159">
        <v>7260</v>
      </c>
      <c r="J164" s="159">
        <v>5650</v>
      </c>
      <c r="K164" s="159">
        <v>4020</v>
      </c>
      <c r="L164" s="276">
        <v>130700</v>
      </c>
    </row>
    <row r="165" spans="1:12">
      <c r="A165" s="275">
        <v>1</v>
      </c>
      <c r="B165" s="158">
        <v>473000</v>
      </c>
      <c r="C165" s="159">
        <v>476000</v>
      </c>
      <c r="D165" s="159">
        <v>25480</v>
      </c>
      <c r="E165" s="159">
        <v>19400</v>
      </c>
      <c r="F165" s="159">
        <v>16160</v>
      </c>
      <c r="G165" s="159">
        <v>12940</v>
      </c>
      <c r="H165" s="159">
        <v>9700</v>
      </c>
      <c r="I165" s="159">
        <v>7380</v>
      </c>
      <c r="J165" s="159">
        <v>5770</v>
      </c>
      <c r="K165" s="159">
        <v>4150</v>
      </c>
      <c r="L165" s="276">
        <v>132300</v>
      </c>
    </row>
    <row r="166" spans="1:12">
      <c r="A166" s="275">
        <v>1</v>
      </c>
      <c r="B166" s="158">
        <v>476000</v>
      </c>
      <c r="C166" s="159">
        <v>479000</v>
      </c>
      <c r="D166" s="159">
        <v>25970</v>
      </c>
      <c r="E166" s="159">
        <v>19640</v>
      </c>
      <c r="F166" s="159">
        <v>16410</v>
      </c>
      <c r="G166" s="159">
        <v>13180</v>
      </c>
      <c r="H166" s="159">
        <v>9940</v>
      </c>
      <c r="I166" s="159">
        <v>7500</v>
      </c>
      <c r="J166" s="159">
        <v>5890</v>
      </c>
      <c r="K166" s="159">
        <v>4270</v>
      </c>
      <c r="L166" s="276">
        <v>134000</v>
      </c>
    </row>
    <row r="167" spans="1:12">
      <c r="A167" s="275">
        <v>1</v>
      </c>
      <c r="B167" s="158">
        <v>479000</v>
      </c>
      <c r="C167" s="159">
        <v>482000</v>
      </c>
      <c r="D167" s="159">
        <v>26460</v>
      </c>
      <c r="E167" s="159">
        <v>20000</v>
      </c>
      <c r="F167" s="159">
        <v>16650</v>
      </c>
      <c r="G167" s="159">
        <v>13430</v>
      </c>
      <c r="H167" s="159">
        <v>10190</v>
      </c>
      <c r="I167" s="159">
        <v>7630</v>
      </c>
      <c r="J167" s="159">
        <v>6010</v>
      </c>
      <c r="K167" s="159">
        <v>4390</v>
      </c>
      <c r="L167" s="276">
        <v>135600</v>
      </c>
    </row>
    <row r="168" spans="1:12">
      <c r="A168" s="275">
        <v>1</v>
      </c>
      <c r="B168" s="158">
        <v>482000</v>
      </c>
      <c r="C168" s="159">
        <v>485000</v>
      </c>
      <c r="D168" s="159">
        <v>26950</v>
      </c>
      <c r="E168" s="159">
        <v>20490</v>
      </c>
      <c r="F168" s="159">
        <v>16900</v>
      </c>
      <c r="G168" s="159">
        <v>13670</v>
      </c>
      <c r="H168" s="159">
        <v>10430</v>
      </c>
      <c r="I168" s="159">
        <v>7750</v>
      </c>
      <c r="J168" s="159">
        <v>6140</v>
      </c>
      <c r="K168" s="159">
        <v>4510</v>
      </c>
      <c r="L168" s="276">
        <v>137200</v>
      </c>
    </row>
    <row r="169" spans="1:12">
      <c r="A169" s="275">
        <v>1</v>
      </c>
      <c r="B169" s="158">
        <v>485000</v>
      </c>
      <c r="C169" s="159">
        <v>488000</v>
      </c>
      <c r="D169" s="159">
        <v>27440</v>
      </c>
      <c r="E169" s="159">
        <v>20980</v>
      </c>
      <c r="F169" s="159">
        <v>17140</v>
      </c>
      <c r="G169" s="159">
        <v>13920</v>
      </c>
      <c r="H169" s="159">
        <v>10680</v>
      </c>
      <c r="I169" s="159">
        <v>7870</v>
      </c>
      <c r="J169" s="159">
        <v>6260</v>
      </c>
      <c r="K169" s="159">
        <v>4640</v>
      </c>
      <c r="L169" s="276">
        <v>138800</v>
      </c>
    </row>
    <row r="170" spans="1:12">
      <c r="A170" s="275">
        <v>1</v>
      </c>
      <c r="B170" s="158">
        <v>488000</v>
      </c>
      <c r="C170" s="159">
        <v>491000</v>
      </c>
      <c r="D170" s="159">
        <v>27930</v>
      </c>
      <c r="E170" s="159">
        <v>21470</v>
      </c>
      <c r="F170" s="159">
        <v>17390</v>
      </c>
      <c r="G170" s="159">
        <v>14160</v>
      </c>
      <c r="H170" s="159">
        <v>10920</v>
      </c>
      <c r="I170" s="159">
        <v>7990</v>
      </c>
      <c r="J170" s="159">
        <v>6380</v>
      </c>
      <c r="K170" s="159">
        <v>4760</v>
      </c>
      <c r="L170" s="276">
        <v>140400</v>
      </c>
    </row>
    <row r="171" spans="1:12">
      <c r="A171" s="275">
        <v>1</v>
      </c>
      <c r="B171" s="158">
        <v>491000</v>
      </c>
      <c r="C171" s="159">
        <v>494000</v>
      </c>
      <c r="D171" s="159">
        <v>28420</v>
      </c>
      <c r="E171" s="159">
        <v>21960</v>
      </c>
      <c r="F171" s="159">
        <v>17630</v>
      </c>
      <c r="G171" s="159">
        <v>14410</v>
      </c>
      <c r="H171" s="159">
        <v>11170</v>
      </c>
      <c r="I171" s="159">
        <v>8120</v>
      </c>
      <c r="J171" s="159">
        <v>6500</v>
      </c>
      <c r="K171" s="159">
        <v>4880</v>
      </c>
      <c r="L171" s="276">
        <v>142000</v>
      </c>
    </row>
    <row r="172" spans="1:12">
      <c r="A172" s="275">
        <v>1</v>
      </c>
      <c r="B172" s="158">
        <v>494000</v>
      </c>
      <c r="C172" s="159">
        <v>497000</v>
      </c>
      <c r="D172" s="159">
        <v>28910</v>
      </c>
      <c r="E172" s="159">
        <v>22450</v>
      </c>
      <c r="F172" s="159">
        <v>17880</v>
      </c>
      <c r="G172" s="159">
        <v>14650</v>
      </c>
      <c r="H172" s="159">
        <v>11410</v>
      </c>
      <c r="I172" s="159">
        <v>8240</v>
      </c>
      <c r="J172" s="159">
        <v>6630</v>
      </c>
      <c r="K172" s="159">
        <v>5000</v>
      </c>
      <c r="L172" s="276">
        <v>143700</v>
      </c>
    </row>
    <row r="173" spans="1:12">
      <c r="A173" s="275">
        <v>1</v>
      </c>
      <c r="B173" s="158">
        <v>497000</v>
      </c>
      <c r="C173" s="159">
        <v>500000</v>
      </c>
      <c r="D173" s="159">
        <v>29400</v>
      </c>
      <c r="E173" s="159">
        <v>22940</v>
      </c>
      <c r="F173" s="159">
        <v>18120</v>
      </c>
      <c r="G173" s="159">
        <v>14900</v>
      </c>
      <c r="H173" s="159">
        <v>11660</v>
      </c>
      <c r="I173" s="159">
        <v>8420</v>
      </c>
      <c r="J173" s="159">
        <v>6750</v>
      </c>
      <c r="K173" s="159">
        <v>5130</v>
      </c>
      <c r="L173" s="276">
        <v>145200</v>
      </c>
    </row>
    <row r="174" spans="1:12">
      <c r="A174" s="275">
        <v>1</v>
      </c>
      <c r="B174" s="158">
        <v>500000</v>
      </c>
      <c r="C174" s="159">
        <v>503000</v>
      </c>
      <c r="D174" s="159">
        <v>29890</v>
      </c>
      <c r="E174" s="159">
        <v>23430</v>
      </c>
      <c r="F174" s="159">
        <v>18370</v>
      </c>
      <c r="G174" s="159">
        <v>15140</v>
      </c>
      <c r="H174" s="159">
        <v>11900</v>
      </c>
      <c r="I174" s="159">
        <v>8670</v>
      </c>
      <c r="J174" s="159">
        <v>6870</v>
      </c>
      <c r="K174" s="159">
        <v>5250</v>
      </c>
      <c r="L174" s="276">
        <v>146800</v>
      </c>
    </row>
    <row r="175" spans="1:12">
      <c r="A175" s="275">
        <v>1</v>
      </c>
      <c r="B175" s="158">
        <v>503000</v>
      </c>
      <c r="C175" s="159">
        <v>506000</v>
      </c>
      <c r="D175" s="159">
        <v>30380</v>
      </c>
      <c r="E175" s="159">
        <v>23920</v>
      </c>
      <c r="F175" s="159">
        <v>18610</v>
      </c>
      <c r="G175" s="159">
        <v>15390</v>
      </c>
      <c r="H175" s="159">
        <v>12150</v>
      </c>
      <c r="I175" s="159">
        <v>8910</v>
      </c>
      <c r="J175" s="159">
        <v>6990</v>
      </c>
      <c r="K175" s="159">
        <v>5370</v>
      </c>
      <c r="L175" s="276">
        <v>148500</v>
      </c>
    </row>
    <row r="176" spans="1:12">
      <c r="A176" s="275">
        <v>1</v>
      </c>
      <c r="B176" s="158">
        <v>506000</v>
      </c>
      <c r="C176" s="159">
        <v>509000</v>
      </c>
      <c r="D176" s="159">
        <v>30880</v>
      </c>
      <c r="E176" s="159">
        <v>24410</v>
      </c>
      <c r="F176" s="159">
        <v>18860</v>
      </c>
      <c r="G176" s="159">
        <v>15630</v>
      </c>
      <c r="H176" s="159">
        <v>12390</v>
      </c>
      <c r="I176" s="159">
        <v>9160</v>
      </c>
      <c r="J176" s="159">
        <v>7120</v>
      </c>
      <c r="K176" s="159">
        <v>5490</v>
      </c>
      <c r="L176" s="276">
        <v>150100</v>
      </c>
    </row>
    <row r="177" spans="1:12">
      <c r="A177" s="275">
        <v>1</v>
      </c>
      <c r="B177" s="158">
        <v>509000</v>
      </c>
      <c r="C177" s="159">
        <v>512000</v>
      </c>
      <c r="D177" s="159">
        <v>31370</v>
      </c>
      <c r="E177" s="159">
        <v>24900</v>
      </c>
      <c r="F177" s="159">
        <v>19100</v>
      </c>
      <c r="G177" s="159">
        <v>15880</v>
      </c>
      <c r="H177" s="159">
        <v>12640</v>
      </c>
      <c r="I177" s="159">
        <v>9400</v>
      </c>
      <c r="J177" s="159">
        <v>7240</v>
      </c>
      <c r="K177" s="159">
        <v>5620</v>
      </c>
      <c r="L177" s="276">
        <v>151600</v>
      </c>
    </row>
    <row r="178" spans="1:12">
      <c r="A178" s="275">
        <v>1</v>
      </c>
      <c r="B178" s="158">
        <v>512000</v>
      </c>
      <c r="C178" s="159">
        <v>515000</v>
      </c>
      <c r="D178" s="159">
        <v>31860</v>
      </c>
      <c r="E178" s="159">
        <v>25390</v>
      </c>
      <c r="F178" s="159">
        <v>19350</v>
      </c>
      <c r="G178" s="159">
        <v>16120</v>
      </c>
      <c r="H178" s="159">
        <v>12890</v>
      </c>
      <c r="I178" s="159">
        <v>9650</v>
      </c>
      <c r="J178" s="159">
        <v>7360</v>
      </c>
      <c r="K178" s="159">
        <v>5740</v>
      </c>
      <c r="L178" s="276">
        <v>153300</v>
      </c>
    </row>
    <row r="179" spans="1:12">
      <c r="A179" s="275">
        <v>1</v>
      </c>
      <c r="B179" s="158">
        <v>515000</v>
      </c>
      <c r="C179" s="159">
        <v>518000</v>
      </c>
      <c r="D179" s="159">
        <v>32350</v>
      </c>
      <c r="E179" s="159">
        <v>25880</v>
      </c>
      <c r="F179" s="159">
        <v>19590</v>
      </c>
      <c r="G179" s="159">
        <v>16370</v>
      </c>
      <c r="H179" s="159">
        <v>13130</v>
      </c>
      <c r="I179" s="159">
        <v>9890</v>
      </c>
      <c r="J179" s="159">
        <v>7480</v>
      </c>
      <c r="K179" s="159">
        <v>5860</v>
      </c>
      <c r="L179" s="276">
        <v>154900</v>
      </c>
    </row>
    <row r="180" spans="1:12">
      <c r="A180" s="275">
        <v>1</v>
      </c>
      <c r="B180" s="158">
        <v>518000</v>
      </c>
      <c r="C180" s="159">
        <v>521000</v>
      </c>
      <c r="D180" s="159">
        <v>32840</v>
      </c>
      <c r="E180" s="159">
        <v>26370</v>
      </c>
      <c r="F180" s="159">
        <v>19900</v>
      </c>
      <c r="G180" s="159">
        <v>16610</v>
      </c>
      <c r="H180" s="159">
        <v>13380</v>
      </c>
      <c r="I180" s="159">
        <v>10140</v>
      </c>
      <c r="J180" s="159">
        <v>7610</v>
      </c>
      <c r="K180" s="159">
        <v>5980</v>
      </c>
      <c r="L180" s="276">
        <v>156500</v>
      </c>
    </row>
    <row r="181" spans="1:12">
      <c r="A181" s="275">
        <v>1</v>
      </c>
      <c r="B181" s="158">
        <v>521000</v>
      </c>
      <c r="C181" s="159">
        <v>524000</v>
      </c>
      <c r="D181" s="159">
        <v>33330</v>
      </c>
      <c r="E181" s="159">
        <v>26860</v>
      </c>
      <c r="F181" s="159">
        <v>20390</v>
      </c>
      <c r="G181" s="159">
        <v>16860</v>
      </c>
      <c r="H181" s="159">
        <v>13620</v>
      </c>
      <c r="I181" s="159">
        <v>10380</v>
      </c>
      <c r="J181" s="159">
        <v>7730</v>
      </c>
      <c r="K181" s="159">
        <v>6110</v>
      </c>
      <c r="L181" s="276">
        <v>158100</v>
      </c>
    </row>
    <row r="182" spans="1:12">
      <c r="A182" s="275">
        <v>1</v>
      </c>
      <c r="B182" s="158">
        <v>524000</v>
      </c>
      <c r="C182" s="159">
        <v>527000</v>
      </c>
      <c r="D182" s="159">
        <v>33820</v>
      </c>
      <c r="E182" s="159">
        <v>27350</v>
      </c>
      <c r="F182" s="159">
        <v>20880</v>
      </c>
      <c r="G182" s="159">
        <v>17100</v>
      </c>
      <c r="H182" s="159">
        <v>13870</v>
      </c>
      <c r="I182" s="159">
        <v>10630</v>
      </c>
      <c r="J182" s="159">
        <v>7850</v>
      </c>
      <c r="K182" s="159">
        <v>6230</v>
      </c>
      <c r="L182" s="276">
        <v>159600</v>
      </c>
    </row>
    <row r="183" spans="1:12">
      <c r="A183" s="275">
        <v>1</v>
      </c>
      <c r="B183" s="158">
        <v>527000</v>
      </c>
      <c r="C183" s="159">
        <v>530000</v>
      </c>
      <c r="D183" s="159">
        <v>34310</v>
      </c>
      <c r="E183" s="159">
        <v>27840</v>
      </c>
      <c r="F183" s="159">
        <v>21370</v>
      </c>
      <c r="G183" s="159">
        <v>17350</v>
      </c>
      <c r="H183" s="159">
        <v>14110</v>
      </c>
      <c r="I183" s="159">
        <v>10870</v>
      </c>
      <c r="J183" s="159">
        <v>7970</v>
      </c>
      <c r="K183" s="159">
        <v>6350</v>
      </c>
      <c r="L183" s="276">
        <v>161000</v>
      </c>
    </row>
    <row r="184" spans="1:12">
      <c r="A184" s="275">
        <v>1</v>
      </c>
      <c r="B184" s="158">
        <v>530000</v>
      </c>
      <c r="C184" s="159">
        <v>533000</v>
      </c>
      <c r="D184" s="159">
        <v>34800</v>
      </c>
      <c r="E184" s="159">
        <v>28330</v>
      </c>
      <c r="F184" s="159">
        <v>21860</v>
      </c>
      <c r="G184" s="159">
        <v>17590</v>
      </c>
      <c r="H184" s="159">
        <v>14360</v>
      </c>
      <c r="I184" s="159">
        <v>11120</v>
      </c>
      <c r="J184" s="159">
        <v>8100</v>
      </c>
      <c r="K184" s="159">
        <v>6470</v>
      </c>
      <c r="L184" s="276">
        <v>162500</v>
      </c>
    </row>
    <row r="185" spans="1:12">
      <c r="A185" s="275">
        <v>1</v>
      </c>
      <c r="B185" s="158">
        <v>533000</v>
      </c>
      <c r="C185" s="159">
        <v>536000</v>
      </c>
      <c r="D185" s="159">
        <v>35290</v>
      </c>
      <c r="E185" s="159">
        <v>28820</v>
      </c>
      <c r="F185" s="159">
        <v>22350</v>
      </c>
      <c r="G185" s="159">
        <v>17840</v>
      </c>
      <c r="H185" s="159">
        <v>14600</v>
      </c>
      <c r="I185" s="159">
        <v>11360</v>
      </c>
      <c r="J185" s="159">
        <v>8220</v>
      </c>
      <c r="K185" s="159">
        <v>6600</v>
      </c>
      <c r="L185" s="276">
        <v>164000</v>
      </c>
    </row>
    <row r="186" spans="1:12">
      <c r="A186" s="275">
        <v>1</v>
      </c>
      <c r="B186" s="158">
        <v>536000</v>
      </c>
      <c r="C186" s="159">
        <v>539000</v>
      </c>
      <c r="D186" s="159">
        <v>35780</v>
      </c>
      <c r="E186" s="159">
        <v>29310</v>
      </c>
      <c r="F186" s="159">
        <v>22840</v>
      </c>
      <c r="G186" s="159">
        <v>18080</v>
      </c>
      <c r="H186" s="159">
        <v>14850</v>
      </c>
      <c r="I186" s="159">
        <v>11610</v>
      </c>
      <c r="J186" s="159">
        <v>8380</v>
      </c>
      <c r="K186" s="159">
        <v>6720</v>
      </c>
      <c r="L186" s="276">
        <v>165400</v>
      </c>
    </row>
    <row r="187" spans="1:12">
      <c r="A187" s="275">
        <v>1</v>
      </c>
      <c r="B187" s="158">
        <v>539000</v>
      </c>
      <c r="C187" s="159">
        <v>542000</v>
      </c>
      <c r="D187" s="159">
        <v>36270</v>
      </c>
      <c r="E187" s="159">
        <v>29800</v>
      </c>
      <c r="F187" s="159">
        <v>23330</v>
      </c>
      <c r="G187" s="159">
        <v>18330</v>
      </c>
      <c r="H187" s="159">
        <v>15090</v>
      </c>
      <c r="I187" s="159">
        <v>11850</v>
      </c>
      <c r="J187" s="159">
        <v>8630</v>
      </c>
      <c r="K187" s="159">
        <v>6840</v>
      </c>
      <c r="L187" s="276">
        <v>166900</v>
      </c>
    </row>
    <row r="188" spans="1:12">
      <c r="A188" s="275">
        <v>1</v>
      </c>
      <c r="B188" s="158">
        <v>542000</v>
      </c>
      <c r="C188" s="159">
        <v>545000</v>
      </c>
      <c r="D188" s="159">
        <v>36760</v>
      </c>
      <c r="E188" s="159">
        <v>30290</v>
      </c>
      <c r="F188" s="159">
        <v>23820</v>
      </c>
      <c r="G188" s="159">
        <v>18570</v>
      </c>
      <c r="H188" s="159">
        <v>15340</v>
      </c>
      <c r="I188" s="159">
        <v>12100</v>
      </c>
      <c r="J188" s="159">
        <v>8870</v>
      </c>
      <c r="K188" s="159">
        <v>6960</v>
      </c>
      <c r="L188" s="276">
        <v>168400</v>
      </c>
    </row>
    <row r="189" spans="1:12">
      <c r="A189" s="275">
        <v>1</v>
      </c>
      <c r="B189" s="158">
        <v>545000</v>
      </c>
      <c r="C189" s="159">
        <v>548000</v>
      </c>
      <c r="D189" s="159">
        <v>37250</v>
      </c>
      <c r="E189" s="159">
        <v>30780</v>
      </c>
      <c r="F189" s="159">
        <v>24310</v>
      </c>
      <c r="G189" s="159">
        <v>18820</v>
      </c>
      <c r="H189" s="159">
        <v>15580</v>
      </c>
      <c r="I189" s="159">
        <v>12340</v>
      </c>
      <c r="J189" s="159">
        <v>9120</v>
      </c>
      <c r="K189" s="159">
        <v>7090</v>
      </c>
      <c r="L189" s="276">
        <v>169900</v>
      </c>
    </row>
    <row r="190" spans="1:12">
      <c r="A190" s="275">
        <v>1</v>
      </c>
      <c r="B190" s="158">
        <v>548000</v>
      </c>
      <c r="C190" s="159">
        <v>551000</v>
      </c>
      <c r="D190" s="159">
        <v>37740</v>
      </c>
      <c r="E190" s="159">
        <v>31270</v>
      </c>
      <c r="F190" s="159">
        <v>24800</v>
      </c>
      <c r="G190" s="159">
        <v>19060</v>
      </c>
      <c r="H190" s="159">
        <v>15830</v>
      </c>
      <c r="I190" s="159">
        <v>12590</v>
      </c>
      <c r="J190" s="159">
        <v>9360</v>
      </c>
      <c r="K190" s="159">
        <v>7210</v>
      </c>
      <c r="L190" s="276">
        <v>171300</v>
      </c>
    </row>
    <row r="191" spans="1:12">
      <c r="A191" s="275">
        <v>1</v>
      </c>
      <c r="B191" s="158">
        <v>551000</v>
      </c>
      <c r="C191" s="159">
        <v>554000</v>
      </c>
      <c r="D191" s="159">
        <v>38280</v>
      </c>
      <c r="E191" s="159">
        <v>31810</v>
      </c>
      <c r="F191" s="159">
        <v>25340</v>
      </c>
      <c r="G191" s="159">
        <v>19330</v>
      </c>
      <c r="H191" s="159">
        <v>16100</v>
      </c>
      <c r="I191" s="159">
        <v>12860</v>
      </c>
      <c r="J191" s="159">
        <v>9630</v>
      </c>
      <c r="K191" s="159">
        <v>7350</v>
      </c>
      <c r="L191" s="276">
        <v>172800</v>
      </c>
    </row>
    <row r="192" spans="1:12">
      <c r="A192" s="275">
        <v>1</v>
      </c>
      <c r="B192" s="158">
        <v>554000</v>
      </c>
      <c r="C192" s="159">
        <v>557000</v>
      </c>
      <c r="D192" s="159">
        <v>38830</v>
      </c>
      <c r="E192" s="159">
        <v>32370</v>
      </c>
      <c r="F192" s="159">
        <v>25890</v>
      </c>
      <c r="G192" s="159">
        <v>19600</v>
      </c>
      <c r="H192" s="159">
        <v>16380</v>
      </c>
      <c r="I192" s="159">
        <v>13140</v>
      </c>
      <c r="J192" s="159">
        <v>9900</v>
      </c>
      <c r="K192" s="159">
        <v>7480</v>
      </c>
      <c r="L192" s="276">
        <v>174300</v>
      </c>
    </row>
    <row r="193" spans="1:12">
      <c r="A193" s="275">
        <v>1</v>
      </c>
      <c r="B193" s="158">
        <v>557000</v>
      </c>
      <c r="C193" s="159">
        <v>560000</v>
      </c>
      <c r="D193" s="159">
        <v>39380</v>
      </c>
      <c r="E193" s="159">
        <v>32920</v>
      </c>
      <c r="F193" s="159">
        <v>26440</v>
      </c>
      <c r="G193" s="159">
        <v>19980</v>
      </c>
      <c r="H193" s="159">
        <v>16650</v>
      </c>
      <c r="I193" s="159">
        <v>13420</v>
      </c>
      <c r="J193" s="159">
        <v>10180</v>
      </c>
      <c r="K193" s="159">
        <v>7630</v>
      </c>
      <c r="L193" s="276">
        <v>175700</v>
      </c>
    </row>
    <row r="194" spans="1:12">
      <c r="A194" s="275">
        <v>1</v>
      </c>
      <c r="B194" s="158">
        <v>560000</v>
      </c>
      <c r="C194" s="159">
        <v>563000</v>
      </c>
      <c r="D194" s="159">
        <v>39930</v>
      </c>
      <c r="E194" s="159">
        <v>33470</v>
      </c>
      <c r="F194" s="159">
        <v>27000</v>
      </c>
      <c r="G194" s="159">
        <v>20530</v>
      </c>
      <c r="H194" s="159">
        <v>16930</v>
      </c>
      <c r="I194" s="159">
        <v>13690</v>
      </c>
      <c r="J194" s="159">
        <v>10460</v>
      </c>
      <c r="K194" s="159">
        <v>7760</v>
      </c>
      <c r="L194" s="276">
        <v>177200</v>
      </c>
    </row>
    <row r="195" spans="1:12">
      <c r="A195" s="275">
        <v>1</v>
      </c>
      <c r="B195" s="158">
        <v>563000</v>
      </c>
      <c r="C195" s="159">
        <v>566000</v>
      </c>
      <c r="D195" s="159">
        <v>40480</v>
      </c>
      <c r="E195" s="159">
        <v>34020</v>
      </c>
      <c r="F195" s="159">
        <v>27550</v>
      </c>
      <c r="G195" s="159">
        <v>21080</v>
      </c>
      <c r="H195" s="159">
        <v>17200</v>
      </c>
      <c r="I195" s="159">
        <v>13970</v>
      </c>
      <c r="J195" s="159">
        <v>10730</v>
      </c>
      <c r="K195" s="159">
        <v>7900</v>
      </c>
      <c r="L195" s="276">
        <v>178700</v>
      </c>
    </row>
    <row r="196" spans="1:12">
      <c r="A196" s="275">
        <v>1</v>
      </c>
      <c r="B196" s="158">
        <v>566000</v>
      </c>
      <c r="C196" s="159">
        <v>569000</v>
      </c>
      <c r="D196" s="159">
        <v>41030</v>
      </c>
      <c r="E196" s="159">
        <v>34570</v>
      </c>
      <c r="F196" s="159">
        <v>28100</v>
      </c>
      <c r="G196" s="159">
        <v>21630</v>
      </c>
      <c r="H196" s="159">
        <v>17480</v>
      </c>
      <c r="I196" s="159">
        <v>14240</v>
      </c>
      <c r="J196" s="159">
        <v>11010</v>
      </c>
      <c r="K196" s="159">
        <v>8040</v>
      </c>
      <c r="L196" s="276">
        <v>180100</v>
      </c>
    </row>
    <row r="197" spans="1:12">
      <c r="A197" s="275">
        <v>1</v>
      </c>
      <c r="B197" s="158">
        <v>569000</v>
      </c>
      <c r="C197" s="159">
        <v>572000</v>
      </c>
      <c r="D197" s="159">
        <v>41590</v>
      </c>
      <c r="E197" s="159">
        <v>35120</v>
      </c>
      <c r="F197" s="159">
        <v>28650</v>
      </c>
      <c r="G197" s="159">
        <v>22190</v>
      </c>
      <c r="H197" s="159">
        <v>17760</v>
      </c>
      <c r="I197" s="159">
        <v>14520</v>
      </c>
      <c r="J197" s="159">
        <v>11280</v>
      </c>
      <c r="K197" s="159">
        <v>8180</v>
      </c>
      <c r="L197" s="276">
        <v>181600</v>
      </c>
    </row>
    <row r="198" spans="1:12">
      <c r="A198" s="275">
        <v>1</v>
      </c>
      <c r="B198" s="158">
        <v>572000</v>
      </c>
      <c r="C198" s="159">
        <v>575000</v>
      </c>
      <c r="D198" s="159">
        <v>42140</v>
      </c>
      <c r="E198" s="159">
        <v>35670</v>
      </c>
      <c r="F198" s="159">
        <v>29200</v>
      </c>
      <c r="G198" s="159">
        <v>22740</v>
      </c>
      <c r="H198" s="159">
        <v>18030</v>
      </c>
      <c r="I198" s="159">
        <v>14790</v>
      </c>
      <c r="J198" s="159">
        <v>11560</v>
      </c>
      <c r="K198" s="159">
        <v>8330</v>
      </c>
      <c r="L198" s="276">
        <v>183100</v>
      </c>
    </row>
    <row r="199" spans="1:12">
      <c r="A199" s="275">
        <v>1</v>
      </c>
      <c r="B199" s="158">
        <v>575000</v>
      </c>
      <c r="C199" s="159">
        <v>578000</v>
      </c>
      <c r="D199" s="159">
        <v>42690</v>
      </c>
      <c r="E199" s="159">
        <v>36230</v>
      </c>
      <c r="F199" s="159">
        <v>29750</v>
      </c>
      <c r="G199" s="159">
        <v>23290</v>
      </c>
      <c r="H199" s="159">
        <v>18310</v>
      </c>
      <c r="I199" s="159">
        <v>15070</v>
      </c>
      <c r="J199" s="159">
        <v>11830</v>
      </c>
      <c r="K199" s="159">
        <v>8610</v>
      </c>
      <c r="L199" s="276">
        <v>184600</v>
      </c>
    </row>
    <row r="200" spans="1:12">
      <c r="A200" s="275">
        <v>1</v>
      </c>
      <c r="B200" s="158">
        <v>578000</v>
      </c>
      <c r="C200" s="159">
        <v>581000</v>
      </c>
      <c r="D200" s="159">
        <v>43240</v>
      </c>
      <c r="E200" s="159">
        <v>36780</v>
      </c>
      <c r="F200" s="159">
        <v>30300</v>
      </c>
      <c r="G200" s="159">
        <v>23840</v>
      </c>
      <c r="H200" s="159">
        <v>18580</v>
      </c>
      <c r="I200" s="159">
        <v>15350</v>
      </c>
      <c r="J200" s="159">
        <v>12110</v>
      </c>
      <c r="K200" s="159">
        <v>8880</v>
      </c>
      <c r="L200" s="276">
        <v>186000</v>
      </c>
    </row>
    <row r="201" spans="1:12">
      <c r="A201" s="275">
        <v>1</v>
      </c>
      <c r="B201" s="158">
        <v>581000</v>
      </c>
      <c r="C201" s="159">
        <v>584000</v>
      </c>
      <c r="D201" s="159">
        <v>43790</v>
      </c>
      <c r="E201" s="159">
        <v>37330</v>
      </c>
      <c r="F201" s="159">
        <v>30850</v>
      </c>
      <c r="G201" s="159">
        <v>24390</v>
      </c>
      <c r="H201" s="159">
        <v>18860</v>
      </c>
      <c r="I201" s="159">
        <v>15620</v>
      </c>
      <c r="J201" s="159">
        <v>12380</v>
      </c>
      <c r="K201" s="159">
        <v>9160</v>
      </c>
      <c r="L201" s="276">
        <v>187500</v>
      </c>
    </row>
    <row r="202" spans="1:12">
      <c r="A202" s="275">
        <v>1</v>
      </c>
      <c r="B202" s="158">
        <v>584000</v>
      </c>
      <c r="C202" s="159">
        <v>587000</v>
      </c>
      <c r="D202" s="159">
        <v>44340</v>
      </c>
      <c r="E202" s="159">
        <v>37880</v>
      </c>
      <c r="F202" s="159">
        <v>31410</v>
      </c>
      <c r="G202" s="159">
        <v>24940</v>
      </c>
      <c r="H202" s="159">
        <v>19130</v>
      </c>
      <c r="I202" s="159">
        <v>15900</v>
      </c>
      <c r="J202" s="159">
        <v>12660</v>
      </c>
      <c r="K202" s="159">
        <v>9430</v>
      </c>
      <c r="L202" s="276">
        <v>189000</v>
      </c>
    </row>
    <row r="203" spans="1:12">
      <c r="A203" s="275">
        <v>1</v>
      </c>
      <c r="B203" s="158">
        <v>587000</v>
      </c>
      <c r="C203" s="159">
        <v>590000</v>
      </c>
      <c r="D203" s="159">
        <v>44890</v>
      </c>
      <c r="E203" s="159">
        <v>38430</v>
      </c>
      <c r="F203" s="159">
        <v>31960</v>
      </c>
      <c r="G203" s="159">
        <v>25490</v>
      </c>
      <c r="H203" s="159">
        <v>19410</v>
      </c>
      <c r="I203" s="159">
        <v>16170</v>
      </c>
      <c r="J203" s="159">
        <v>12940</v>
      </c>
      <c r="K203" s="159">
        <v>9710</v>
      </c>
      <c r="L203" s="276">
        <v>190400</v>
      </c>
    </row>
    <row r="204" spans="1:12">
      <c r="A204" s="275">
        <v>1</v>
      </c>
      <c r="B204" s="158">
        <v>590000</v>
      </c>
      <c r="C204" s="159">
        <v>593000</v>
      </c>
      <c r="D204" s="159">
        <v>45440</v>
      </c>
      <c r="E204" s="159">
        <v>38980</v>
      </c>
      <c r="F204" s="159">
        <v>32510</v>
      </c>
      <c r="G204" s="159">
        <v>26050</v>
      </c>
      <c r="H204" s="159">
        <v>19680</v>
      </c>
      <c r="I204" s="159">
        <v>16450</v>
      </c>
      <c r="J204" s="159">
        <v>13210</v>
      </c>
      <c r="K204" s="159">
        <v>9990</v>
      </c>
      <c r="L204" s="276">
        <v>191900</v>
      </c>
    </row>
    <row r="205" spans="1:12">
      <c r="A205" s="275">
        <v>1</v>
      </c>
      <c r="B205" s="158">
        <v>593000</v>
      </c>
      <c r="C205" s="159">
        <v>596000</v>
      </c>
      <c r="D205" s="159">
        <v>46000</v>
      </c>
      <c r="E205" s="159">
        <v>39530</v>
      </c>
      <c r="F205" s="159">
        <v>33060</v>
      </c>
      <c r="G205" s="159">
        <v>26600</v>
      </c>
      <c r="H205" s="159">
        <v>20130</v>
      </c>
      <c r="I205" s="159">
        <v>16720</v>
      </c>
      <c r="J205" s="159">
        <v>13490</v>
      </c>
      <c r="K205" s="159">
        <v>10260</v>
      </c>
      <c r="L205" s="276">
        <v>193400</v>
      </c>
    </row>
    <row r="206" spans="1:12">
      <c r="A206" s="275">
        <v>1</v>
      </c>
      <c r="B206" s="158">
        <v>596000</v>
      </c>
      <c r="C206" s="159">
        <v>599000</v>
      </c>
      <c r="D206" s="159">
        <v>46550</v>
      </c>
      <c r="E206" s="159">
        <v>40080</v>
      </c>
      <c r="F206" s="159">
        <v>33610</v>
      </c>
      <c r="G206" s="159">
        <v>27150</v>
      </c>
      <c r="H206" s="159">
        <v>20690</v>
      </c>
      <c r="I206" s="159">
        <v>17000</v>
      </c>
      <c r="J206" s="159">
        <v>13760</v>
      </c>
      <c r="K206" s="159">
        <v>10540</v>
      </c>
      <c r="L206" s="276">
        <v>194800</v>
      </c>
    </row>
    <row r="207" spans="1:12">
      <c r="A207" s="275">
        <v>1</v>
      </c>
      <c r="B207" s="158">
        <v>599000</v>
      </c>
      <c r="C207" s="159">
        <v>602000</v>
      </c>
      <c r="D207" s="159">
        <v>47100</v>
      </c>
      <c r="E207" s="159">
        <v>40640</v>
      </c>
      <c r="F207" s="159">
        <v>34160</v>
      </c>
      <c r="G207" s="159">
        <v>27700</v>
      </c>
      <c r="H207" s="159">
        <v>21240</v>
      </c>
      <c r="I207" s="159">
        <v>17280</v>
      </c>
      <c r="J207" s="159">
        <v>14040</v>
      </c>
      <c r="K207" s="159">
        <v>10810</v>
      </c>
      <c r="L207" s="276">
        <v>196300</v>
      </c>
    </row>
    <row r="208" spans="1:12">
      <c r="A208" s="275">
        <v>1</v>
      </c>
      <c r="B208" s="158">
        <v>602000</v>
      </c>
      <c r="C208" s="159">
        <v>605000</v>
      </c>
      <c r="D208" s="159">
        <v>47650</v>
      </c>
      <c r="E208" s="159">
        <v>41190</v>
      </c>
      <c r="F208" s="159">
        <v>34710</v>
      </c>
      <c r="G208" s="159">
        <v>28250</v>
      </c>
      <c r="H208" s="159">
        <v>21790</v>
      </c>
      <c r="I208" s="159">
        <v>17550</v>
      </c>
      <c r="J208" s="159">
        <v>14310</v>
      </c>
      <c r="K208" s="159">
        <v>11090</v>
      </c>
      <c r="L208" s="276">
        <v>197800</v>
      </c>
    </row>
    <row r="209" spans="1:12">
      <c r="A209" s="275">
        <v>1</v>
      </c>
      <c r="B209" s="158">
        <v>605000</v>
      </c>
      <c r="C209" s="159">
        <v>608000</v>
      </c>
      <c r="D209" s="159">
        <v>48200</v>
      </c>
      <c r="E209" s="159">
        <v>41740</v>
      </c>
      <c r="F209" s="159">
        <v>35270</v>
      </c>
      <c r="G209" s="159">
        <v>28800</v>
      </c>
      <c r="H209" s="159">
        <v>22340</v>
      </c>
      <c r="I209" s="159">
        <v>17830</v>
      </c>
      <c r="J209" s="159">
        <v>14590</v>
      </c>
      <c r="K209" s="159">
        <v>11360</v>
      </c>
      <c r="L209" s="276">
        <v>199300</v>
      </c>
    </row>
    <row r="210" spans="1:12">
      <c r="A210" s="275">
        <v>1</v>
      </c>
      <c r="B210" s="158">
        <v>608000</v>
      </c>
      <c r="C210" s="159">
        <v>611000</v>
      </c>
      <c r="D210" s="159">
        <v>48750</v>
      </c>
      <c r="E210" s="159">
        <v>42290</v>
      </c>
      <c r="F210" s="159">
        <v>35820</v>
      </c>
      <c r="G210" s="159">
        <v>29350</v>
      </c>
      <c r="H210" s="159">
        <v>22890</v>
      </c>
      <c r="I210" s="159">
        <v>18100</v>
      </c>
      <c r="J210" s="159">
        <v>14870</v>
      </c>
      <c r="K210" s="159">
        <v>11640</v>
      </c>
      <c r="L210" s="276">
        <v>200700</v>
      </c>
    </row>
    <row r="211" spans="1:12">
      <c r="A211" s="275">
        <v>1</v>
      </c>
      <c r="B211" s="158">
        <v>611000</v>
      </c>
      <c r="C211" s="159">
        <v>614000</v>
      </c>
      <c r="D211" s="159">
        <v>49300</v>
      </c>
      <c r="E211" s="159">
        <v>42840</v>
      </c>
      <c r="F211" s="159">
        <v>36370</v>
      </c>
      <c r="G211" s="159">
        <v>29910</v>
      </c>
      <c r="H211" s="159">
        <v>23440</v>
      </c>
      <c r="I211" s="159">
        <v>18380</v>
      </c>
      <c r="J211" s="159">
        <v>15140</v>
      </c>
      <c r="K211" s="159">
        <v>11920</v>
      </c>
      <c r="L211" s="276">
        <v>202200</v>
      </c>
    </row>
    <row r="212" spans="1:12">
      <c r="A212" s="275">
        <v>1</v>
      </c>
      <c r="B212" s="158">
        <v>614000</v>
      </c>
      <c r="C212" s="159">
        <v>617000</v>
      </c>
      <c r="D212" s="159">
        <v>49860</v>
      </c>
      <c r="E212" s="159">
        <v>43390</v>
      </c>
      <c r="F212" s="159">
        <v>36920</v>
      </c>
      <c r="G212" s="159">
        <v>30460</v>
      </c>
      <c r="H212" s="159">
        <v>23990</v>
      </c>
      <c r="I212" s="159">
        <v>18650</v>
      </c>
      <c r="J212" s="159">
        <v>15420</v>
      </c>
      <c r="K212" s="159">
        <v>12190</v>
      </c>
      <c r="L212" s="276">
        <v>203700</v>
      </c>
    </row>
    <row r="213" spans="1:12">
      <c r="A213" s="275">
        <v>1</v>
      </c>
      <c r="B213" s="158">
        <v>617000</v>
      </c>
      <c r="C213" s="159">
        <v>620000</v>
      </c>
      <c r="D213" s="159">
        <v>50410</v>
      </c>
      <c r="E213" s="159">
        <v>43940</v>
      </c>
      <c r="F213" s="159">
        <v>37470</v>
      </c>
      <c r="G213" s="159">
        <v>31010</v>
      </c>
      <c r="H213" s="159">
        <v>24540</v>
      </c>
      <c r="I213" s="159">
        <v>18930</v>
      </c>
      <c r="J213" s="159">
        <v>15690</v>
      </c>
      <c r="K213" s="159">
        <v>12470</v>
      </c>
      <c r="L213" s="276">
        <v>205100</v>
      </c>
    </row>
    <row r="214" spans="1:12">
      <c r="A214" s="275">
        <v>1</v>
      </c>
      <c r="B214" s="158">
        <v>620000</v>
      </c>
      <c r="C214" s="159">
        <v>623000</v>
      </c>
      <c r="D214" s="159">
        <v>50960</v>
      </c>
      <c r="E214" s="159">
        <v>44500</v>
      </c>
      <c r="F214" s="159">
        <v>38020</v>
      </c>
      <c r="G214" s="159">
        <v>31560</v>
      </c>
      <c r="H214" s="159">
        <v>25100</v>
      </c>
      <c r="I214" s="159">
        <v>19210</v>
      </c>
      <c r="J214" s="159">
        <v>15970</v>
      </c>
      <c r="K214" s="159">
        <v>12740</v>
      </c>
      <c r="L214" s="276">
        <v>206700</v>
      </c>
    </row>
    <row r="215" spans="1:12">
      <c r="A215" s="275">
        <v>1</v>
      </c>
      <c r="B215" s="158">
        <v>623000</v>
      </c>
      <c r="C215" s="159">
        <v>626000</v>
      </c>
      <c r="D215" s="159">
        <v>51510</v>
      </c>
      <c r="E215" s="159">
        <v>45050</v>
      </c>
      <c r="F215" s="159">
        <v>38570</v>
      </c>
      <c r="G215" s="159">
        <v>32110</v>
      </c>
      <c r="H215" s="159">
        <v>25650</v>
      </c>
      <c r="I215" s="159">
        <v>19480</v>
      </c>
      <c r="J215" s="159">
        <v>16240</v>
      </c>
      <c r="K215" s="159">
        <v>13020</v>
      </c>
      <c r="L215" s="276">
        <v>208100</v>
      </c>
    </row>
    <row r="216" spans="1:12">
      <c r="A216" s="275">
        <v>1</v>
      </c>
      <c r="B216" s="158">
        <v>626000</v>
      </c>
      <c r="C216" s="159">
        <v>629000</v>
      </c>
      <c r="D216" s="159">
        <v>52060</v>
      </c>
      <c r="E216" s="159">
        <v>45600</v>
      </c>
      <c r="F216" s="159">
        <v>39120</v>
      </c>
      <c r="G216" s="159">
        <v>32660</v>
      </c>
      <c r="H216" s="159">
        <v>26200</v>
      </c>
      <c r="I216" s="159">
        <v>19760</v>
      </c>
      <c r="J216" s="159">
        <v>16520</v>
      </c>
      <c r="K216" s="159">
        <v>13290</v>
      </c>
      <c r="L216" s="276">
        <v>209500</v>
      </c>
    </row>
    <row r="217" spans="1:12">
      <c r="A217" s="275">
        <v>1</v>
      </c>
      <c r="B217" s="158">
        <v>629000</v>
      </c>
      <c r="C217" s="159">
        <v>632000</v>
      </c>
      <c r="D217" s="159">
        <v>52610</v>
      </c>
      <c r="E217" s="159">
        <v>46150</v>
      </c>
      <c r="F217" s="159">
        <v>39680</v>
      </c>
      <c r="G217" s="159">
        <v>33210</v>
      </c>
      <c r="H217" s="159">
        <v>26750</v>
      </c>
      <c r="I217" s="159">
        <v>20280</v>
      </c>
      <c r="J217" s="159">
        <v>16800</v>
      </c>
      <c r="K217" s="159">
        <v>13570</v>
      </c>
      <c r="L217" s="276">
        <v>211000</v>
      </c>
    </row>
    <row r="218" spans="1:12">
      <c r="A218" s="275">
        <v>1</v>
      </c>
      <c r="B218" s="158">
        <v>632000</v>
      </c>
      <c r="C218" s="159">
        <v>635000</v>
      </c>
      <c r="D218" s="159">
        <v>53160</v>
      </c>
      <c r="E218" s="159">
        <v>46700</v>
      </c>
      <c r="F218" s="159">
        <v>40230</v>
      </c>
      <c r="G218" s="159">
        <v>33760</v>
      </c>
      <c r="H218" s="159">
        <v>27300</v>
      </c>
      <c r="I218" s="159">
        <v>20830</v>
      </c>
      <c r="J218" s="159">
        <v>17070</v>
      </c>
      <c r="K218" s="159">
        <v>13840</v>
      </c>
      <c r="L218" s="276">
        <v>212500</v>
      </c>
    </row>
    <row r="219" spans="1:12">
      <c r="A219" s="275">
        <v>1</v>
      </c>
      <c r="B219" s="158">
        <v>635000</v>
      </c>
      <c r="C219" s="159">
        <v>638000</v>
      </c>
      <c r="D219" s="159">
        <v>53710</v>
      </c>
      <c r="E219" s="159">
        <v>47250</v>
      </c>
      <c r="F219" s="159">
        <v>40780</v>
      </c>
      <c r="G219" s="159">
        <v>34320</v>
      </c>
      <c r="H219" s="159">
        <v>27850</v>
      </c>
      <c r="I219" s="159">
        <v>21380</v>
      </c>
      <c r="J219" s="159">
        <v>17350</v>
      </c>
      <c r="K219" s="159">
        <v>14120</v>
      </c>
      <c r="L219" s="276">
        <v>214000</v>
      </c>
    </row>
    <row r="220" spans="1:12">
      <c r="A220" s="275">
        <v>1</v>
      </c>
      <c r="B220" s="158">
        <v>638000</v>
      </c>
      <c r="C220" s="159">
        <v>641000</v>
      </c>
      <c r="D220" s="159">
        <v>54270</v>
      </c>
      <c r="E220" s="159">
        <v>47800</v>
      </c>
      <c r="F220" s="159">
        <v>41330</v>
      </c>
      <c r="G220" s="159">
        <v>34870</v>
      </c>
      <c r="H220" s="159">
        <v>28400</v>
      </c>
      <c r="I220" s="159">
        <v>21930</v>
      </c>
      <c r="J220" s="159">
        <v>17620</v>
      </c>
      <c r="K220" s="159">
        <v>14400</v>
      </c>
      <c r="L220" s="276">
        <v>214900</v>
      </c>
    </row>
    <row r="221" spans="1:12">
      <c r="A221" s="275">
        <v>1</v>
      </c>
      <c r="B221" s="158">
        <v>641000</v>
      </c>
      <c r="C221" s="159">
        <v>644000</v>
      </c>
      <c r="D221" s="159">
        <v>54820</v>
      </c>
      <c r="E221" s="159">
        <v>48350</v>
      </c>
      <c r="F221" s="159">
        <v>41880</v>
      </c>
      <c r="G221" s="159">
        <v>35420</v>
      </c>
      <c r="H221" s="159">
        <v>28960</v>
      </c>
      <c r="I221" s="159">
        <v>22480</v>
      </c>
      <c r="J221" s="159">
        <v>17900</v>
      </c>
      <c r="K221" s="159">
        <v>14670</v>
      </c>
      <c r="L221" s="276">
        <v>215900</v>
      </c>
    </row>
    <row r="222" spans="1:12">
      <c r="A222" s="275">
        <v>1</v>
      </c>
      <c r="B222" s="158">
        <v>644000</v>
      </c>
      <c r="C222" s="159">
        <v>647000</v>
      </c>
      <c r="D222" s="159">
        <v>55370</v>
      </c>
      <c r="E222" s="159">
        <v>48910</v>
      </c>
      <c r="F222" s="159">
        <v>42430</v>
      </c>
      <c r="G222" s="159">
        <v>35970</v>
      </c>
      <c r="H222" s="159">
        <v>29510</v>
      </c>
      <c r="I222" s="159">
        <v>23030</v>
      </c>
      <c r="J222" s="159">
        <v>18170</v>
      </c>
      <c r="K222" s="159">
        <v>14950</v>
      </c>
      <c r="L222" s="160">
        <v>217000</v>
      </c>
    </row>
    <row r="223" spans="1:12">
      <c r="A223" s="275">
        <v>1</v>
      </c>
      <c r="B223" s="158">
        <v>647000</v>
      </c>
      <c r="C223" s="159">
        <v>650000</v>
      </c>
      <c r="D223" s="159">
        <v>55920</v>
      </c>
      <c r="E223" s="159">
        <v>49460</v>
      </c>
      <c r="F223" s="159">
        <v>42980</v>
      </c>
      <c r="G223" s="159">
        <v>36520</v>
      </c>
      <c r="H223" s="159">
        <v>30060</v>
      </c>
      <c r="I223" s="159">
        <v>23590</v>
      </c>
      <c r="J223" s="159">
        <v>18450</v>
      </c>
      <c r="K223" s="159">
        <v>15220</v>
      </c>
      <c r="L223" s="160">
        <v>218000</v>
      </c>
    </row>
    <row r="224" spans="1:12">
      <c r="A224" s="275">
        <v>1</v>
      </c>
      <c r="B224" s="158">
        <v>650000</v>
      </c>
      <c r="C224" s="159">
        <v>653000</v>
      </c>
      <c r="D224" s="159">
        <v>56470</v>
      </c>
      <c r="E224" s="159">
        <v>50010</v>
      </c>
      <c r="F224" s="159">
        <v>43540</v>
      </c>
      <c r="G224" s="159">
        <v>37070</v>
      </c>
      <c r="H224" s="159">
        <v>30610</v>
      </c>
      <c r="I224" s="159">
        <v>24140</v>
      </c>
      <c r="J224" s="159">
        <v>18730</v>
      </c>
      <c r="K224" s="159">
        <v>15500</v>
      </c>
      <c r="L224" s="160">
        <v>219000</v>
      </c>
    </row>
    <row r="225" spans="1:12">
      <c r="A225" s="275">
        <v>1</v>
      </c>
      <c r="B225" s="158">
        <v>653000</v>
      </c>
      <c r="C225" s="159">
        <v>656000</v>
      </c>
      <c r="D225" s="159">
        <v>57020</v>
      </c>
      <c r="E225" s="159">
        <v>50560</v>
      </c>
      <c r="F225" s="159">
        <v>44090</v>
      </c>
      <c r="G225" s="159">
        <v>37620</v>
      </c>
      <c r="H225" s="159">
        <v>31160</v>
      </c>
      <c r="I225" s="159">
        <v>24690</v>
      </c>
      <c r="J225" s="159">
        <v>19000</v>
      </c>
      <c r="K225" s="159">
        <v>15770</v>
      </c>
      <c r="L225" s="160">
        <v>220000</v>
      </c>
    </row>
    <row r="226" spans="1:12">
      <c r="A226" s="275">
        <v>1</v>
      </c>
      <c r="B226" s="158">
        <v>656000</v>
      </c>
      <c r="C226" s="159">
        <v>659000</v>
      </c>
      <c r="D226" s="159">
        <v>57570</v>
      </c>
      <c r="E226" s="159">
        <v>51110</v>
      </c>
      <c r="F226" s="159">
        <v>44640</v>
      </c>
      <c r="G226" s="159">
        <v>38180</v>
      </c>
      <c r="H226" s="159">
        <v>31710</v>
      </c>
      <c r="I226" s="159">
        <v>25240</v>
      </c>
      <c r="J226" s="159">
        <v>19280</v>
      </c>
      <c r="K226" s="159">
        <v>16050</v>
      </c>
      <c r="L226" s="160">
        <v>221000</v>
      </c>
    </row>
    <row r="227" spans="1:12">
      <c r="A227" s="275">
        <v>1</v>
      </c>
      <c r="B227" s="158">
        <v>659000</v>
      </c>
      <c r="C227" s="159">
        <v>662000</v>
      </c>
      <c r="D227" s="159">
        <v>58130</v>
      </c>
      <c r="E227" s="159">
        <v>51660</v>
      </c>
      <c r="F227" s="159">
        <v>45190</v>
      </c>
      <c r="G227" s="159">
        <v>38730</v>
      </c>
      <c r="H227" s="159">
        <v>32260</v>
      </c>
      <c r="I227" s="159">
        <v>25790</v>
      </c>
      <c r="J227" s="159">
        <v>19550</v>
      </c>
      <c r="K227" s="159">
        <v>16330</v>
      </c>
      <c r="L227" s="160">
        <v>222100</v>
      </c>
    </row>
    <row r="228" spans="1:12">
      <c r="A228" s="275">
        <v>1</v>
      </c>
      <c r="B228" s="158">
        <v>662000</v>
      </c>
      <c r="C228" s="159">
        <v>665000</v>
      </c>
      <c r="D228" s="159">
        <v>58680</v>
      </c>
      <c r="E228" s="159">
        <v>52210</v>
      </c>
      <c r="F228" s="159">
        <v>45740</v>
      </c>
      <c r="G228" s="159">
        <v>39280</v>
      </c>
      <c r="H228" s="159">
        <v>32810</v>
      </c>
      <c r="I228" s="159">
        <v>26340</v>
      </c>
      <c r="J228" s="159">
        <v>19880</v>
      </c>
      <c r="K228" s="159">
        <v>16600</v>
      </c>
      <c r="L228" s="160">
        <v>223100</v>
      </c>
    </row>
    <row r="229" spans="1:12">
      <c r="A229" s="275">
        <v>1</v>
      </c>
      <c r="B229" s="158">
        <v>665000</v>
      </c>
      <c r="C229" s="159">
        <v>668000</v>
      </c>
      <c r="D229" s="159">
        <v>59230</v>
      </c>
      <c r="E229" s="159">
        <v>52770</v>
      </c>
      <c r="F229" s="159">
        <v>46290</v>
      </c>
      <c r="G229" s="159">
        <v>39830</v>
      </c>
      <c r="H229" s="159">
        <v>33370</v>
      </c>
      <c r="I229" s="159">
        <v>26890</v>
      </c>
      <c r="J229" s="159">
        <v>20430</v>
      </c>
      <c r="K229" s="159">
        <v>16880</v>
      </c>
      <c r="L229" s="160">
        <v>224100</v>
      </c>
    </row>
    <row r="230" spans="1:12">
      <c r="A230" s="275">
        <v>1</v>
      </c>
      <c r="B230" s="158">
        <v>668000</v>
      </c>
      <c r="C230" s="159">
        <v>671000</v>
      </c>
      <c r="D230" s="159">
        <v>59780</v>
      </c>
      <c r="E230" s="159">
        <v>53320</v>
      </c>
      <c r="F230" s="159">
        <v>46840</v>
      </c>
      <c r="G230" s="159">
        <v>40380</v>
      </c>
      <c r="H230" s="159">
        <v>33920</v>
      </c>
      <c r="I230" s="159">
        <v>27440</v>
      </c>
      <c r="J230" s="159">
        <v>20980</v>
      </c>
      <c r="K230" s="159">
        <v>17150</v>
      </c>
      <c r="L230" s="160">
        <v>225000</v>
      </c>
    </row>
    <row r="231" spans="1:12">
      <c r="A231" s="275">
        <v>1</v>
      </c>
      <c r="B231" s="158">
        <v>671000</v>
      </c>
      <c r="C231" s="159">
        <v>674000</v>
      </c>
      <c r="D231" s="159">
        <v>60330</v>
      </c>
      <c r="E231" s="159">
        <v>53870</v>
      </c>
      <c r="F231" s="159">
        <v>47390</v>
      </c>
      <c r="G231" s="159">
        <v>40930</v>
      </c>
      <c r="H231" s="159">
        <v>34470</v>
      </c>
      <c r="I231" s="159">
        <v>28000</v>
      </c>
      <c r="J231" s="159">
        <v>21530</v>
      </c>
      <c r="K231" s="159">
        <v>17430</v>
      </c>
      <c r="L231" s="160">
        <v>226000</v>
      </c>
    </row>
    <row r="232" spans="1:12">
      <c r="A232" s="275">
        <v>1</v>
      </c>
      <c r="B232" s="158">
        <v>674000</v>
      </c>
      <c r="C232" s="159">
        <v>677000</v>
      </c>
      <c r="D232" s="159">
        <v>60880</v>
      </c>
      <c r="E232" s="159">
        <v>54420</v>
      </c>
      <c r="F232" s="159">
        <v>47950</v>
      </c>
      <c r="G232" s="159">
        <v>41480</v>
      </c>
      <c r="H232" s="159">
        <v>35020</v>
      </c>
      <c r="I232" s="159">
        <v>28550</v>
      </c>
      <c r="J232" s="159">
        <v>22080</v>
      </c>
      <c r="K232" s="159">
        <v>17700</v>
      </c>
      <c r="L232" s="160">
        <v>227100</v>
      </c>
    </row>
    <row r="233" spans="1:12">
      <c r="A233" s="275">
        <v>1</v>
      </c>
      <c r="B233" s="158">
        <v>677000</v>
      </c>
      <c r="C233" s="159">
        <v>680000</v>
      </c>
      <c r="D233" s="159">
        <v>61430</v>
      </c>
      <c r="E233" s="159">
        <v>54970</v>
      </c>
      <c r="F233" s="159">
        <v>48500</v>
      </c>
      <c r="G233" s="159">
        <v>42030</v>
      </c>
      <c r="H233" s="159">
        <v>35570</v>
      </c>
      <c r="I233" s="159">
        <v>29100</v>
      </c>
      <c r="J233" s="159">
        <v>22640</v>
      </c>
      <c r="K233" s="159">
        <v>17980</v>
      </c>
      <c r="L233" s="160">
        <v>228100</v>
      </c>
    </row>
    <row r="234" spans="1:12">
      <c r="A234" s="275">
        <v>1</v>
      </c>
      <c r="B234" s="158">
        <v>680000</v>
      </c>
      <c r="C234" s="159">
        <v>683000</v>
      </c>
      <c r="D234" s="159">
        <v>61980</v>
      </c>
      <c r="E234" s="159">
        <v>55520</v>
      </c>
      <c r="F234" s="159">
        <v>49050</v>
      </c>
      <c r="G234" s="159">
        <v>42590</v>
      </c>
      <c r="H234" s="159">
        <v>36120</v>
      </c>
      <c r="I234" s="159">
        <v>29650</v>
      </c>
      <c r="J234" s="159">
        <v>23190</v>
      </c>
      <c r="K234" s="159">
        <v>18260</v>
      </c>
      <c r="L234" s="160">
        <v>229100</v>
      </c>
    </row>
    <row r="235" spans="1:12">
      <c r="A235" s="275">
        <v>1</v>
      </c>
      <c r="B235" s="158">
        <v>683000</v>
      </c>
      <c r="C235" s="159">
        <v>686000</v>
      </c>
      <c r="D235" s="159">
        <v>62540</v>
      </c>
      <c r="E235" s="159">
        <v>56070</v>
      </c>
      <c r="F235" s="159">
        <v>49600</v>
      </c>
      <c r="G235" s="159">
        <v>43140</v>
      </c>
      <c r="H235" s="159">
        <v>36670</v>
      </c>
      <c r="I235" s="159">
        <v>30200</v>
      </c>
      <c r="J235" s="159">
        <v>23740</v>
      </c>
      <c r="K235" s="159">
        <v>18530</v>
      </c>
      <c r="L235" s="276">
        <v>230400</v>
      </c>
    </row>
    <row r="236" spans="1:12">
      <c r="A236" s="275">
        <v>1</v>
      </c>
      <c r="B236" s="158">
        <v>686000</v>
      </c>
      <c r="C236" s="159">
        <v>689000</v>
      </c>
      <c r="D236" s="159">
        <v>63090</v>
      </c>
      <c r="E236" s="159">
        <v>56620</v>
      </c>
      <c r="F236" s="159">
        <v>50150</v>
      </c>
      <c r="G236" s="159">
        <v>43690</v>
      </c>
      <c r="H236" s="159">
        <v>37230</v>
      </c>
      <c r="I236" s="159">
        <v>30750</v>
      </c>
      <c r="J236" s="159">
        <v>24290</v>
      </c>
      <c r="K236" s="159">
        <v>18810</v>
      </c>
      <c r="L236" s="276">
        <v>232100</v>
      </c>
    </row>
    <row r="237" spans="1:12">
      <c r="A237" s="275">
        <v>1</v>
      </c>
      <c r="B237" s="158">
        <v>689000</v>
      </c>
      <c r="C237" s="159">
        <v>692000</v>
      </c>
      <c r="D237" s="159">
        <v>63640</v>
      </c>
      <c r="E237" s="159">
        <v>57180</v>
      </c>
      <c r="F237" s="159">
        <v>50700</v>
      </c>
      <c r="G237" s="159">
        <v>44240</v>
      </c>
      <c r="H237" s="159">
        <v>37780</v>
      </c>
      <c r="I237" s="159">
        <v>31300</v>
      </c>
      <c r="J237" s="159">
        <v>24840</v>
      </c>
      <c r="K237" s="159">
        <v>19080</v>
      </c>
      <c r="L237" s="276">
        <v>233600</v>
      </c>
    </row>
    <row r="238" spans="1:12">
      <c r="A238" s="275">
        <v>1</v>
      </c>
      <c r="B238" s="158">
        <v>692000</v>
      </c>
      <c r="C238" s="159">
        <v>695000</v>
      </c>
      <c r="D238" s="159">
        <v>64190</v>
      </c>
      <c r="E238" s="159">
        <v>57730</v>
      </c>
      <c r="F238" s="159">
        <v>51250</v>
      </c>
      <c r="G238" s="159">
        <v>44790</v>
      </c>
      <c r="H238" s="159">
        <v>38330</v>
      </c>
      <c r="I238" s="159">
        <v>31860</v>
      </c>
      <c r="J238" s="159">
        <v>25390</v>
      </c>
      <c r="K238" s="159">
        <v>19360</v>
      </c>
      <c r="L238" s="276">
        <v>235100</v>
      </c>
    </row>
    <row r="239" spans="1:12">
      <c r="A239" s="275">
        <v>1</v>
      </c>
      <c r="B239" s="158">
        <v>695000</v>
      </c>
      <c r="C239" s="159">
        <v>698000</v>
      </c>
      <c r="D239" s="159">
        <v>64740</v>
      </c>
      <c r="E239" s="159">
        <v>58280</v>
      </c>
      <c r="F239" s="159">
        <v>51810</v>
      </c>
      <c r="G239" s="159">
        <v>45340</v>
      </c>
      <c r="H239" s="159">
        <v>38880</v>
      </c>
      <c r="I239" s="159">
        <v>32410</v>
      </c>
      <c r="J239" s="159">
        <v>25940</v>
      </c>
      <c r="K239" s="159">
        <v>19630</v>
      </c>
      <c r="L239" s="276">
        <v>236700</v>
      </c>
    </row>
    <row r="240" spans="1:12">
      <c r="A240" s="275">
        <v>1</v>
      </c>
      <c r="B240" s="158">
        <v>698000</v>
      </c>
      <c r="C240" s="159">
        <v>701000</v>
      </c>
      <c r="D240" s="159">
        <v>65290</v>
      </c>
      <c r="E240" s="159">
        <v>58830</v>
      </c>
      <c r="F240" s="159">
        <v>52360</v>
      </c>
      <c r="G240" s="159">
        <v>45890</v>
      </c>
      <c r="H240" s="159">
        <v>39430</v>
      </c>
      <c r="I240" s="159">
        <v>32960</v>
      </c>
      <c r="J240" s="159">
        <v>26490</v>
      </c>
      <c r="K240" s="159">
        <v>20030</v>
      </c>
      <c r="L240" s="276">
        <v>238200</v>
      </c>
    </row>
    <row r="241" spans="1:12">
      <c r="A241" s="275">
        <v>1</v>
      </c>
      <c r="B241" s="158">
        <v>701000</v>
      </c>
      <c r="C241" s="159">
        <v>704000</v>
      </c>
      <c r="D241" s="159">
        <v>65840</v>
      </c>
      <c r="E241" s="159">
        <v>59380</v>
      </c>
      <c r="F241" s="159">
        <v>52910</v>
      </c>
      <c r="G241" s="159">
        <v>46450</v>
      </c>
      <c r="H241" s="159">
        <v>39980</v>
      </c>
      <c r="I241" s="159">
        <v>33510</v>
      </c>
      <c r="J241" s="159">
        <v>27050</v>
      </c>
      <c r="K241" s="159">
        <v>20580</v>
      </c>
      <c r="L241" s="276">
        <v>239700</v>
      </c>
    </row>
    <row r="242" spans="1:12">
      <c r="A242" s="275">
        <v>1</v>
      </c>
      <c r="B242" s="158">
        <v>704000</v>
      </c>
      <c r="C242" s="159">
        <v>707000</v>
      </c>
      <c r="D242" s="159">
        <v>66400</v>
      </c>
      <c r="E242" s="159">
        <v>59930</v>
      </c>
      <c r="F242" s="159">
        <v>53460</v>
      </c>
      <c r="G242" s="159">
        <v>47000</v>
      </c>
      <c r="H242" s="159">
        <v>40530</v>
      </c>
      <c r="I242" s="159">
        <v>34060</v>
      </c>
      <c r="J242" s="159">
        <v>27600</v>
      </c>
      <c r="K242" s="159">
        <v>21130</v>
      </c>
      <c r="L242" s="276">
        <v>241300</v>
      </c>
    </row>
    <row r="243" spans="1:12">
      <c r="A243" s="275">
        <v>1</v>
      </c>
      <c r="B243" s="158">
        <v>707000</v>
      </c>
      <c r="C243" s="159">
        <v>710000</v>
      </c>
      <c r="D243" s="277">
        <v>66960</v>
      </c>
      <c r="E243" s="159">
        <v>60480</v>
      </c>
      <c r="F243" s="277">
        <v>54020</v>
      </c>
      <c r="G243" s="159">
        <v>47550</v>
      </c>
      <c r="H243" s="159">
        <v>41090</v>
      </c>
      <c r="I243" s="277">
        <v>34620</v>
      </c>
      <c r="J243" s="159">
        <v>28150</v>
      </c>
      <c r="K243" s="159">
        <v>21690</v>
      </c>
      <c r="L243" s="276">
        <v>242900</v>
      </c>
    </row>
    <row r="244" spans="1:12">
      <c r="A244" s="275">
        <v>1</v>
      </c>
      <c r="B244" s="158">
        <v>710000</v>
      </c>
      <c r="C244" s="159">
        <v>713000</v>
      </c>
      <c r="D244" s="277">
        <v>67570</v>
      </c>
      <c r="E244" s="277">
        <v>61100</v>
      </c>
      <c r="F244" s="277">
        <v>54630</v>
      </c>
      <c r="G244" s="277">
        <v>48160</v>
      </c>
      <c r="H244" s="277">
        <v>41700</v>
      </c>
      <c r="I244" s="277">
        <v>35230</v>
      </c>
      <c r="J244" s="277">
        <v>28760</v>
      </c>
      <c r="K244" s="277">
        <v>22300</v>
      </c>
      <c r="L244" s="276">
        <v>244400</v>
      </c>
    </row>
    <row r="245" spans="1:12">
      <c r="A245" s="275">
        <v>1</v>
      </c>
      <c r="B245" s="158">
        <v>713000</v>
      </c>
      <c r="C245" s="159">
        <v>716000</v>
      </c>
      <c r="D245" s="277">
        <v>68180</v>
      </c>
      <c r="E245" s="277">
        <v>61710</v>
      </c>
      <c r="F245" s="277">
        <v>55250</v>
      </c>
      <c r="G245" s="277">
        <v>48770</v>
      </c>
      <c r="H245" s="277">
        <v>42310</v>
      </c>
      <c r="I245" s="277">
        <v>35850</v>
      </c>
      <c r="J245" s="277">
        <v>29370</v>
      </c>
      <c r="K245" s="277">
        <v>22910</v>
      </c>
      <c r="L245" s="276">
        <v>246000</v>
      </c>
    </row>
    <row r="246" spans="1:12">
      <c r="A246" s="275">
        <v>1</v>
      </c>
      <c r="B246" s="158">
        <v>716000</v>
      </c>
      <c r="C246" s="159">
        <v>719000</v>
      </c>
      <c r="D246" s="277">
        <v>68790</v>
      </c>
      <c r="E246" s="277">
        <v>62320</v>
      </c>
      <c r="F246" s="277">
        <v>55860</v>
      </c>
      <c r="G246" s="277">
        <v>49390</v>
      </c>
      <c r="H246" s="277">
        <v>42920</v>
      </c>
      <c r="I246" s="277">
        <v>36460</v>
      </c>
      <c r="J246" s="277">
        <v>29990</v>
      </c>
      <c r="K246" s="277">
        <v>23520</v>
      </c>
      <c r="L246" s="276">
        <v>247500</v>
      </c>
    </row>
    <row r="247" spans="1:12">
      <c r="A247" s="275">
        <v>1</v>
      </c>
      <c r="B247" s="158">
        <v>719000</v>
      </c>
      <c r="C247" s="159">
        <v>722000</v>
      </c>
      <c r="D247" s="277">
        <v>69410</v>
      </c>
      <c r="E247" s="277">
        <v>62930</v>
      </c>
      <c r="F247" s="277">
        <v>56470</v>
      </c>
      <c r="G247" s="277">
        <v>50000</v>
      </c>
      <c r="H247" s="277">
        <v>43540</v>
      </c>
      <c r="I247" s="277">
        <v>37070</v>
      </c>
      <c r="J247" s="277">
        <v>30600</v>
      </c>
      <c r="K247" s="277">
        <v>24140</v>
      </c>
      <c r="L247" s="276">
        <v>249000</v>
      </c>
    </row>
    <row r="248" spans="1:12">
      <c r="A248" s="275">
        <v>1</v>
      </c>
      <c r="B248" s="158">
        <v>722000</v>
      </c>
      <c r="C248" s="159">
        <v>725000</v>
      </c>
      <c r="D248" s="277">
        <v>70020</v>
      </c>
      <c r="E248" s="277">
        <v>63550</v>
      </c>
      <c r="F248" s="277">
        <v>57080</v>
      </c>
      <c r="G248" s="277">
        <v>50610</v>
      </c>
      <c r="H248" s="277">
        <v>44150</v>
      </c>
      <c r="I248" s="277">
        <v>37690</v>
      </c>
      <c r="J248" s="277">
        <v>31210</v>
      </c>
      <c r="K248" s="277">
        <v>24750</v>
      </c>
      <c r="L248" s="276">
        <v>250600</v>
      </c>
    </row>
    <row r="249" spans="1:12">
      <c r="A249" s="275">
        <v>1</v>
      </c>
      <c r="B249" s="158">
        <v>725000</v>
      </c>
      <c r="C249" s="159">
        <v>728000</v>
      </c>
      <c r="D249" s="277">
        <v>70630</v>
      </c>
      <c r="E249" s="277">
        <v>64160</v>
      </c>
      <c r="F249" s="277">
        <v>57700</v>
      </c>
      <c r="G249" s="277">
        <v>51220</v>
      </c>
      <c r="H249" s="277">
        <v>44760</v>
      </c>
      <c r="I249" s="277">
        <v>38300</v>
      </c>
      <c r="J249" s="277">
        <v>31820</v>
      </c>
      <c r="K249" s="277">
        <v>25360</v>
      </c>
      <c r="L249" s="276">
        <v>252200</v>
      </c>
    </row>
    <row r="250" spans="1:12">
      <c r="A250" s="275">
        <v>1</v>
      </c>
      <c r="B250" s="158">
        <v>728000</v>
      </c>
      <c r="C250" s="159">
        <v>731000</v>
      </c>
      <c r="D250" s="277">
        <v>71250</v>
      </c>
      <c r="E250" s="277">
        <v>64770</v>
      </c>
      <c r="F250" s="277">
        <v>58310</v>
      </c>
      <c r="G250" s="277">
        <v>51840</v>
      </c>
      <c r="H250" s="277">
        <v>45370</v>
      </c>
      <c r="I250" s="277">
        <v>38910</v>
      </c>
      <c r="J250" s="277">
        <v>32440</v>
      </c>
      <c r="K250" s="277">
        <v>25970</v>
      </c>
      <c r="L250" s="276">
        <v>253700</v>
      </c>
    </row>
    <row r="251" spans="1:12">
      <c r="A251" s="275">
        <v>1</v>
      </c>
      <c r="B251" s="158">
        <v>731000</v>
      </c>
      <c r="C251" s="159">
        <v>734000</v>
      </c>
      <c r="D251" s="277">
        <v>71860</v>
      </c>
      <c r="E251" s="277">
        <v>65380</v>
      </c>
      <c r="F251" s="277">
        <v>58920</v>
      </c>
      <c r="G251" s="277">
        <v>52450</v>
      </c>
      <c r="H251" s="277">
        <v>45990</v>
      </c>
      <c r="I251" s="277">
        <v>39520</v>
      </c>
      <c r="J251" s="277">
        <v>33050</v>
      </c>
      <c r="K251" s="277">
        <v>26590</v>
      </c>
      <c r="L251" s="276">
        <v>255300</v>
      </c>
    </row>
    <row r="252" spans="1:12">
      <c r="A252" s="275">
        <v>1</v>
      </c>
      <c r="B252" s="158">
        <v>734000</v>
      </c>
      <c r="C252" s="159">
        <v>737000</v>
      </c>
      <c r="D252" s="277">
        <v>72470</v>
      </c>
      <c r="E252" s="277">
        <v>66000</v>
      </c>
      <c r="F252" s="277">
        <v>59530</v>
      </c>
      <c r="G252" s="277">
        <v>53060</v>
      </c>
      <c r="H252" s="277">
        <v>46600</v>
      </c>
      <c r="I252" s="277">
        <v>40140</v>
      </c>
      <c r="J252" s="277">
        <v>33660</v>
      </c>
      <c r="K252" s="277">
        <v>27200</v>
      </c>
      <c r="L252" s="276">
        <v>256800</v>
      </c>
    </row>
    <row r="253" spans="1:12">
      <c r="A253" s="275">
        <v>1</v>
      </c>
      <c r="B253" s="158">
        <v>737000</v>
      </c>
      <c r="C253" s="159">
        <v>740000</v>
      </c>
      <c r="D253" s="277">
        <v>73080</v>
      </c>
      <c r="E253" s="277">
        <v>66610</v>
      </c>
      <c r="F253" s="277">
        <v>60150</v>
      </c>
      <c r="G253" s="277">
        <v>53670</v>
      </c>
      <c r="H253" s="277">
        <v>47210</v>
      </c>
      <c r="I253" s="277">
        <v>40750</v>
      </c>
      <c r="J253" s="277">
        <v>34270</v>
      </c>
      <c r="K253" s="277">
        <v>27810</v>
      </c>
      <c r="L253" s="276">
        <v>258300</v>
      </c>
    </row>
    <row r="254" spans="1:12" ht="13.35" customHeight="1">
      <c r="A254" s="275">
        <v>1</v>
      </c>
      <c r="B254" s="159">
        <v>740000</v>
      </c>
      <c r="C254" s="159">
        <v>740000</v>
      </c>
      <c r="D254" s="278">
        <v>73390</v>
      </c>
      <c r="E254" s="278">
        <v>66920</v>
      </c>
      <c r="F254" s="278">
        <v>60450</v>
      </c>
      <c r="G254" s="278">
        <v>53980</v>
      </c>
      <c r="H254" s="278">
        <v>47520</v>
      </c>
      <c r="I254" s="278">
        <v>41050</v>
      </c>
      <c r="J254" s="278">
        <v>34580</v>
      </c>
      <c r="K254" s="278">
        <v>28120</v>
      </c>
      <c r="L254" s="279">
        <v>259800</v>
      </c>
    </row>
    <row r="255" spans="1:12" ht="13.35" customHeight="1">
      <c r="A255" s="275">
        <v>1</v>
      </c>
      <c r="B255" s="158">
        <v>780000</v>
      </c>
      <c r="C255" s="158">
        <v>780000</v>
      </c>
      <c r="D255" s="278">
        <v>81560</v>
      </c>
      <c r="E255" s="278">
        <v>75090</v>
      </c>
      <c r="F255" s="278">
        <v>68620</v>
      </c>
      <c r="G255" s="278">
        <v>62150</v>
      </c>
      <c r="H255" s="278">
        <v>55690</v>
      </c>
      <c r="I255" s="278">
        <v>49220</v>
      </c>
      <c r="J255" s="278">
        <v>42750</v>
      </c>
      <c r="K255" s="278">
        <v>36290</v>
      </c>
      <c r="L255" s="398"/>
    </row>
    <row r="256" spans="1:12" ht="13.35" customHeight="1">
      <c r="A256" s="275">
        <v>1</v>
      </c>
      <c r="B256" s="158">
        <v>950000</v>
      </c>
      <c r="C256" s="158">
        <v>950000</v>
      </c>
      <c r="D256" s="278">
        <v>121480</v>
      </c>
      <c r="E256" s="278">
        <v>115010</v>
      </c>
      <c r="F256" s="278">
        <v>108540</v>
      </c>
      <c r="G256" s="278">
        <v>102070</v>
      </c>
      <c r="H256" s="278">
        <v>95610</v>
      </c>
      <c r="I256" s="278">
        <v>89140</v>
      </c>
      <c r="J256" s="278">
        <v>82670</v>
      </c>
      <c r="K256" s="278">
        <v>76210</v>
      </c>
      <c r="L256" s="398"/>
    </row>
    <row r="257" spans="1:12" ht="13.35" customHeight="1">
      <c r="A257" s="275">
        <v>1</v>
      </c>
      <c r="B257" s="158">
        <v>1700000</v>
      </c>
      <c r="C257" s="158">
        <v>1700000</v>
      </c>
      <c r="D257" s="278">
        <v>374180</v>
      </c>
      <c r="E257" s="278">
        <v>367710</v>
      </c>
      <c r="F257" s="278">
        <v>361240</v>
      </c>
      <c r="G257" s="278">
        <v>354770</v>
      </c>
      <c r="H257" s="278">
        <v>348310</v>
      </c>
      <c r="I257" s="278">
        <v>341840</v>
      </c>
      <c r="J257" s="278">
        <v>335370</v>
      </c>
      <c r="K257" s="278">
        <v>328910</v>
      </c>
      <c r="L257" s="279">
        <v>651900</v>
      </c>
    </row>
    <row r="258" spans="1:12" ht="13.35" customHeight="1">
      <c r="A258" s="275">
        <v>1</v>
      </c>
      <c r="B258" s="158">
        <v>2170000</v>
      </c>
      <c r="C258" s="158">
        <v>2170000</v>
      </c>
      <c r="D258" s="278">
        <v>571570</v>
      </c>
      <c r="E258" s="278">
        <v>565090</v>
      </c>
      <c r="F258" s="278">
        <v>558630</v>
      </c>
      <c r="G258" s="278">
        <v>552160</v>
      </c>
      <c r="H258" s="278">
        <v>545690</v>
      </c>
      <c r="I258" s="278">
        <v>539230</v>
      </c>
      <c r="J258" s="278">
        <v>532760</v>
      </c>
      <c r="K258" s="278">
        <v>526290</v>
      </c>
      <c r="L258" s="399"/>
    </row>
    <row r="259" spans="1:12" ht="13.35" customHeight="1">
      <c r="A259" s="275">
        <v>1</v>
      </c>
      <c r="B259" s="158">
        <v>2210000</v>
      </c>
      <c r="C259" s="158">
        <v>2210000</v>
      </c>
      <c r="D259" s="278">
        <v>593340</v>
      </c>
      <c r="E259" s="278">
        <v>586870</v>
      </c>
      <c r="F259" s="278">
        <v>580410</v>
      </c>
      <c r="G259" s="278">
        <v>573930</v>
      </c>
      <c r="H259" s="278">
        <v>567470</v>
      </c>
      <c r="I259" s="278">
        <v>561010</v>
      </c>
      <c r="J259" s="278">
        <v>554540</v>
      </c>
      <c r="K259" s="278">
        <v>548070</v>
      </c>
      <c r="L259" s="399"/>
    </row>
    <row r="260" spans="1:12" ht="13.35" customHeight="1">
      <c r="A260" s="275">
        <v>1</v>
      </c>
      <c r="B260" s="158">
        <v>2250000</v>
      </c>
      <c r="C260" s="158">
        <v>2250000</v>
      </c>
      <c r="D260" s="278">
        <v>615120</v>
      </c>
      <c r="E260" s="278">
        <v>608650</v>
      </c>
      <c r="F260" s="278">
        <v>602190</v>
      </c>
      <c r="G260" s="278">
        <v>595710</v>
      </c>
      <c r="H260" s="278">
        <v>589250</v>
      </c>
      <c r="I260" s="278">
        <v>582790</v>
      </c>
      <c r="J260" s="278">
        <v>576310</v>
      </c>
      <c r="K260" s="278">
        <v>569850</v>
      </c>
      <c r="L260" s="399"/>
    </row>
    <row r="261" spans="1:12">
      <c r="A261" s="275">
        <v>1</v>
      </c>
      <c r="B261" s="158">
        <v>3500000</v>
      </c>
      <c r="C261" s="158">
        <v>3500000</v>
      </c>
      <c r="D261" s="278">
        <v>1125620</v>
      </c>
      <c r="E261" s="278">
        <v>1119150</v>
      </c>
      <c r="F261" s="278">
        <v>1112690</v>
      </c>
      <c r="G261" s="278">
        <v>1106210</v>
      </c>
      <c r="H261" s="278">
        <v>1099750</v>
      </c>
      <c r="I261" s="278">
        <v>1093290</v>
      </c>
      <c r="J261" s="278">
        <v>1086810</v>
      </c>
      <c r="K261" s="278">
        <v>1080350</v>
      </c>
      <c r="L261" s="280"/>
    </row>
  </sheetData>
  <sheetProtection algorithmName="SHA-512" hashValue="N2aodaii+8Sd7Zrfzrg8l1QTjP8kNlH/TRScN+F2ORXhTissQoCR+YU8XsaoKQah4jh/Vqc0ix3C7FUR+FKzYA==" saltValue="wXZZu+AarmlPi6Gi5Hy+Jw==" spinCount="100000" sheet="1" objects="1" scenarios="1"/>
  <mergeCells count="4">
    <mergeCell ref="B1:L1"/>
    <mergeCell ref="B2:L2"/>
    <mergeCell ref="L255:L256"/>
    <mergeCell ref="L258:L260"/>
  </mergeCells>
  <phoneticPr fontId="6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0070C0"/>
  </sheetPr>
  <dimension ref="A1:AH282"/>
  <sheetViews>
    <sheetView workbookViewId="0">
      <selection activeCell="A2" sqref="A2:A3"/>
    </sheetView>
  </sheetViews>
  <sheetFormatPr defaultColWidth="9" defaultRowHeight="12" outlineLevelCol="1"/>
  <cols>
    <col min="1" max="1" width="11" style="10" customWidth="1"/>
    <col min="2" max="2" width="8.125" style="10" hidden="1" customWidth="1"/>
    <col min="3" max="3" width="10.375" style="10" customWidth="1"/>
    <col min="4" max="4" width="8.125" style="10" customWidth="1"/>
    <col min="5" max="6" width="8.125" style="11" customWidth="1"/>
    <col min="7" max="8" width="7.5" style="11" customWidth="1"/>
    <col min="9" max="10" width="8.125" style="10" customWidth="1"/>
    <col min="11" max="11" width="11.5" style="10" customWidth="1"/>
    <col min="12" max="12" width="9.625" style="10" bestFit="1" customWidth="1"/>
    <col min="13" max="13" width="8.125" style="10" customWidth="1"/>
    <col min="14" max="17" width="8.125" style="10" customWidth="1" outlineLevel="1"/>
    <col min="18" max="19" width="8.125" style="10" customWidth="1"/>
    <col min="20" max="20" width="9.875" style="10" customWidth="1"/>
    <col min="21" max="21" width="9.875" style="10" customWidth="1" outlineLevel="1"/>
    <col min="22" max="25" width="9.875" style="15" customWidth="1" outlineLevel="1"/>
    <col min="26" max="31" width="9.875" style="10" customWidth="1"/>
    <col min="32" max="32" width="19.25" style="10" bestFit="1" customWidth="1"/>
    <col min="33" max="34" width="19.25" style="10" customWidth="1"/>
    <col min="35" max="16384" width="9" style="10"/>
  </cols>
  <sheetData>
    <row r="1" spans="1:34" ht="12.75" thickBot="1"/>
    <row r="2" spans="1:34" s="9" customFormat="1" ht="13.5" customHeight="1">
      <c r="A2" s="402" t="s">
        <v>0</v>
      </c>
      <c r="B2" s="404" t="s">
        <v>38</v>
      </c>
      <c r="C2" s="400" t="s">
        <v>1</v>
      </c>
      <c r="D2" s="400" t="s">
        <v>37</v>
      </c>
      <c r="E2" s="400" t="s">
        <v>2</v>
      </c>
      <c r="F2" s="400" t="s">
        <v>40</v>
      </c>
      <c r="G2" s="400" t="s">
        <v>39</v>
      </c>
      <c r="H2" s="429" t="s">
        <v>13</v>
      </c>
      <c r="I2" s="431" t="s">
        <v>3</v>
      </c>
      <c r="J2" s="432"/>
      <c r="K2" s="406" t="s">
        <v>36</v>
      </c>
      <c r="L2" s="402" t="s">
        <v>4</v>
      </c>
      <c r="M2" s="408" t="s">
        <v>5</v>
      </c>
      <c r="N2" s="409"/>
      <c r="O2" s="409"/>
      <c r="P2" s="409"/>
      <c r="Q2" s="409"/>
      <c r="R2" s="409"/>
      <c r="S2" s="410"/>
      <c r="T2" s="413" t="s">
        <v>6</v>
      </c>
      <c r="U2" s="409"/>
      <c r="V2" s="409"/>
      <c r="W2" s="409"/>
      <c r="X2" s="409"/>
      <c r="Y2" s="409"/>
      <c r="Z2" s="409"/>
      <c r="AA2" s="409"/>
      <c r="AB2" s="409"/>
      <c r="AC2" s="409"/>
      <c r="AD2" s="414"/>
      <c r="AE2" s="434" t="s">
        <v>7</v>
      </c>
      <c r="AF2" s="12"/>
      <c r="AG2" s="12"/>
      <c r="AH2" s="12"/>
    </row>
    <row r="3" spans="1:34" s="9" customFormat="1" ht="12.75" thickBot="1">
      <c r="A3" s="403"/>
      <c r="B3" s="405"/>
      <c r="C3" s="401"/>
      <c r="D3" s="401"/>
      <c r="E3" s="401"/>
      <c r="F3" s="401"/>
      <c r="G3" s="401"/>
      <c r="H3" s="430"/>
      <c r="I3" s="191" t="s">
        <v>56</v>
      </c>
      <c r="J3" s="177" t="s">
        <v>57</v>
      </c>
      <c r="K3" s="407"/>
      <c r="L3" s="403"/>
      <c r="M3" s="194" t="s">
        <v>8</v>
      </c>
      <c r="N3" s="23" t="s">
        <v>55</v>
      </c>
      <c r="O3" s="23" t="s">
        <v>55</v>
      </c>
      <c r="P3" s="23" t="s">
        <v>55</v>
      </c>
      <c r="Q3" s="13" t="s">
        <v>50</v>
      </c>
      <c r="R3" s="13" t="s">
        <v>51</v>
      </c>
      <c r="S3" s="195" t="s">
        <v>9</v>
      </c>
      <c r="T3" s="156" t="s">
        <v>10</v>
      </c>
      <c r="U3" s="157" t="s">
        <v>41</v>
      </c>
      <c r="V3" s="174"/>
      <c r="W3" s="174"/>
      <c r="X3" s="174"/>
      <c r="Y3" s="174"/>
      <c r="Z3" s="157" t="s">
        <v>11</v>
      </c>
      <c r="AA3" s="157" t="s">
        <v>67</v>
      </c>
      <c r="AB3" s="157" t="s">
        <v>12</v>
      </c>
      <c r="AC3" s="157" t="s">
        <v>13</v>
      </c>
      <c r="AD3" s="24" t="s">
        <v>9</v>
      </c>
      <c r="AE3" s="435"/>
      <c r="AF3" s="12"/>
      <c r="AG3" s="12"/>
      <c r="AH3" s="12"/>
    </row>
    <row r="4" spans="1:34" s="9" customFormat="1">
      <c r="A4" s="415" t="s">
        <v>53</v>
      </c>
      <c r="B4" s="25"/>
      <c r="C4" s="419" t="s">
        <v>53</v>
      </c>
      <c r="D4" s="419" t="s">
        <v>53</v>
      </c>
      <c r="E4" s="419" t="s">
        <v>54</v>
      </c>
      <c r="F4" s="419" t="s">
        <v>54</v>
      </c>
      <c r="G4" s="419" t="s">
        <v>54</v>
      </c>
      <c r="H4" s="425" t="s">
        <v>54</v>
      </c>
      <c r="I4" s="427" t="s">
        <v>53</v>
      </c>
      <c r="J4" s="436" t="s">
        <v>53</v>
      </c>
      <c r="K4" s="421" t="s">
        <v>52</v>
      </c>
      <c r="L4" s="415" t="s">
        <v>54</v>
      </c>
      <c r="M4" s="417" t="s">
        <v>53</v>
      </c>
      <c r="N4" s="419" t="s">
        <v>53</v>
      </c>
      <c r="O4" s="419" t="s">
        <v>53</v>
      </c>
      <c r="P4" s="419" t="s">
        <v>53</v>
      </c>
      <c r="Q4" s="443" t="s">
        <v>52</v>
      </c>
      <c r="R4" s="419" t="s">
        <v>53</v>
      </c>
      <c r="S4" s="444" t="s">
        <v>52</v>
      </c>
      <c r="T4" s="446" t="s">
        <v>52</v>
      </c>
      <c r="U4" s="438" t="s">
        <v>53</v>
      </c>
      <c r="V4" s="411" t="s">
        <v>53</v>
      </c>
      <c r="W4" s="411" t="s">
        <v>53</v>
      </c>
      <c r="X4" s="411" t="s">
        <v>53</v>
      </c>
      <c r="Y4" s="411" t="s">
        <v>53</v>
      </c>
      <c r="Z4" s="423" t="s">
        <v>52</v>
      </c>
      <c r="AA4" s="423" t="s">
        <v>52</v>
      </c>
      <c r="AB4" s="423" t="s">
        <v>52</v>
      </c>
      <c r="AC4" s="423" t="s">
        <v>52</v>
      </c>
      <c r="AD4" s="439" t="s">
        <v>52</v>
      </c>
      <c r="AE4" s="441" t="s">
        <v>52</v>
      </c>
    </row>
    <row r="5" spans="1:34" s="9" customFormat="1" ht="12.75" customHeight="1" thickBot="1">
      <c r="A5" s="433"/>
      <c r="B5" s="26"/>
      <c r="C5" s="420"/>
      <c r="D5" s="420"/>
      <c r="E5" s="420"/>
      <c r="F5" s="420"/>
      <c r="G5" s="420"/>
      <c r="H5" s="426"/>
      <c r="I5" s="428"/>
      <c r="J5" s="437"/>
      <c r="K5" s="422"/>
      <c r="L5" s="416"/>
      <c r="M5" s="418"/>
      <c r="N5" s="420"/>
      <c r="O5" s="420"/>
      <c r="P5" s="420"/>
      <c r="Q5" s="424"/>
      <c r="R5" s="420"/>
      <c r="S5" s="445"/>
      <c r="T5" s="447"/>
      <c r="U5" s="420"/>
      <c r="V5" s="412"/>
      <c r="W5" s="412"/>
      <c r="X5" s="412"/>
      <c r="Y5" s="412"/>
      <c r="Z5" s="424"/>
      <c r="AA5" s="424"/>
      <c r="AB5" s="424"/>
      <c r="AC5" s="424"/>
      <c r="AD5" s="440"/>
      <c r="AE5" s="442"/>
    </row>
    <row r="6" spans="1:34" s="9" customFormat="1">
      <c r="A6" s="27">
        <v>44129</v>
      </c>
      <c r="B6" s="179"/>
      <c r="C6" s="182" t="s">
        <v>58</v>
      </c>
      <c r="D6" s="183">
        <v>40</v>
      </c>
      <c r="E6" s="184" t="s">
        <v>65</v>
      </c>
      <c r="F6" s="184" t="s">
        <v>15</v>
      </c>
      <c r="G6" s="185" t="s">
        <v>60</v>
      </c>
      <c r="H6" s="284" t="s">
        <v>130</v>
      </c>
      <c r="I6" s="281">
        <v>0</v>
      </c>
      <c r="J6" s="192">
        <v>0</v>
      </c>
      <c r="K6" s="193">
        <f>IF((Q6-Z6-AA6-AB6-AC6)&lt;0,0,Q6-Z6-AA6-AB6-AC6)</f>
        <v>688567</v>
      </c>
      <c r="L6" s="287">
        <v>0</v>
      </c>
      <c r="M6" s="290">
        <v>700000</v>
      </c>
      <c r="N6" s="187"/>
      <c r="O6" s="187"/>
      <c r="P6" s="187"/>
      <c r="Q6" s="186">
        <f>SUM(M6:P6)</f>
        <v>700000</v>
      </c>
      <c r="R6" s="187">
        <v>30000</v>
      </c>
      <c r="S6" s="196">
        <f>SUM(Q6:R6)</f>
        <v>730000</v>
      </c>
      <c r="T6" s="200" cm="1">
        <f t="array" ref="T6">IFERROR(IF(F6="甲",IF(K6&gt;3500000,VLOOKUP(3500000,源泉DB!$B$261:$L$261,L6+3)+ROUNDDOWN((K6-3500000)*45.945%,0),IF(AND(K6&gt;2250000,K6&lt;3500000),VLOOKUP(2250000,源泉DB!$B$260:$K$260,L6+3)+ROUNDDOWN((K6-2250000)*40.84%,0),IF(AND(K6&gt;2210000,K6&lt;2250000),VLOOKUP(2210000,源泉DB!$B$259:$K$259,L6+3)+ROUNDDOWN((K6-2210000)*40.84%,0),IF(AND(K6&gt;2170000,K6&lt;2210000),VLOOKUP(2170000,源泉DB!$B$258:$K$258,L6+3)+ROUNDDOWN((K6-2170000)*40.84%,0),IF(AND(K6&gt;1700000,K6&lt;2170000),VLOOKUP(1700000,源泉DB!$B$257:$K$257,L6+3)+ROUNDDOWN((K6-1700000)*40.84%,0),IF(AND(K6&gt;950000,K6&lt;1700000),VLOOKUP(950000,源泉DB!$B$256:$K$256,L6+3)+ROUNDDOWN((K6-950000)*33.693%,0),IF(AND(K6&gt;780000,K6&lt;950000),VLOOKUP(780000,源泉DB!$B$255:$K$255,L6+3)+ROUNDDOWN((K6-780000)*23.483%,0),IF(AND(K6&gt;740000,K6&lt;780000),VLOOKUP(740000,源泉DB!$B$254:$K$254,L6+3)+ROUNDDOWN((K6-740000)*20.42%,0),VLOOKUP(K6,源泉DB!$B$8:$K$299,L6+3))))))))),IF(F6="乙",IF(K6&gt;1700000,651900+(K6-1700000) *45.945%,IF(K6=1700000,651900,IF(AND(K6&gt;740000,K6&lt;1700000),259800+(K6-740000)*40.84%,IF(K6=740000,259800,IF(K6&lt;88000,ROUNDDOWN(K6*3.063%,9),VLOOKUP(K6,源泉DB!$B$8:$L$254,11)))))),"")),"")</f>
        <v>63090</v>
      </c>
      <c r="U6" s="30"/>
      <c r="V6" s="31"/>
      <c r="W6" s="31"/>
      <c r="X6" s="31"/>
      <c r="Y6" s="31"/>
      <c r="Z6" s="32">
        <f>ROUND(IFERROR(IF(($G6="加入"),VLOOKUP($I6,年金DB!$G$16:$P$65,6,TRUE),0),0)-0.1,0)</f>
        <v>2862</v>
      </c>
      <c r="AA6" s="32">
        <f>ROUND(IFERROR(IF(AND($G6="加入",$D6&gt;=40,$D6&lt;=64),VLOOKUP($I6,年金DB!$G$16:$P$65,10,TRUE),0),0)-0.1,0)</f>
        <v>519</v>
      </c>
      <c r="AB6" s="32">
        <f>ROUND(IFERROR(IF(AND($G6="加入",$D6&lt;40),VLOOKUP($J6,年金DB!$G$16:$X$62,14,TRUE),IF(AND($G6="加入",$D6&gt;=40),VLOOKUP($J6,年金DB!$G$16:$X$62,14,TRUE),"0")),0)-0.1,0)</f>
        <v>8052</v>
      </c>
      <c r="AC6" s="32">
        <f>IF(OR(H6="非加入",H6=""),0,ROUNDUP(IFERROR(IF(H6="加入",(Q6+R6)*3/1000,0),0)-0.5,0))</f>
        <v>0</v>
      </c>
      <c r="AD6" s="33">
        <f>SUM(T6:AC6)</f>
        <v>74523</v>
      </c>
      <c r="AE6" s="199">
        <f>S6-AD6</f>
        <v>655477</v>
      </c>
      <c r="AF6" s="14" t="str">
        <f>IF(AE6&gt;0,"←同額をお振込みください","")</f>
        <v>←同額をお振込みください</v>
      </c>
      <c r="AG6" s="14"/>
      <c r="AH6" s="14"/>
    </row>
    <row r="7" spans="1:34" s="9" customFormat="1">
      <c r="A7" s="27">
        <v>44129</v>
      </c>
      <c r="B7" s="180"/>
      <c r="C7" s="188" t="s">
        <v>59</v>
      </c>
      <c r="D7" s="161">
        <v>65</v>
      </c>
      <c r="E7" s="162" t="s">
        <v>66</v>
      </c>
      <c r="F7" s="162" t="s">
        <v>15</v>
      </c>
      <c r="G7" s="163" t="s">
        <v>60</v>
      </c>
      <c r="H7" s="285" t="s">
        <v>60</v>
      </c>
      <c r="I7" s="282">
        <v>260000</v>
      </c>
      <c r="J7" s="16">
        <v>260000</v>
      </c>
      <c r="K7" s="18">
        <f t="shared" ref="K7:K70" si="0">IF((Q7-Z7-AA7-AB7-AC7)&lt;0,0,Q7-Z7-AA7-AB7-AC7)</f>
        <v>212629</v>
      </c>
      <c r="L7" s="288">
        <v>0</v>
      </c>
      <c r="M7" s="291">
        <v>250000</v>
      </c>
      <c r="N7" s="164"/>
      <c r="O7" s="164"/>
      <c r="P7" s="164"/>
      <c r="Q7" s="175">
        <f t="shared" ref="Q7:Q70" si="1">SUM(M7:P7)</f>
        <v>250000</v>
      </c>
      <c r="R7" s="164">
        <v>0</v>
      </c>
      <c r="S7" s="197">
        <f t="shared" ref="S7:S70" si="2">SUM(Q7:R7)</f>
        <v>250000</v>
      </c>
      <c r="T7" s="201" cm="1">
        <f t="array" ref="T7">IFERROR(IF(F7="甲",IF(K7&gt;3500000,VLOOKUP(3500000,源泉DB!$B$261:$L$261,L7+3)+ROUNDDOWN((K7-3500000)*45.945%,0),IF(AND(K7&gt;2250000,K7&lt;3500000),VLOOKUP(2250000,源泉DB!$B$260:$K$260,L7+3)+ROUNDDOWN((K7-2250000)*40.84%,0),IF(AND(K7&gt;2210000,K7&lt;2250000),VLOOKUP(2210000,源泉DB!$B$259:$K$259,L7+3)+ROUNDDOWN((K7-2210000)*40.84%,0),IF(AND(K7&gt;2170000,K7&lt;2210000),VLOOKUP(2170000,源泉DB!$B$258:$K$258,L7+3)+ROUNDDOWN((K7-2170000)*40.84%,0),IF(AND(K7&gt;1700000,K7&lt;2170000),VLOOKUP(1700000,源泉DB!$B$257:$K$257,L7+3)+ROUNDDOWN((K7-1700000)*40.84%,0),IF(AND(K7&gt;950000,K7&lt;1700000),VLOOKUP(950000,源泉DB!$B$256:$K$256,L7+3)+ROUNDDOWN((K7-950000)*33.693%,0),IF(AND(K7&gt;780000,K7&lt;950000),VLOOKUP(780000,源泉DB!$B$255:$K$255,L7+3)+ROUNDDOWN((K7-780000)*23.483%,0),IF(AND(K7&gt;740000,K7&lt;780000),VLOOKUP(740000,源泉DB!$B$254:$K$254,L7+3)+ROUNDDOWN((K7-740000)*20.42%,0),VLOOKUP(K7,源泉DB!$B$8:$K$299,L7+3))))))))),IF(F7="乙",IF(K7&gt;1700000,651900+(K7-1700000) *45.945%,IF(K7=1700000,651900,IF(AND(K7&gt;740000,K7&lt;1700000),259800+(K7-740000)*40.84%,IF(K7=740000,259800,IF(K7&lt;88000,ROUNDDOWN(K7*3.063%,9),VLOOKUP(K7,源泉DB!$B$8:$L$254,11)))))),"")),"")</f>
        <v>5200</v>
      </c>
      <c r="U7" s="165"/>
      <c r="V7" s="166"/>
      <c r="W7" s="166"/>
      <c r="X7" s="166"/>
      <c r="Y7" s="166"/>
      <c r="Z7" s="178">
        <f>ROUND(IFERROR(IF(($G7="加入"),VLOOKUP($I7,年金DB!$G$16:$P$65,6,TRUE),0),0)-0.1,0)</f>
        <v>12831</v>
      </c>
      <c r="AA7" s="178">
        <f>ROUND(IFERROR(IF(AND($G7="加入",$D7&gt;=40,$D7&lt;=64),VLOOKUP($I7,年金DB!$G$16:$P$65,10,TRUE),0),0)-0.1,0)</f>
        <v>0</v>
      </c>
      <c r="AB7" s="178">
        <f>ROUND(IFERROR(IF(AND($G7="加入",$D7&lt;40),VLOOKUP($J7,年金DB!$G$16:$X$62,14,TRUE),IF(AND($G7="加入",$D7&gt;=40),VLOOKUP($J7,年金DB!$G$16:$X$62,14,TRUE),"0")),0)-0.1,0)</f>
        <v>23790</v>
      </c>
      <c r="AC7" s="178">
        <f t="shared" ref="AC7:AC70" si="3">IF(OR(H7="非加入",H7=""),0,ROUNDUP(IFERROR(IF(H7="加入",(Q7+R7)*3/1000,0),0)-0.5,0))</f>
        <v>750</v>
      </c>
      <c r="AD7" s="21">
        <f t="shared" ref="AD7:AD70" si="4">SUM(T7:AC7)</f>
        <v>42571</v>
      </c>
      <c r="AE7" s="173">
        <f t="shared" ref="AE7:AE70" si="5">S7-AD7</f>
        <v>207429</v>
      </c>
      <c r="AF7" s="14" t="str">
        <f t="shared" ref="AF7:AF70" si="6">IF(AE7&gt;0,"←同額をお振込みください","")</f>
        <v>←同額をお振込みください</v>
      </c>
      <c r="AG7" s="14"/>
      <c r="AH7" s="14"/>
    </row>
    <row r="8" spans="1:34" s="9" customFormat="1">
      <c r="A8" s="27">
        <v>44129</v>
      </c>
      <c r="B8" s="180"/>
      <c r="C8" s="188" t="s">
        <v>61</v>
      </c>
      <c r="D8" s="161">
        <v>44</v>
      </c>
      <c r="E8" s="162" t="s">
        <v>66</v>
      </c>
      <c r="F8" s="162" t="s">
        <v>15</v>
      </c>
      <c r="G8" s="163" t="s">
        <v>60</v>
      </c>
      <c r="H8" s="285" t="s">
        <v>60</v>
      </c>
      <c r="I8" s="282">
        <v>220000</v>
      </c>
      <c r="J8" s="16">
        <v>220000</v>
      </c>
      <c r="K8" s="18">
        <f t="shared" si="0"/>
        <v>166381</v>
      </c>
      <c r="L8" s="288">
        <v>0</v>
      </c>
      <c r="M8" s="291">
        <v>200000</v>
      </c>
      <c r="N8" s="164"/>
      <c r="O8" s="164"/>
      <c r="P8" s="164"/>
      <c r="Q8" s="175">
        <f t="shared" si="1"/>
        <v>200000</v>
      </c>
      <c r="R8" s="164">
        <v>20910</v>
      </c>
      <c r="S8" s="197">
        <f t="shared" si="2"/>
        <v>220910</v>
      </c>
      <c r="T8" s="201" cm="1">
        <f t="array" ref="T8">IFERROR(IF(F8="甲",IF(K8&gt;3500000,VLOOKUP(3500000,源泉DB!$B$261:$L$261,L8+3)+ROUNDDOWN((K8-3500000)*45.945%,0),IF(AND(K8&gt;2250000,K8&lt;3500000),VLOOKUP(2250000,源泉DB!$B$260:$K$260,L8+3)+ROUNDDOWN((K8-2250000)*40.84%,0),IF(AND(K8&gt;2210000,K8&lt;2250000),VLOOKUP(2210000,源泉DB!$B$259:$K$259,L8+3)+ROUNDDOWN((K8-2210000)*40.84%,0),IF(AND(K8&gt;2170000,K8&lt;2210000),VLOOKUP(2170000,源泉DB!$B$258:$K$258,L8+3)+ROUNDDOWN((K8-2170000)*40.84%,0),IF(AND(K8&gt;1700000,K8&lt;2170000),VLOOKUP(1700000,源泉DB!$B$257:$K$257,L8+3)+ROUNDDOWN((K8-1700000)*40.84%,0),IF(AND(K8&gt;950000,K8&lt;1700000),VLOOKUP(950000,源泉DB!$B$256:$K$256,L8+3)+ROUNDDOWN((K8-950000)*33.693%,0),IF(AND(K8&gt;780000,K8&lt;950000),VLOOKUP(780000,源泉DB!$B$255:$K$255,L8+3)+ROUNDDOWN((K8-780000)*23.483%,0),IF(AND(K8&gt;740000,K8&lt;780000),VLOOKUP(740000,源泉DB!$B$254:$K$254,L8+3)+ROUNDDOWN((K8-740000)*20.42%,0),VLOOKUP(K8,源泉DB!$B$8:$K$299,L8+3))))))))),IF(F8="乙",IF(K8&gt;1700000,651900+(K8-1700000) *45.945%,IF(K8=1700000,651900,IF(AND(K8&gt;740000,K8&lt;1700000),259800+(K8-740000)*40.84%,IF(K8=740000,259800,IF(K8&lt;88000,ROUNDDOWN(K8*3.063%,9),VLOOKUP(K8,源泉DB!$B$8:$L$254,11)))))),"")),"")</f>
        <v>3550</v>
      </c>
      <c r="U8" s="165"/>
      <c r="V8" s="166"/>
      <c r="W8" s="166"/>
      <c r="X8" s="166"/>
      <c r="Y8" s="166"/>
      <c r="Z8" s="178">
        <f>ROUND(IFERROR(IF(($G8="加入"),VLOOKUP($I8,年金DB!$G$16:$P$65,6,TRUE),0),0)-0.1,0)</f>
        <v>10857</v>
      </c>
      <c r="AA8" s="178">
        <f>ROUND(IFERROR(IF(AND($G8="加入",$D8&gt;=40,$D8&lt;=64),VLOOKUP($I8,年金DB!$G$16:$P$65,10,TRUE),0),0)-0.1,0)</f>
        <v>1969</v>
      </c>
      <c r="AB8" s="178">
        <f>ROUND(IFERROR(IF(AND($G8="加入",$D8&lt;40),VLOOKUP($J8,年金DB!$G$16:$X$62,14,TRUE),IF(AND($G8="加入",$D8&gt;=40),VLOOKUP($J8,年金DB!$G$16:$X$62,14,TRUE),"0")),0)-0.1,0)</f>
        <v>20130</v>
      </c>
      <c r="AC8" s="178">
        <f t="shared" si="3"/>
        <v>663</v>
      </c>
      <c r="AD8" s="21">
        <f t="shared" si="4"/>
        <v>37169</v>
      </c>
      <c r="AE8" s="173">
        <f t="shared" si="5"/>
        <v>183741</v>
      </c>
      <c r="AF8" s="14" t="str">
        <f t="shared" si="6"/>
        <v>←同額をお振込みください</v>
      </c>
      <c r="AG8" s="14"/>
      <c r="AH8" s="14"/>
    </row>
    <row r="9" spans="1:34" s="9" customFormat="1">
      <c r="A9" s="27">
        <v>44129</v>
      </c>
      <c r="B9" s="180"/>
      <c r="C9" s="188" t="s">
        <v>62</v>
      </c>
      <c r="D9" s="161">
        <v>33</v>
      </c>
      <c r="E9" s="162" t="s">
        <v>63</v>
      </c>
      <c r="F9" s="162" t="s">
        <v>15</v>
      </c>
      <c r="G9" s="163" t="s">
        <v>60</v>
      </c>
      <c r="H9" s="285" t="s">
        <v>129</v>
      </c>
      <c r="I9" s="282">
        <v>160000</v>
      </c>
      <c r="J9" s="16">
        <v>160000</v>
      </c>
      <c r="K9" s="18">
        <f t="shared" si="0"/>
        <v>126969</v>
      </c>
      <c r="L9" s="288">
        <v>0</v>
      </c>
      <c r="M9" s="291">
        <v>150000</v>
      </c>
      <c r="N9" s="164"/>
      <c r="O9" s="164"/>
      <c r="P9" s="164"/>
      <c r="Q9" s="175">
        <f t="shared" si="1"/>
        <v>150000</v>
      </c>
      <c r="R9" s="164">
        <v>15000</v>
      </c>
      <c r="S9" s="197">
        <f t="shared" si="2"/>
        <v>165000</v>
      </c>
      <c r="T9" s="201" cm="1">
        <f t="array" ref="T9">IFERROR(IF(F9="甲",IF(K9&gt;3500000,VLOOKUP(3500000,源泉DB!$B$261:$L$261,L9+3)+ROUNDDOWN((K9-3500000)*45.945%,0),IF(AND(K9&gt;2250000,K9&lt;3500000),VLOOKUP(2250000,源泉DB!$B$260:$K$260,L9+3)+ROUNDDOWN((K9-2250000)*40.84%,0),IF(AND(K9&gt;2210000,K9&lt;2250000),VLOOKUP(2210000,源泉DB!$B$259:$K$259,L9+3)+ROUNDDOWN((K9-2210000)*40.84%,0),IF(AND(K9&gt;2170000,K9&lt;2210000),VLOOKUP(2170000,源泉DB!$B$258:$K$258,L9+3)+ROUNDDOWN((K9-2170000)*40.84%,0),IF(AND(K9&gt;1700000,K9&lt;2170000),VLOOKUP(1700000,源泉DB!$B$257:$K$257,L9+3)+ROUNDDOWN((K9-1700000)*40.84%,0),IF(AND(K9&gt;950000,K9&lt;1700000),VLOOKUP(950000,源泉DB!$B$256:$K$256,L9+3)+ROUNDDOWN((K9-950000)*33.693%,0),IF(AND(K9&gt;780000,K9&lt;950000),VLOOKUP(780000,源泉DB!$B$255:$K$255,L9+3)+ROUNDDOWN((K9-780000)*23.483%,0),IF(AND(K9&gt;740000,K9&lt;780000),VLOOKUP(740000,源泉DB!$B$254:$K$254,L9+3)+ROUNDDOWN((K9-740000)*20.42%,0),VLOOKUP(K9,源泉DB!$B$8:$K$299,L9+3))))))))),IF(F9="乙",IF(K9&gt;1700000,651900+(K9-1700000) *45.945%,IF(K9=1700000,651900,IF(AND(K9&gt;740000,K9&lt;1700000),259800+(K9-740000)*40.84%,IF(K9=740000,259800,IF(K9&lt;88000,ROUNDDOWN(K9*3.063%,9),VLOOKUP(K9,源泉DB!$B$8:$L$254,11)))))),"")),"")</f>
        <v>2050</v>
      </c>
      <c r="U9" s="165"/>
      <c r="V9" s="166"/>
      <c r="W9" s="166"/>
      <c r="X9" s="166"/>
      <c r="Y9" s="166"/>
      <c r="Z9" s="178">
        <f>ROUND(IFERROR(IF(($G9="加入"),VLOOKUP($I9,年金DB!$G$16:$P$65,6,TRUE),0),0)-0.1,0)</f>
        <v>7896</v>
      </c>
      <c r="AA9" s="178">
        <f>ROUND(IFERROR(IF(AND($G9="加入",$D9&gt;=40,$D9&lt;=64),VLOOKUP($I9,年金DB!$G$16:$P$65,10,TRUE),0),0)-0.1,0)</f>
        <v>0</v>
      </c>
      <c r="AB9" s="178">
        <f>ROUND(IFERROR(IF(AND($G9="加入",$D9&lt;40),VLOOKUP($J9,年金DB!$G$16:$X$62,14,TRUE),IF(AND($G9="加入",$D9&gt;=40),VLOOKUP($J9,年金DB!$G$16:$X$62,14,TRUE),"0")),0)-0.1,0)</f>
        <v>14640</v>
      </c>
      <c r="AC9" s="178">
        <f t="shared" si="3"/>
        <v>495</v>
      </c>
      <c r="AD9" s="21">
        <f t="shared" si="4"/>
        <v>25081</v>
      </c>
      <c r="AE9" s="173">
        <f t="shared" si="5"/>
        <v>139919</v>
      </c>
      <c r="AF9" s="14" t="str">
        <f t="shared" si="6"/>
        <v>←同額をお振込みください</v>
      </c>
      <c r="AG9" s="14"/>
      <c r="AH9" s="14"/>
    </row>
    <row r="10" spans="1:34" s="9" customFormat="1">
      <c r="A10" s="27">
        <v>44129</v>
      </c>
      <c r="B10" s="180"/>
      <c r="C10" s="188" t="s">
        <v>64</v>
      </c>
      <c r="D10" s="161">
        <v>29</v>
      </c>
      <c r="E10" s="162" t="s">
        <v>63</v>
      </c>
      <c r="F10" s="162" t="s">
        <v>15</v>
      </c>
      <c r="G10" s="163" t="s">
        <v>60</v>
      </c>
      <c r="H10" s="285" t="s">
        <v>60</v>
      </c>
      <c r="I10" s="282">
        <v>160000</v>
      </c>
      <c r="J10" s="16">
        <v>160000</v>
      </c>
      <c r="K10" s="18">
        <f t="shared" si="0"/>
        <v>675274</v>
      </c>
      <c r="L10" s="288">
        <v>0</v>
      </c>
      <c r="M10" s="291">
        <v>700000</v>
      </c>
      <c r="N10" s="164"/>
      <c r="O10" s="164"/>
      <c r="P10" s="164"/>
      <c r="Q10" s="175">
        <f t="shared" si="1"/>
        <v>700000</v>
      </c>
      <c r="R10" s="164">
        <v>30000</v>
      </c>
      <c r="S10" s="197">
        <f t="shared" si="2"/>
        <v>730000</v>
      </c>
      <c r="T10" s="201" cm="1">
        <f t="array" ref="T10">IFERROR(IF(F10="甲",IF(K10&gt;3500000,VLOOKUP(3500000,源泉DB!$B$261:$L$261,L10+3)+ROUNDDOWN((K10-3500000)*45.945%,0),IF(AND(K10&gt;2250000,K10&lt;3500000),VLOOKUP(2250000,源泉DB!$B$260:$K$260,L10+3)+ROUNDDOWN((K10-2250000)*40.84%,0),IF(AND(K10&gt;2210000,K10&lt;2250000),VLOOKUP(2210000,源泉DB!$B$259:$K$259,L10+3)+ROUNDDOWN((K10-2210000)*40.84%,0),IF(AND(K10&gt;2170000,K10&lt;2210000),VLOOKUP(2170000,源泉DB!$B$258:$K$258,L10+3)+ROUNDDOWN((K10-2170000)*40.84%,0),IF(AND(K10&gt;1700000,K10&lt;2170000),VLOOKUP(1700000,源泉DB!$B$257:$K$257,L10+3)+ROUNDDOWN((K10-1700000)*40.84%,0),IF(AND(K10&gt;950000,K10&lt;1700000),VLOOKUP(950000,源泉DB!$B$256:$K$256,L10+3)+ROUNDDOWN((K10-950000)*33.693%,0),IF(AND(K10&gt;780000,K10&lt;950000),VLOOKUP(780000,源泉DB!$B$255:$K$255,L10+3)+ROUNDDOWN((K10-780000)*23.483%,0),IF(AND(K10&gt;740000,K10&lt;780000),VLOOKUP(740000,源泉DB!$B$254:$K$254,L10+3)+ROUNDDOWN((K10-740000)*20.42%,0),VLOOKUP(K10,源泉DB!$B$8:$K$299,L10+3))))))))),IF(F10="乙",IF(K10&gt;1700000,651900+(K10-1700000) *45.945%,IF(K10=1700000,651900,IF(AND(K10&gt;740000,K10&lt;1700000),259800+(K10-740000)*40.84%,IF(K10=740000,259800,IF(K10&lt;88000,ROUNDDOWN(K10*3.063%,9),VLOOKUP(K10,源泉DB!$B$8:$L$254,11)))))),"")),"")</f>
        <v>60880</v>
      </c>
      <c r="U10" s="165"/>
      <c r="V10" s="166"/>
      <c r="W10" s="166"/>
      <c r="X10" s="166"/>
      <c r="Y10" s="166"/>
      <c r="Z10" s="178">
        <f>ROUND(IFERROR(IF(($G10="加入"),VLOOKUP($I10,年金DB!$G$16:$P$65,6,TRUE),0),0)-0.1,0)</f>
        <v>7896</v>
      </c>
      <c r="AA10" s="178">
        <f>ROUND(IFERROR(IF(AND($G10="加入",$D10&gt;=40,$D10&lt;=64),VLOOKUP($I10,年金DB!$G$16:$P$65,10,TRUE),0),0)-0.1,0)</f>
        <v>0</v>
      </c>
      <c r="AB10" s="178">
        <f>ROUND(IFERROR(IF(AND($G10="加入",$D10&lt;40),VLOOKUP($J10,年金DB!$G$16:$X$62,14,TRUE),IF(AND($G10="加入",$D10&gt;=40),VLOOKUP($J10,年金DB!$G$16:$X$62,14,TRUE),"0")),0)-0.1,0)</f>
        <v>14640</v>
      </c>
      <c r="AC10" s="178">
        <f t="shared" si="3"/>
        <v>2190</v>
      </c>
      <c r="AD10" s="21">
        <f t="shared" si="4"/>
        <v>85606</v>
      </c>
      <c r="AE10" s="173">
        <f t="shared" si="5"/>
        <v>644394</v>
      </c>
      <c r="AF10" s="14" t="str">
        <f t="shared" si="6"/>
        <v>←同額をお振込みください</v>
      </c>
      <c r="AG10" s="14"/>
      <c r="AH10" s="14"/>
    </row>
    <row r="11" spans="1:34" s="9" customFormat="1">
      <c r="A11" s="27"/>
      <c r="B11" s="180"/>
      <c r="C11" s="188"/>
      <c r="D11" s="161"/>
      <c r="E11" s="162"/>
      <c r="F11" s="162"/>
      <c r="G11" s="163"/>
      <c r="H11" s="285"/>
      <c r="I11" s="282"/>
      <c r="J11" s="16"/>
      <c r="K11" s="18">
        <f t="shared" si="0"/>
        <v>0</v>
      </c>
      <c r="L11" s="288">
        <v>0</v>
      </c>
      <c r="M11" s="291"/>
      <c r="N11" s="164"/>
      <c r="O11" s="164"/>
      <c r="P11" s="164"/>
      <c r="Q11" s="175">
        <f t="shared" si="1"/>
        <v>0</v>
      </c>
      <c r="R11" s="164"/>
      <c r="S11" s="197">
        <f t="shared" si="2"/>
        <v>0</v>
      </c>
      <c r="T11" s="201" t="str" cm="1">
        <f t="array" ref="T11">IFERROR(IF(F11="甲",IF(K11&gt;3500000,VLOOKUP(3500000,源泉DB!$B$261:$L$261,L11+3)+ROUNDDOWN((K11-3500000)*45.945%,0),IF(AND(K11&gt;2250000,K11&lt;3500000),VLOOKUP(2250000,源泉DB!$B$260:$K$260,L11+3)+ROUNDDOWN((K11-2250000)*40.84%,0),IF(AND(K11&gt;2210000,K11&lt;2250000),VLOOKUP(2210000,源泉DB!$B$259:$K$259,L11+3)+ROUNDDOWN((K11-2210000)*40.84%,0),IF(AND(K11&gt;2170000,K11&lt;2210000),VLOOKUP(2170000,源泉DB!$B$258:$K$258,L11+3)+ROUNDDOWN((K11-2170000)*40.84%,0),IF(AND(K11&gt;1700000,K11&lt;2170000),VLOOKUP(1700000,源泉DB!$B$257:$K$257,L11+3)+ROUNDDOWN((K11-1700000)*40.84%,0),IF(AND(K11&gt;950000,K11&lt;1700000),VLOOKUP(950000,源泉DB!$B$256:$K$256,L11+3)+ROUNDDOWN((K11-950000)*33.693%,0),IF(AND(K11&gt;780000,K11&lt;950000),VLOOKUP(780000,源泉DB!$B$255:$K$255,L11+3)+ROUNDDOWN((K11-780000)*23.483%,0),IF(AND(K11&gt;740000,K11&lt;780000),VLOOKUP(740000,源泉DB!$B$254:$K$254,L11+3)+ROUNDDOWN((K11-740000)*20.42%,0),VLOOKUP(K11,源泉DB!$B$8:$K$299,L11+3))))))))),IF(F11="乙",IF(K11&gt;1700000,651900+(K11-1700000) *45.945%,IF(K11=1700000,651900,IF(AND(K11&gt;740000,K11&lt;1700000),259800+(K11-740000)*40.84%,IF(K11=740000,259800,IF(K11&lt;88000,ROUNDDOWN(K11*3.063%,9),VLOOKUP(K11,源泉DB!$B$8:$L$254,11)))))),"")),"")</f>
        <v/>
      </c>
      <c r="U11" s="165"/>
      <c r="V11" s="166"/>
      <c r="W11" s="166"/>
      <c r="X11" s="166"/>
      <c r="Y11" s="166"/>
      <c r="Z11" s="178">
        <f>ROUND(IFERROR(IF(($G11="加入"),VLOOKUP($I11,年金DB!$G$16:$P$65,6,TRUE),0),0)-0.1,0)</f>
        <v>0</v>
      </c>
      <c r="AA11" s="178">
        <f>ROUND(IFERROR(IF(AND($G11="加入",$D11&gt;=40,$D11&lt;=64),VLOOKUP($I11,年金DB!$G$16:$P$65,10,TRUE),0),0)-0.1,0)</f>
        <v>0</v>
      </c>
      <c r="AB11" s="178">
        <f>ROUND(IFERROR(IF(AND($G11="加入",$D11&lt;40),VLOOKUP($J11,年金DB!$G$16:$X$62,14,TRUE),IF(AND($G11="加入",$D11&gt;=40),VLOOKUP($J11,年金DB!$G$16:$X$62,14,TRUE),"0")),0)-0.1,0)</f>
        <v>0</v>
      </c>
      <c r="AC11" s="178">
        <f t="shared" si="3"/>
        <v>0</v>
      </c>
      <c r="AD11" s="21">
        <f t="shared" si="4"/>
        <v>0</v>
      </c>
      <c r="AE11" s="173">
        <f t="shared" si="5"/>
        <v>0</v>
      </c>
      <c r="AF11" s="14" t="str">
        <f t="shared" si="6"/>
        <v/>
      </c>
      <c r="AG11" s="14"/>
      <c r="AH11" s="14"/>
    </row>
    <row r="12" spans="1:34" s="9" customFormat="1">
      <c r="A12" s="28"/>
      <c r="B12" s="180"/>
      <c r="C12" s="188"/>
      <c r="D12" s="161"/>
      <c r="E12" s="162"/>
      <c r="F12" s="162"/>
      <c r="G12" s="163"/>
      <c r="H12" s="285"/>
      <c r="I12" s="282"/>
      <c r="J12" s="16"/>
      <c r="K12" s="18">
        <f t="shared" si="0"/>
        <v>0</v>
      </c>
      <c r="L12" s="288">
        <v>0</v>
      </c>
      <c r="M12" s="291"/>
      <c r="N12" s="164"/>
      <c r="O12" s="164"/>
      <c r="P12" s="164"/>
      <c r="Q12" s="175">
        <f t="shared" si="1"/>
        <v>0</v>
      </c>
      <c r="R12" s="164"/>
      <c r="S12" s="197">
        <f t="shared" si="2"/>
        <v>0</v>
      </c>
      <c r="T12" s="201" t="str" cm="1">
        <f t="array" ref="T12">IFERROR(IF(F12="甲",IF(K12&gt;3500000,VLOOKUP(3500000,源泉DB!$B$261:$L$261,L12+3)+ROUNDDOWN((K12-3500000)*45.945%,0),IF(AND(K12&gt;2250000,K12&lt;3500000),VLOOKUP(2250000,源泉DB!$B$260:$K$260,L12+3)+ROUNDDOWN((K12-2250000)*40.84%,0),IF(AND(K12&gt;2210000,K12&lt;2250000),VLOOKUP(2210000,源泉DB!$B$259:$K$259,L12+3)+ROUNDDOWN((K12-2210000)*40.84%,0),IF(AND(K12&gt;2170000,K12&lt;2210000),VLOOKUP(2170000,源泉DB!$B$258:$K$258,L12+3)+ROUNDDOWN((K12-2170000)*40.84%,0),IF(AND(K12&gt;1700000,K12&lt;2170000),VLOOKUP(1700000,源泉DB!$B$257:$K$257,L12+3)+ROUNDDOWN((K12-1700000)*40.84%,0),IF(AND(K12&gt;950000,K12&lt;1700000),VLOOKUP(950000,源泉DB!$B$256:$K$256,L12+3)+ROUNDDOWN((K12-950000)*33.693%,0),IF(AND(K12&gt;780000,K12&lt;950000),VLOOKUP(780000,源泉DB!$B$255:$K$255,L12+3)+ROUNDDOWN((K12-780000)*23.483%,0),IF(AND(K12&gt;740000,K12&lt;780000),VLOOKUP(740000,源泉DB!$B$254:$K$254,L12+3)+ROUNDDOWN((K12-740000)*20.42%,0),VLOOKUP(K12,源泉DB!$B$8:$K$299,L12+3))))))))),IF(F12="乙",IF(K12&gt;1700000,651900+(K12-1700000) *45.945%,IF(K12=1700000,651900,IF(AND(K12&gt;740000,K12&lt;1700000),259800+(K12-740000)*40.84%,IF(K12=740000,259800,IF(K12&lt;88000,ROUNDDOWN(K12*3.063%,9),VLOOKUP(K12,源泉DB!$B$8:$L$254,11)))))),"")),"")</f>
        <v/>
      </c>
      <c r="U12" s="165"/>
      <c r="V12" s="166"/>
      <c r="W12" s="166"/>
      <c r="X12" s="166"/>
      <c r="Y12" s="166"/>
      <c r="Z12" s="178">
        <f>ROUND(IFERROR(IF(($G12="加入"),VLOOKUP($I12,年金DB!$G$16:$P$65,6,TRUE),0),0)-0.1,0)</f>
        <v>0</v>
      </c>
      <c r="AA12" s="178">
        <f>ROUND(IFERROR(IF(AND($G12="加入",$D12&gt;=40,$D12&lt;=64),VLOOKUP($I12,年金DB!$G$16:$P$65,10,TRUE),0),0)-0.1,0)</f>
        <v>0</v>
      </c>
      <c r="AB12" s="178">
        <f>ROUND(IFERROR(IF(AND($G12="加入",$D12&lt;40),VLOOKUP($J12,年金DB!$G$16:$X$62,14,TRUE),IF(AND($G12="加入",$D12&gt;=40),VLOOKUP($J12,年金DB!$G$16:$X$62,14,TRUE),"0")),0)-0.1,0)</f>
        <v>0</v>
      </c>
      <c r="AC12" s="178">
        <f t="shared" si="3"/>
        <v>0</v>
      </c>
      <c r="AD12" s="21">
        <f t="shared" si="4"/>
        <v>0</v>
      </c>
      <c r="AE12" s="173">
        <f t="shared" si="5"/>
        <v>0</v>
      </c>
      <c r="AF12" s="14" t="str">
        <f t="shared" si="6"/>
        <v/>
      </c>
      <c r="AG12" s="14"/>
      <c r="AH12" s="14"/>
    </row>
    <row r="13" spans="1:34" s="9" customFormat="1">
      <c r="A13" s="28"/>
      <c r="B13" s="180"/>
      <c r="C13" s="188"/>
      <c r="D13" s="161"/>
      <c r="E13" s="162"/>
      <c r="F13" s="162"/>
      <c r="G13" s="163"/>
      <c r="H13" s="285"/>
      <c r="I13" s="282"/>
      <c r="J13" s="16"/>
      <c r="K13" s="18">
        <f t="shared" si="0"/>
        <v>0</v>
      </c>
      <c r="L13" s="288">
        <v>0</v>
      </c>
      <c r="M13" s="291"/>
      <c r="N13" s="164"/>
      <c r="O13" s="164"/>
      <c r="P13" s="164"/>
      <c r="Q13" s="175">
        <f t="shared" si="1"/>
        <v>0</v>
      </c>
      <c r="R13" s="164"/>
      <c r="S13" s="197">
        <f t="shared" si="2"/>
        <v>0</v>
      </c>
      <c r="T13" s="201" t="str" cm="1">
        <f t="array" ref="T13">IFERROR(IF(F13="甲",IF(K13&gt;3500000,VLOOKUP(3500000,源泉DB!$B$261:$L$261,L13+3)+ROUNDDOWN((K13-3500000)*45.945%,0),IF(AND(K13&gt;2250000,K13&lt;3500000),VLOOKUP(2250000,源泉DB!$B$260:$K$260,L13+3)+ROUNDDOWN((K13-2250000)*40.84%,0),IF(AND(K13&gt;2210000,K13&lt;2250000),VLOOKUP(2210000,源泉DB!$B$259:$K$259,L13+3)+ROUNDDOWN((K13-2210000)*40.84%,0),IF(AND(K13&gt;2170000,K13&lt;2210000),VLOOKUP(2170000,源泉DB!$B$258:$K$258,L13+3)+ROUNDDOWN((K13-2170000)*40.84%,0),IF(AND(K13&gt;1700000,K13&lt;2170000),VLOOKUP(1700000,源泉DB!$B$257:$K$257,L13+3)+ROUNDDOWN((K13-1700000)*40.84%,0),IF(AND(K13&gt;950000,K13&lt;1700000),VLOOKUP(950000,源泉DB!$B$256:$K$256,L13+3)+ROUNDDOWN((K13-950000)*33.693%,0),IF(AND(K13&gt;780000,K13&lt;950000),VLOOKUP(780000,源泉DB!$B$255:$K$255,L13+3)+ROUNDDOWN((K13-780000)*23.483%,0),IF(AND(K13&gt;740000,K13&lt;780000),VLOOKUP(740000,源泉DB!$B$254:$K$254,L13+3)+ROUNDDOWN((K13-740000)*20.42%,0),VLOOKUP(K13,源泉DB!$B$8:$K$299,L13+3))))))))),IF(F13="乙",IF(K13&gt;1700000,651900+(K13-1700000) *45.945%,IF(K13=1700000,651900,IF(AND(K13&gt;740000,K13&lt;1700000),259800+(K13-740000)*40.84%,IF(K13=740000,259800,IF(K13&lt;88000,ROUNDDOWN(K13*3.063%,9),VLOOKUP(K13,源泉DB!$B$8:$L$254,11)))))),"")),"")</f>
        <v/>
      </c>
      <c r="U13" s="165"/>
      <c r="V13" s="166"/>
      <c r="W13" s="166"/>
      <c r="X13" s="166"/>
      <c r="Y13" s="166"/>
      <c r="Z13" s="178">
        <f>ROUND(IFERROR(IF(($G13="加入"),VLOOKUP($I13,年金DB!$G$16:$P$65,6,TRUE),0),0)-0.1,0)</f>
        <v>0</v>
      </c>
      <c r="AA13" s="178">
        <f>ROUND(IFERROR(IF(AND($G13="加入",$D13&gt;=40,$D13&lt;=64),VLOOKUP($I13,年金DB!$G$16:$P$65,10,TRUE),0),0)-0.1,0)</f>
        <v>0</v>
      </c>
      <c r="AB13" s="178">
        <f>ROUND(IFERROR(IF(AND($G13="加入",$D13&lt;40),VLOOKUP($J13,年金DB!$G$16:$X$62,14,TRUE),IF(AND($G13="加入",$D13&gt;=40),VLOOKUP($J13,年金DB!$G$16:$X$62,14,TRUE),"0")),0)-0.1,0)</f>
        <v>0</v>
      </c>
      <c r="AC13" s="178">
        <f t="shared" si="3"/>
        <v>0</v>
      </c>
      <c r="AD13" s="21">
        <f t="shared" si="4"/>
        <v>0</v>
      </c>
      <c r="AE13" s="173">
        <f t="shared" si="5"/>
        <v>0</v>
      </c>
      <c r="AF13" s="14" t="str">
        <f t="shared" si="6"/>
        <v/>
      </c>
      <c r="AG13" s="14"/>
      <c r="AH13" s="14"/>
    </row>
    <row r="14" spans="1:34" s="9" customFormat="1">
      <c r="A14" s="28"/>
      <c r="B14" s="180"/>
      <c r="C14" s="188"/>
      <c r="D14" s="161"/>
      <c r="E14" s="162"/>
      <c r="F14" s="162"/>
      <c r="G14" s="163"/>
      <c r="H14" s="285"/>
      <c r="I14" s="282"/>
      <c r="J14" s="16"/>
      <c r="K14" s="18">
        <f t="shared" si="0"/>
        <v>0</v>
      </c>
      <c r="L14" s="288">
        <v>0</v>
      </c>
      <c r="M14" s="291"/>
      <c r="N14" s="164"/>
      <c r="O14" s="164"/>
      <c r="P14" s="164"/>
      <c r="Q14" s="175">
        <f t="shared" si="1"/>
        <v>0</v>
      </c>
      <c r="R14" s="164"/>
      <c r="S14" s="197">
        <f t="shared" si="2"/>
        <v>0</v>
      </c>
      <c r="T14" s="201" t="str" cm="1">
        <f t="array" ref="T14">IFERROR(IF(F14="甲",IF(K14&gt;3500000,VLOOKUP(3500000,源泉DB!$B$261:$L$261,L14+3)+ROUNDDOWN((K14-3500000)*45.945%,0),IF(AND(K14&gt;2250000,K14&lt;3500000),VLOOKUP(2250000,源泉DB!$B$260:$K$260,L14+3)+ROUNDDOWN((K14-2250000)*40.84%,0),IF(AND(K14&gt;2210000,K14&lt;2250000),VLOOKUP(2210000,源泉DB!$B$259:$K$259,L14+3)+ROUNDDOWN((K14-2210000)*40.84%,0),IF(AND(K14&gt;2170000,K14&lt;2210000),VLOOKUP(2170000,源泉DB!$B$258:$K$258,L14+3)+ROUNDDOWN((K14-2170000)*40.84%,0),IF(AND(K14&gt;1700000,K14&lt;2170000),VLOOKUP(1700000,源泉DB!$B$257:$K$257,L14+3)+ROUNDDOWN((K14-1700000)*40.84%,0),IF(AND(K14&gt;950000,K14&lt;1700000),VLOOKUP(950000,源泉DB!$B$256:$K$256,L14+3)+ROUNDDOWN((K14-950000)*33.693%,0),IF(AND(K14&gt;780000,K14&lt;950000),VLOOKUP(780000,源泉DB!$B$255:$K$255,L14+3)+ROUNDDOWN((K14-780000)*23.483%,0),IF(AND(K14&gt;740000,K14&lt;780000),VLOOKUP(740000,源泉DB!$B$254:$K$254,L14+3)+ROUNDDOWN((K14-740000)*20.42%,0),VLOOKUP(K14,源泉DB!$B$8:$K$299,L14+3))))))))),IF(F14="乙",IF(K14&gt;1700000,651900+(K14-1700000) *45.945%,IF(K14=1700000,651900,IF(AND(K14&gt;740000,K14&lt;1700000),259800+(K14-740000)*40.84%,IF(K14=740000,259800,IF(K14&lt;88000,ROUNDDOWN(K14*3.063%,9),VLOOKUP(K14,源泉DB!$B$8:$L$254,11)))))),"")),"")</f>
        <v/>
      </c>
      <c r="U14" s="165"/>
      <c r="V14" s="166"/>
      <c r="W14" s="166"/>
      <c r="X14" s="166"/>
      <c r="Y14" s="166"/>
      <c r="Z14" s="178">
        <f>ROUND(IFERROR(IF(($G14="加入"),VLOOKUP($I14,年金DB!$G$16:$P$65,6,TRUE),0),0)-0.1,0)</f>
        <v>0</v>
      </c>
      <c r="AA14" s="178">
        <f>ROUND(IFERROR(IF(AND($G14="加入",$D14&gt;=40,$D14&lt;=64),VLOOKUP($I14,年金DB!$G$16:$P$65,10,TRUE),0),0)-0.1,0)</f>
        <v>0</v>
      </c>
      <c r="AB14" s="178">
        <f>ROUND(IFERROR(IF(AND($G14="加入",$D14&lt;40),VLOOKUP($J14,年金DB!$G$16:$X$62,14,TRUE),IF(AND($G14="加入",$D14&gt;=40),VLOOKUP($J14,年金DB!$G$16:$X$62,14,TRUE),"0")),0)-0.1,0)</f>
        <v>0</v>
      </c>
      <c r="AC14" s="178">
        <f t="shared" si="3"/>
        <v>0</v>
      </c>
      <c r="AD14" s="21">
        <f t="shared" si="4"/>
        <v>0</v>
      </c>
      <c r="AE14" s="173">
        <f t="shared" si="5"/>
        <v>0</v>
      </c>
      <c r="AF14" s="14" t="str">
        <f t="shared" si="6"/>
        <v/>
      </c>
      <c r="AG14" s="14"/>
      <c r="AH14" s="14"/>
    </row>
    <row r="15" spans="1:34">
      <c r="A15" s="28"/>
      <c r="B15" s="180"/>
      <c r="C15" s="188"/>
      <c r="D15" s="161"/>
      <c r="E15" s="162"/>
      <c r="F15" s="162"/>
      <c r="G15" s="163"/>
      <c r="H15" s="285"/>
      <c r="I15" s="282"/>
      <c r="J15" s="16"/>
      <c r="K15" s="18">
        <f t="shared" si="0"/>
        <v>0</v>
      </c>
      <c r="L15" s="288">
        <v>0</v>
      </c>
      <c r="M15" s="291"/>
      <c r="N15" s="164"/>
      <c r="O15" s="164"/>
      <c r="P15" s="164"/>
      <c r="Q15" s="175">
        <f t="shared" si="1"/>
        <v>0</v>
      </c>
      <c r="R15" s="164"/>
      <c r="S15" s="197">
        <f t="shared" si="2"/>
        <v>0</v>
      </c>
      <c r="T15" s="201" t="str" cm="1">
        <f t="array" ref="T15">IFERROR(IF(F15="甲",IF(K15&gt;3500000,VLOOKUP(3500000,源泉DB!$B$261:$L$261,L15+3)+ROUNDDOWN((K15-3500000)*45.945%,0),IF(AND(K15&gt;2250000,K15&lt;3500000),VLOOKUP(2250000,源泉DB!$B$260:$K$260,L15+3)+ROUNDDOWN((K15-2250000)*40.84%,0),IF(AND(K15&gt;2210000,K15&lt;2250000),VLOOKUP(2210000,源泉DB!$B$259:$K$259,L15+3)+ROUNDDOWN((K15-2210000)*40.84%,0),IF(AND(K15&gt;2170000,K15&lt;2210000),VLOOKUP(2170000,源泉DB!$B$258:$K$258,L15+3)+ROUNDDOWN((K15-2170000)*40.84%,0),IF(AND(K15&gt;1700000,K15&lt;2170000),VLOOKUP(1700000,源泉DB!$B$257:$K$257,L15+3)+ROUNDDOWN((K15-1700000)*40.84%,0),IF(AND(K15&gt;950000,K15&lt;1700000),VLOOKUP(950000,源泉DB!$B$256:$K$256,L15+3)+ROUNDDOWN((K15-950000)*33.693%,0),IF(AND(K15&gt;780000,K15&lt;950000),VLOOKUP(780000,源泉DB!$B$255:$K$255,L15+3)+ROUNDDOWN((K15-780000)*23.483%,0),IF(AND(K15&gt;740000,K15&lt;780000),VLOOKUP(740000,源泉DB!$B$254:$K$254,L15+3)+ROUNDDOWN((K15-740000)*20.42%,0),VLOOKUP(K15,源泉DB!$B$8:$K$299,L15+3))))))))),IF(F15="乙",IF(K15&gt;1700000,651900+(K15-1700000) *45.945%,IF(K15=1700000,651900,IF(AND(K15&gt;740000,K15&lt;1700000),259800+(K15-740000)*40.84%,IF(K15=740000,259800,IF(K15&lt;88000,ROUNDDOWN(K15*3.063%,9),VLOOKUP(K15,源泉DB!$B$8:$L$254,11)))))),"")),"")</f>
        <v/>
      </c>
      <c r="U15" s="165"/>
      <c r="V15" s="166"/>
      <c r="W15" s="166"/>
      <c r="X15" s="166"/>
      <c r="Y15" s="166"/>
      <c r="Z15" s="178">
        <f>ROUND(IFERROR(IF(($G15="加入"),VLOOKUP($I15,年金DB!$G$16:$P$65,6,TRUE),0),0)-0.1,0)</f>
        <v>0</v>
      </c>
      <c r="AA15" s="178">
        <f>ROUND(IFERROR(IF(AND($G15="加入",$D15&gt;=40,$D15&lt;=64),VLOOKUP($I15,年金DB!$G$16:$P$65,10,TRUE),0),0)-0.1,0)</f>
        <v>0</v>
      </c>
      <c r="AB15" s="178">
        <f>ROUND(IFERROR(IF(AND($G15="加入",$D15&lt;40),VLOOKUP($J15,年金DB!$G$16:$X$62,14,TRUE),IF(AND($G15="加入",$D15&gt;=40),VLOOKUP($J15,年金DB!$G$16:$X$62,14,TRUE),"0")),0)-0.1,0)</f>
        <v>0</v>
      </c>
      <c r="AC15" s="178">
        <f t="shared" si="3"/>
        <v>0</v>
      </c>
      <c r="AD15" s="21">
        <f t="shared" si="4"/>
        <v>0</v>
      </c>
      <c r="AE15" s="173">
        <f t="shared" si="5"/>
        <v>0</v>
      </c>
      <c r="AF15" s="14" t="str">
        <f t="shared" si="6"/>
        <v/>
      </c>
      <c r="AG15" s="14"/>
      <c r="AH15" s="14"/>
    </row>
    <row r="16" spans="1:34">
      <c r="A16" s="28"/>
      <c r="B16" s="180"/>
      <c r="C16" s="188"/>
      <c r="D16" s="161"/>
      <c r="E16" s="162"/>
      <c r="F16" s="162"/>
      <c r="G16" s="163"/>
      <c r="H16" s="285"/>
      <c r="I16" s="282"/>
      <c r="J16" s="16"/>
      <c r="K16" s="18">
        <f t="shared" si="0"/>
        <v>0</v>
      </c>
      <c r="L16" s="288">
        <v>0</v>
      </c>
      <c r="M16" s="291"/>
      <c r="N16" s="164"/>
      <c r="O16" s="164"/>
      <c r="P16" s="164"/>
      <c r="Q16" s="175">
        <f t="shared" si="1"/>
        <v>0</v>
      </c>
      <c r="R16" s="164"/>
      <c r="S16" s="197">
        <f t="shared" si="2"/>
        <v>0</v>
      </c>
      <c r="T16" s="201" t="str" cm="1">
        <f t="array" ref="T16">IFERROR(IF(F16="甲",IF(K16&gt;3500000,VLOOKUP(3500000,源泉DB!$B$261:$L$261,L16+3)+ROUNDDOWN((K16-3500000)*45.945%,0),IF(AND(K16&gt;2250000,K16&lt;3500000),VLOOKUP(2250000,源泉DB!$B$260:$K$260,L16+3)+ROUNDDOWN((K16-2250000)*40.84%,0),IF(AND(K16&gt;2210000,K16&lt;2250000),VLOOKUP(2210000,源泉DB!$B$259:$K$259,L16+3)+ROUNDDOWN((K16-2210000)*40.84%,0),IF(AND(K16&gt;2170000,K16&lt;2210000),VLOOKUP(2170000,源泉DB!$B$258:$K$258,L16+3)+ROUNDDOWN((K16-2170000)*40.84%,0),IF(AND(K16&gt;1700000,K16&lt;2170000),VLOOKUP(1700000,源泉DB!$B$257:$K$257,L16+3)+ROUNDDOWN((K16-1700000)*40.84%,0),IF(AND(K16&gt;950000,K16&lt;1700000),VLOOKUP(950000,源泉DB!$B$256:$K$256,L16+3)+ROUNDDOWN((K16-950000)*33.693%,0),IF(AND(K16&gt;780000,K16&lt;950000),VLOOKUP(780000,源泉DB!$B$255:$K$255,L16+3)+ROUNDDOWN((K16-780000)*23.483%,0),IF(AND(K16&gt;740000,K16&lt;780000),VLOOKUP(740000,源泉DB!$B$254:$K$254,L16+3)+ROUNDDOWN((K16-740000)*20.42%,0),VLOOKUP(K16,源泉DB!$B$8:$K$299,L16+3))))))))),IF(F16="乙",IF(K16&gt;1700000,651900+(K16-1700000) *45.945%,IF(K16=1700000,651900,IF(AND(K16&gt;740000,K16&lt;1700000),259800+(K16-740000)*40.84%,IF(K16=740000,259800,IF(K16&lt;88000,ROUNDDOWN(K16*3.063%,9),VLOOKUP(K16,源泉DB!$B$8:$L$254,11)))))),"")),"")</f>
        <v/>
      </c>
      <c r="U16" s="165"/>
      <c r="V16" s="166"/>
      <c r="W16" s="166"/>
      <c r="X16" s="166"/>
      <c r="Y16" s="166"/>
      <c r="Z16" s="178">
        <f>ROUND(IFERROR(IF(($G16="加入"),VLOOKUP($I16,年金DB!$G$16:$P$65,6,TRUE),0),0)-0.1,0)</f>
        <v>0</v>
      </c>
      <c r="AA16" s="178">
        <f>ROUND(IFERROR(IF(AND($G16="加入",$D16&gt;=40,$D16&lt;=64),VLOOKUP($I16,年金DB!$G$16:$P$65,10,TRUE),0),0)-0.1,0)</f>
        <v>0</v>
      </c>
      <c r="AB16" s="178">
        <f>ROUND(IFERROR(IF(AND($G16="加入",$D16&lt;40),VLOOKUP($J16,年金DB!$G$16:$X$62,14,TRUE),IF(AND($G16="加入",$D16&gt;=40),VLOOKUP($J16,年金DB!$G$16:$X$62,14,TRUE),"0")),0)-0.1,0)</f>
        <v>0</v>
      </c>
      <c r="AC16" s="178">
        <f t="shared" si="3"/>
        <v>0</v>
      </c>
      <c r="AD16" s="21">
        <f t="shared" si="4"/>
        <v>0</v>
      </c>
      <c r="AE16" s="173">
        <f t="shared" si="5"/>
        <v>0</v>
      </c>
      <c r="AF16" s="14" t="str">
        <f t="shared" si="6"/>
        <v/>
      </c>
      <c r="AG16" s="14"/>
      <c r="AH16" s="14"/>
    </row>
    <row r="17" spans="1:34">
      <c r="A17" s="28"/>
      <c r="B17" s="180"/>
      <c r="C17" s="188"/>
      <c r="D17" s="161"/>
      <c r="E17" s="162"/>
      <c r="F17" s="162"/>
      <c r="G17" s="163"/>
      <c r="H17" s="285"/>
      <c r="I17" s="282"/>
      <c r="J17" s="16"/>
      <c r="K17" s="18">
        <f t="shared" si="0"/>
        <v>0</v>
      </c>
      <c r="L17" s="288">
        <v>0</v>
      </c>
      <c r="M17" s="291"/>
      <c r="N17" s="164"/>
      <c r="O17" s="164"/>
      <c r="P17" s="164"/>
      <c r="Q17" s="175">
        <f t="shared" si="1"/>
        <v>0</v>
      </c>
      <c r="R17" s="164"/>
      <c r="S17" s="197">
        <f t="shared" si="2"/>
        <v>0</v>
      </c>
      <c r="T17" s="201" t="str" cm="1">
        <f t="array" ref="T17">IFERROR(IF(F17="甲",IF(K17&gt;3500000,VLOOKUP(3500000,源泉DB!$B$261:$L$261,L17+3)+ROUNDDOWN((K17-3500000)*45.945%,0),IF(AND(K17&gt;2250000,K17&lt;3500000),VLOOKUP(2250000,源泉DB!$B$260:$K$260,L17+3)+ROUNDDOWN((K17-2250000)*40.84%,0),IF(AND(K17&gt;2210000,K17&lt;2250000),VLOOKUP(2210000,源泉DB!$B$259:$K$259,L17+3)+ROUNDDOWN((K17-2210000)*40.84%,0),IF(AND(K17&gt;2170000,K17&lt;2210000),VLOOKUP(2170000,源泉DB!$B$258:$K$258,L17+3)+ROUNDDOWN((K17-2170000)*40.84%,0),IF(AND(K17&gt;1700000,K17&lt;2170000),VLOOKUP(1700000,源泉DB!$B$257:$K$257,L17+3)+ROUNDDOWN((K17-1700000)*40.84%,0),IF(AND(K17&gt;950000,K17&lt;1700000),VLOOKUP(950000,源泉DB!$B$256:$K$256,L17+3)+ROUNDDOWN((K17-950000)*33.693%,0),IF(AND(K17&gt;780000,K17&lt;950000),VLOOKUP(780000,源泉DB!$B$255:$K$255,L17+3)+ROUNDDOWN((K17-780000)*23.483%,0),IF(AND(K17&gt;740000,K17&lt;780000),VLOOKUP(740000,源泉DB!$B$254:$K$254,L17+3)+ROUNDDOWN((K17-740000)*20.42%,0),VLOOKUP(K17,源泉DB!$B$8:$K$299,L17+3))))))))),IF(F17="乙",IF(K17&gt;1700000,651900+(K17-1700000) *45.945%,IF(K17=1700000,651900,IF(AND(K17&gt;740000,K17&lt;1700000),259800+(K17-740000)*40.84%,IF(K17=740000,259800,IF(K17&lt;88000,ROUNDDOWN(K17*3.063%,9),VLOOKUP(K17,源泉DB!$B$8:$L$254,11)))))),"")),"")</f>
        <v/>
      </c>
      <c r="U17" s="165"/>
      <c r="V17" s="166"/>
      <c r="W17" s="166"/>
      <c r="X17" s="166"/>
      <c r="Y17" s="166"/>
      <c r="Z17" s="178">
        <f>ROUND(IFERROR(IF(($G17="加入"),VLOOKUP($I17,年金DB!$G$16:$P$65,6,TRUE),0),0)-0.1,0)</f>
        <v>0</v>
      </c>
      <c r="AA17" s="178">
        <f>ROUND(IFERROR(IF(AND($G17="加入",$D17&gt;=40,$D17&lt;=64),VLOOKUP($I17,年金DB!$G$16:$P$65,10,TRUE),0),0)-0.1,0)</f>
        <v>0</v>
      </c>
      <c r="AB17" s="178">
        <f>ROUND(IFERROR(IF(AND($G17="加入",$D17&lt;40),VLOOKUP($J17,年金DB!$G$16:$X$62,14,TRUE),IF(AND($G17="加入",$D17&gt;=40),VLOOKUP($J17,年金DB!$G$16:$X$62,14,TRUE),"0")),0)-0.1,0)</f>
        <v>0</v>
      </c>
      <c r="AC17" s="178">
        <f t="shared" si="3"/>
        <v>0</v>
      </c>
      <c r="AD17" s="21">
        <f t="shared" si="4"/>
        <v>0</v>
      </c>
      <c r="AE17" s="173">
        <f t="shared" si="5"/>
        <v>0</v>
      </c>
      <c r="AF17" s="14" t="str">
        <f t="shared" si="6"/>
        <v/>
      </c>
      <c r="AG17" s="14"/>
      <c r="AH17" s="14"/>
    </row>
    <row r="18" spans="1:34">
      <c r="A18" s="28"/>
      <c r="B18" s="180"/>
      <c r="C18" s="188"/>
      <c r="D18" s="161"/>
      <c r="E18" s="162"/>
      <c r="F18" s="162"/>
      <c r="G18" s="163"/>
      <c r="H18" s="285"/>
      <c r="I18" s="282"/>
      <c r="J18" s="16"/>
      <c r="K18" s="18">
        <f t="shared" si="0"/>
        <v>0</v>
      </c>
      <c r="L18" s="288">
        <v>0</v>
      </c>
      <c r="M18" s="291"/>
      <c r="N18" s="164"/>
      <c r="O18" s="164"/>
      <c r="P18" s="164"/>
      <c r="Q18" s="175">
        <f t="shared" si="1"/>
        <v>0</v>
      </c>
      <c r="R18" s="164"/>
      <c r="S18" s="197">
        <f t="shared" si="2"/>
        <v>0</v>
      </c>
      <c r="T18" s="201" t="str" cm="1">
        <f t="array" ref="T18">IFERROR(IF(F18="甲",IF(K18&gt;3500000,VLOOKUP(3500000,源泉DB!$B$261:$L$261,L18+3)+ROUNDDOWN((K18-3500000)*45.945%,0),IF(AND(K18&gt;2250000,K18&lt;3500000),VLOOKUP(2250000,源泉DB!$B$260:$K$260,L18+3)+ROUNDDOWN((K18-2250000)*40.84%,0),IF(AND(K18&gt;2210000,K18&lt;2250000),VLOOKUP(2210000,源泉DB!$B$259:$K$259,L18+3)+ROUNDDOWN((K18-2210000)*40.84%,0),IF(AND(K18&gt;2170000,K18&lt;2210000),VLOOKUP(2170000,源泉DB!$B$258:$K$258,L18+3)+ROUNDDOWN((K18-2170000)*40.84%,0),IF(AND(K18&gt;1700000,K18&lt;2170000),VLOOKUP(1700000,源泉DB!$B$257:$K$257,L18+3)+ROUNDDOWN((K18-1700000)*40.84%,0),IF(AND(K18&gt;950000,K18&lt;1700000),VLOOKUP(950000,源泉DB!$B$256:$K$256,L18+3)+ROUNDDOWN((K18-950000)*33.693%,0),IF(AND(K18&gt;780000,K18&lt;950000),VLOOKUP(780000,源泉DB!$B$255:$K$255,L18+3)+ROUNDDOWN((K18-780000)*23.483%,0),IF(AND(K18&gt;740000,K18&lt;780000),VLOOKUP(740000,源泉DB!$B$254:$K$254,L18+3)+ROUNDDOWN((K18-740000)*20.42%,0),VLOOKUP(K18,源泉DB!$B$8:$K$299,L18+3))))))))),IF(F18="乙",IF(K18&gt;1700000,651900+(K18-1700000) *45.945%,IF(K18=1700000,651900,IF(AND(K18&gt;740000,K18&lt;1700000),259800+(K18-740000)*40.84%,IF(K18=740000,259800,IF(K18&lt;88000,ROUNDDOWN(K18*3.063%,9),VLOOKUP(K18,源泉DB!$B$8:$L$254,11)))))),"")),"")</f>
        <v/>
      </c>
      <c r="U18" s="165"/>
      <c r="V18" s="166"/>
      <c r="W18" s="166"/>
      <c r="X18" s="166"/>
      <c r="Y18" s="166"/>
      <c r="Z18" s="178">
        <f>ROUND(IFERROR(IF(($G18="加入"),VLOOKUP($I18,年金DB!$G$16:$P$65,6,TRUE),0),0)-0.1,0)</f>
        <v>0</v>
      </c>
      <c r="AA18" s="178">
        <f>ROUND(IFERROR(IF(AND($G18="加入",$D18&gt;=40,$D18&lt;=64),VLOOKUP($I18,年金DB!$G$16:$P$65,10,TRUE),0),0)-0.1,0)</f>
        <v>0</v>
      </c>
      <c r="AB18" s="178">
        <f>ROUND(IFERROR(IF(AND($G18="加入",$D18&lt;40),VLOOKUP($J18,年金DB!$G$16:$X$62,14,TRUE),IF(AND($G18="加入",$D18&gt;=40),VLOOKUP($J18,年金DB!$G$16:$X$62,14,TRUE),"0")),0)-0.1,0)</f>
        <v>0</v>
      </c>
      <c r="AC18" s="178">
        <f t="shared" si="3"/>
        <v>0</v>
      </c>
      <c r="AD18" s="21">
        <f t="shared" si="4"/>
        <v>0</v>
      </c>
      <c r="AE18" s="173">
        <f t="shared" si="5"/>
        <v>0</v>
      </c>
      <c r="AF18" s="14" t="str">
        <f t="shared" si="6"/>
        <v/>
      </c>
      <c r="AG18" s="14"/>
      <c r="AH18" s="14"/>
    </row>
    <row r="19" spans="1:34">
      <c r="A19" s="28"/>
      <c r="B19" s="180"/>
      <c r="C19" s="188"/>
      <c r="D19" s="161"/>
      <c r="E19" s="162"/>
      <c r="F19" s="162"/>
      <c r="G19" s="163"/>
      <c r="H19" s="285"/>
      <c r="I19" s="282"/>
      <c r="J19" s="16"/>
      <c r="K19" s="18">
        <f t="shared" si="0"/>
        <v>0</v>
      </c>
      <c r="L19" s="288">
        <v>0</v>
      </c>
      <c r="M19" s="291"/>
      <c r="N19" s="164"/>
      <c r="O19" s="164"/>
      <c r="P19" s="164"/>
      <c r="Q19" s="175">
        <f t="shared" si="1"/>
        <v>0</v>
      </c>
      <c r="R19" s="164"/>
      <c r="S19" s="197">
        <f t="shared" si="2"/>
        <v>0</v>
      </c>
      <c r="T19" s="201" t="str" cm="1">
        <f t="array" ref="T19">IFERROR(IF(F19="甲",IF(K19&gt;3500000,VLOOKUP(3500000,源泉DB!$B$261:$L$261,L19+3)+ROUNDDOWN((K19-3500000)*45.945%,0),IF(AND(K19&gt;2250000,K19&lt;3500000),VLOOKUP(2250000,源泉DB!$B$260:$K$260,L19+3)+ROUNDDOWN((K19-2250000)*40.84%,0),IF(AND(K19&gt;2210000,K19&lt;2250000),VLOOKUP(2210000,源泉DB!$B$259:$K$259,L19+3)+ROUNDDOWN((K19-2210000)*40.84%,0),IF(AND(K19&gt;2170000,K19&lt;2210000),VLOOKUP(2170000,源泉DB!$B$258:$K$258,L19+3)+ROUNDDOWN((K19-2170000)*40.84%,0),IF(AND(K19&gt;1700000,K19&lt;2170000),VLOOKUP(1700000,源泉DB!$B$257:$K$257,L19+3)+ROUNDDOWN((K19-1700000)*40.84%,0),IF(AND(K19&gt;950000,K19&lt;1700000),VLOOKUP(950000,源泉DB!$B$256:$K$256,L19+3)+ROUNDDOWN((K19-950000)*33.693%,0),IF(AND(K19&gt;780000,K19&lt;950000),VLOOKUP(780000,源泉DB!$B$255:$K$255,L19+3)+ROUNDDOWN((K19-780000)*23.483%,0),IF(AND(K19&gt;740000,K19&lt;780000),VLOOKUP(740000,源泉DB!$B$254:$K$254,L19+3)+ROUNDDOWN((K19-740000)*20.42%,0),VLOOKUP(K19,源泉DB!$B$8:$K$299,L19+3))))))))),IF(F19="乙",IF(K19&gt;1700000,651900+(K19-1700000) *45.945%,IF(K19=1700000,651900,IF(AND(K19&gt;740000,K19&lt;1700000),259800+(K19-740000)*40.84%,IF(K19=740000,259800,IF(K19&lt;88000,ROUNDDOWN(K19*3.063%,9),VLOOKUP(K19,源泉DB!$B$8:$L$254,11)))))),"")),"")</f>
        <v/>
      </c>
      <c r="U19" s="165"/>
      <c r="V19" s="166"/>
      <c r="W19" s="166"/>
      <c r="X19" s="166"/>
      <c r="Y19" s="166"/>
      <c r="Z19" s="178">
        <f>ROUND(IFERROR(IF(($G19="加入"),VLOOKUP($I19,年金DB!$G$16:$P$65,6,TRUE),0),0)-0.1,0)</f>
        <v>0</v>
      </c>
      <c r="AA19" s="178">
        <f>ROUND(IFERROR(IF(AND($G19="加入",$D19&gt;=40,$D19&lt;=64),VLOOKUP($I19,年金DB!$G$16:$P$65,10,TRUE),0),0)-0.1,0)</f>
        <v>0</v>
      </c>
      <c r="AB19" s="178">
        <f>ROUND(IFERROR(IF(AND($G19="加入",$D19&lt;40),VLOOKUP($J19,年金DB!$G$16:$X$62,14,TRUE),IF(AND($G19="加入",$D19&gt;=40),VLOOKUP($J19,年金DB!$G$16:$X$62,14,TRUE),"0")),0)-0.1,0)</f>
        <v>0</v>
      </c>
      <c r="AC19" s="178">
        <f t="shared" si="3"/>
        <v>0</v>
      </c>
      <c r="AD19" s="21">
        <f t="shared" si="4"/>
        <v>0</v>
      </c>
      <c r="AE19" s="173">
        <f t="shared" si="5"/>
        <v>0</v>
      </c>
      <c r="AF19" s="14" t="str">
        <f t="shared" si="6"/>
        <v/>
      </c>
      <c r="AG19" s="14"/>
      <c r="AH19" s="14"/>
    </row>
    <row r="20" spans="1:34">
      <c r="A20" s="28"/>
      <c r="B20" s="180"/>
      <c r="C20" s="188"/>
      <c r="D20" s="161"/>
      <c r="E20" s="162"/>
      <c r="F20" s="162"/>
      <c r="G20" s="163"/>
      <c r="H20" s="285"/>
      <c r="I20" s="282"/>
      <c r="J20" s="16"/>
      <c r="K20" s="18">
        <f t="shared" si="0"/>
        <v>0</v>
      </c>
      <c r="L20" s="288">
        <v>0</v>
      </c>
      <c r="M20" s="291"/>
      <c r="N20" s="164"/>
      <c r="O20" s="164"/>
      <c r="P20" s="164"/>
      <c r="Q20" s="175">
        <f t="shared" si="1"/>
        <v>0</v>
      </c>
      <c r="R20" s="164"/>
      <c r="S20" s="197">
        <f t="shared" si="2"/>
        <v>0</v>
      </c>
      <c r="T20" s="201" t="str" cm="1">
        <f t="array" ref="T20">IFERROR(IF(F20="甲",IF(K20&gt;3500000,VLOOKUP(3500000,源泉DB!$B$261:$L$261,L20+3)+ROUNDDOWN((K20-3500000)*45.945%,0),IF(AND(K20&gt;2250000,K20&lt;3500000),VLOOKUP(2250000,源泉DB!$B$260:$K$260,L20+3)+ROUNDDOWN((K20-2250000)*40.84%,0),IF(AND(K20&gt;2210000,K20&lt;2250000),VLOOKUP(2210000,源泉DB!$B$259:$K$259,L20+3)+ROUNDDOWN((K20-2210000)*40.84%,0),IF(AND(K20&gt;2170000,K20&lt;2210000),VLOOKUP(2170000,源泉DB!$B$258:$K$258,L20+3)+ROUNDDOWN((K20-2170000)*40.84%,0),IF(AND(K20&gt;1700000,K20&lt;2170000),VLOOKUP(1700000,源泉DB!$B$257:$K$257,L20+3)+ROUNDDOWN((K20-1700000)*40.84%,0),IF(AND(K20&gt;950000,K20&lt;1700000),VLOOKUP(950000,源泉DB!$B$256:$K$256,L20+3)+ROUNDDOWN((K20-950000)*33.693%,0),IF(AND(K20&gt;780000,K20&lt;950000),VLOOKUP(780000,源泉DB!$B$255:$K$255,L20+3)+ROUNDDOWN((K20-780000)*23.483%,0),IF(AND(K20&gt;740000,K20&lt;780000),VLOOKUP(740000,源泉DB!$B$254:$K$254,L20+3)+ROUNDDOWN((K20-740000)*20.42%,0),VLOOKUP(K20,源泉DB!$B$8:$K$299,L20+3))))))))),IF(F20="乙",IF(K20&gt;1700000,651900+(K20-1700000) *45.945%,IF(K20=1700000,651900,IF(AND(K20&gt;740000,K20&lt;1700000),259800+(K20-740000)*40.84%,IF(K20=740000,259800,IF(K20&lt;88000,ROUNDDOWN(K20*3.063%,9),VLOOKUP(K20,源泉DB!$B$8:$L$254,11)))))),"")),"")</f>
        <v/>
      </c>
      <c r="U20" s="165"/>
      <c r="V20" s="166"/>
      <c r="W20" s="166"/>
      <c r="X20" s="166"/>
      <c r="Y20" s="166"/>
      <c r="Z20" s="178">
        <f>ROUND(IFERROR(IF(($G20="加入"),VLOOKUP($I20,年金DB!$G$16:$P$65,6,TRUE),0),0)-0.1,0)</f>
        <v>0</v>
      </c>
      <c r="AA20" s="178">
        <f>ROUND(IFERROR(IF(AND($G20="加入",$D20&gt;=40,$D20&lt;=64),VLOOKUP($I20,年金DB!$G$16:$P$65,10,TRUE),0),0)-0.1,0)</f>
        <v>0</v>
      </c>
      <c r="AB20" s="178">
        <f>ROUND(IFERROR(IF(AND($G20="加入",$D20&lt;40),VLOOKUP($J20,年金DB!$G$16:$X$62,14,TRUE),IF(AND($G20="加入",$D20&gt;=40),VLOOKUP($J20,年金DB!$G$16:$X$62,14,TRUE),"0")),0)-0.1,0)</f>
        <v>0</v>
      </c>
      <c r="AC20" s="178">
        <f t="shared" si="3"/>
        <v>0</v>
      </c>
      <c r="AD20" s="21">
        <f t="shared" si="4"/>
        <v>0</v>
      </c>
      <c r="AE20" s="173">
        <f t="shared" si="5"/>
        <v>0</v>
      </c>
      <c r="AF20" s="14" t="str">
        <f t="shared" si="6"/>
        <v/>
      </c>
      <c r="AG20" s="14"/>
      <c r="AH20" s="14"/>
    </row>
    <row r="21" spans="1:34">
      <c r="A21" s="28"/>
      <c r="B21" s="180"/>
      <c r="C21" s="188"/>
      <c r="D21" s="161"/>
      <c r="E21" s="162"/>
      <c r="F21" s="162"/>
      <c r="G21" s="163"/>
      <c r="H21" s="285"/>
      <c r="I21" s="282"/>
      <c r="J21" s="16"/>
      <c r="K21" s="18">
        <f t="shared" si="0"/>
        <v>0</v>
      </c>
      <c r="L21" s="288">
        <v>0</v>
      </c>
      <c r="M21" s="291"/>
      <c r="N21" s="164"/>
      <c r="O21" s="164"/>
      <c r="P21" s="164"/>
      <c r="Q21" s="175">
        <f t="shared" si="1"/>
        <v>0</v>
      </c>
      <c r="R21" s="164"/>
      <c r="S21" s="197">
        <f t="shared" si="2"/>
        <v>0</v>
      </c>
      <c r="T21" s="201" t="str" cm="1">
        <f t="array" ref="T21">IFERROR(IF(F21="甲",IF(K21&gt;3500000,VLOOKUP(3500000,源泉DB!$B$261:$L$261,L21+3)+ROUNDDOWN((K21-3500000)*45.945%,0),IF(AND(K21&gt;2250000,K21&lt;3500000),VLOOKUP(2250000,源泉DB!$B$260:$K$260,L21+3)+ROUNDDOWN((K21-2250000)*40.84%,0),IF(AND(K21&gt;2210000,K21&lt;2250000),VLOOKUP(2210000,源泉DB!$B$259:$K$259,L21+3)+ROUNDDOWN((K21-2210000)*40.84%,0),IF(AND(K21&gt;2170000,K21&lt;2210000),VLOOKUP(2170000,源泉DB!$B$258:$K$258,L21+3)+ROUNDDOWN((K21-2170000)*40.84%,0),IF(AND(K21&gt;1700000,K21&lt;2170000),VLOOKUP(1700000,源泉DB!$B$257:$K$257,L21+3)+ROUNDDOWN((K21-1700000)*40.84%,0),IF(AND(K21&gt;950000,K21&lt;1700000),VLOOKUP(950000,源泉DB!$B$256:$K$256,L21+3)+ROUNDDOWN((K21-950000)*33.693%,0),IF(AND(K21&gt;780000,K21&lt;950000),VLOOKUP(780000,源泉DB!$B$255:$K$255,L21+3)+ROUNDDOWN((K21-780000)*23.483%,0),IF(AND(K21&gt;740000,K21&lt;780000),VLOOKUP(740000,源泉DB!$B$254:$K$254,L21+3)+ROUNDDOWN((K21-740000)*20.42%,0),VLOOKUP(K21,源泉DB!$B$8:$K$299,L21+3))))))))),IF(F21="乙",IF(K21&gt;1700000,651900+(K21-1700000) *45.945%,IF(K21=1700000,651900,IF(AND(K21&gt;740000,K21&lt;1700000),259800+(K21-740000)*40.84%,IF(K21=740000,259800,IF(K21&lt;88000,ROUNDDOWN(K21*3.063%,9),VLOOKUP(K21,源泉DB!$B$8:$L$254,11)))))),"")),"")</f>
        <v/>
      </c>
      <c r="U21" s="165"/>
      <c r="V21" s="166"/>
      <c r="W21" s="166"/>
      <c r="X21" s="166"/>
      <c r="Y21" s="166"/>
      <c r="Z21" s="178">
        <f>ROUND(IFERROR(IF(($G21="加入"),VLOOKUP($I21,年金DB!$G$16:$P$65,6,TRUE),0),0)-0.1,0)</f>
        <v>0</v>
      </c>
      <c r="AA21" s="178">
        <f>ROUND(IFERROR(IF(AND($G21="加入",$D21&gt;=40,$D21&lt;=64),VLOOKUP($I21,年金DB!$G$16:$P$65,10,TRUE),0),0)-0.1,0)</f>
        <v>0</v>
      </c>
      <c r="AB21" s="178">
        <f>ROUND(IFERROR(IF(AND($G21="加入",$D21&lt;40),VLOOKUP($J21,年金DB!$G$16:$X$62,14,TRUE),IF(AND($G21="加入",$D21&gt;=40),VLOOKUP($J21,年金DB!$G$16:$X$62,14,TRUE),"0")),0)-0.1,0)</f>
        <v>0</v>
      </c>
      <c r="AC21" s="178">
        <f t="shared" si="3"/>
        <v>0</v>
      </c>
      <c r="AD21" s="21">
        <f t="shared" si="4"/>
        <v>0</v>
      </c>
      <c r="AE21" s="173">
        <f t="shared" si="5"/>
        <v>0</v>
      </c>
      <c r="AF21" s="14" t="str">
        <f t="shared" si="6"/>
        <v/>
      </c>
      <c r="AG21" s="14"/>
      <c r="AH21" s="14"/>
    </row>
    <row r="22" spans="1:34">
      <c r="A22" s="28"/>
      <c r="B22" s="180"/>
      <c r="C22" s="188"/>
      <c r="D22" s="161"/>
      <c r="E22" s="162"/>
      <c r="F22" s="162"/>
      <c r="G22" s="163"/>
      <c r="H22" s="285"/>
      <c r="I22" s="282"/>
      <c r="J22" s="16"/>
      <c r="K22" s="18">
        <f t="shared" si="0"/>
        <v>0</v>
      </c>
      <c r="L22" s="288">
        <v>0</v>
      </c>
      <c r="M22" s="291"/>
      <c r="N22" s="164"/>
      <c r="O22" s="164"/>
      <c r="P22" s="164"/>
      <c r="Q22" s="175">
        <f t="shared" si="1"/>
        <v>0</v>
      </c>
      <c r="R22" s="164"/>
      <c r="S22" s="197">
        <f t="shared" si="2"/>
        <v>0</v>
      </c>
      <c r="T22" s="201" t="str" cm="1">
        <f t="array" ref="T22">IFERROR(IF(F22="甲",IF(K22&gt;3500000,VLOOKUP(3500000,源泉DB!$B$261:$L$261,L22+3)+ROUNDDOWN((K22-3500000)*45.945%,0),IF(AND(K22&gt;2250000,K22&lt;3500000),VLOOKUP(2250000,源泉DB!$B$260:$K$260,L22+3)+ROUNDDOWN((K22-2250000)*40.84%,0),IF(AND(K22&gt;2210000,K22&lt;2250000),VLOOKUP(2210000,源泉DB!$B$259:$K$259,L22+3)+ROUNDDOWN((K22-2210000)*40.84%,0),IF(AND(K22&gt;2170000,K22&lt;2210000),VLOOKUP(2170000,源泉DB!$B$258:$K$258,L22+3)+ROUNDDOWN((K22-2170000)*40.84%,0),IF(AND(K22&gt;1700000,K22&lt;2170000),VLOOKUP(1700000,源泉DB!$B$257:$K$257,L22+3)+ROUNDDOWN((K22-1700000)*40.84%,0),IF(AND(K22&gt;950000,K22&lt;1700000),VLOOKUP(950000,源泉DB!$B$256:$K$256,L22+3)+ROUNDDOWN((K22-950000)*33.693%,0),IF(AND(K22&gt;780000,K22&lt;950000),VLOOKUP(780000,源泉DB!$B$255:$K$255,L22+3)+ROUNDDOWN((K22-780000)*23.483%,0),IF(AND(K22&gt;740000,K22&lt;780000),VLOOKUP(740000,源泉DB!$B$254:$K$254,L22+3)+ROUNDDOWN((K22-740000)*20.42%,0),VLOOKUP(K22,源泉DB!$B$8:$K$299,L22+3))))))))),IF(F22="乙",IF(K22&gt;1700000,651900+(K22-1700000) *45.945%,IF(K22=1700000,651900,IF(AND(K22&gt;740000,K22&lt;1700000),259800+(K22-740000)*40.84%,IF(K22=740000,259800,IF(K22&lt;88000,ROUNDDOWN(K22*3.063%,9),VLOOKUP(K22,源泉DB!$B$8:$L$254,11)))))),"")),"")</f>
        <v/>
      </c>
      <c r="U22" s="165"/>
      <c r="V22" s="166"/>
      <c r="W22" s="166"/>
      <c r="X22" s="166"/>
      <c r="Y22" s="166"/>
      <c r="Z22" s="178">
        <f>ROUND(IFERROR(IF(($G22="加入"),VLOOKUP($I22,年金DB!$G$16:$P$65,6,TRUE),0),0)-0.1,0)</f>
        <v>0</v>
      </c>
      <c r="AA22" s="178">
        <f>ROUND(IFERROR(IF(AND($G22="加入",$D22&gt;=40,$D22&lt;=64),VLOOKUP($I22,年金DB!$G$16:$P$65,10,TRUE),0),0)-0.1,0)</f>
        <v>0</v>
      </c>
      <c r="AB22" s="178">
        <f>ROUND(IFERROR(IF(AND($G22="加入",$D22&lt;40),VLOOKUP($J22,年金DB!$G$16:$X$62,14,TRUE),IF(AND($G22="加入",$D22&gt;=40),VLOOKUP($J22,年金DB!$G$16:$X$62,14,TRUE),"0")),0)-0.1,0)</f>
        <v>0</v>
      </c>
      <c r="AC22" s="178">
        <f t="shared" si="3"/>
        <v>0</v>
      </c>
      <c r="AD22" s="21">
        <f t="shared" si="4"/>
        <v>0</v>
      </c>
      <c r="AE22" s="173">
        <f t="shared" si="5"/>
        <v>0</v>
      </c>
      <c r="AF22" s="14" t="str">
        <f t="shared" si="6"/>
        <v/>
      </c>
      <c r="AG22" s="14"/>
      <c r="AH22" s="14"/>
    </row>
    <row r="23" spans="1:34">
      <c r="A23" s="28"/>
      <c r="B23" s="180"/>
      <c r="C23" s="188"/>
      <c r="D23" s="161"/>
      <c r="E23" s="162"/>
      <c r="F23" s="162"/>
      <c r="G23" s="163"/>
      <c r="H23" s="285"/>
      <c r="I23" s="282"/>
      <c r="J23" s="16"/>
      <c r="K23" s="18">
        <f t="shared" si="0"/>
        <v>0</v>
      </c>
      <c r="L23" s="288">
        <v>0</v>
      </c>
      <c r="M23" s="291"/>
      <c r="N23" s="164"/>
      <c r="O23" s="164"/>
      <c r="P23" s="164"/>
      <c r="Q23" s="175">
        <f t="shared" si="1"/>
        <v>0</v>
      </c>
      <c r="R23" s="164"/>
      <c r="S23" s="197">
        <f t="shared" si="2"/>
        <v>0</v>
      </c>
      <c r="T23" s="201" t="str" cm="1">
        <f t="array" ref="T23">IFERROR(IF(F23="甲",IF(K23&gt;3500000,VLOOKUP(3500000,源泉DB!$B$261:$L$261,L23+3)+ROUNDDOWN((K23-3500000)*45.945%,0),IF(AND(K23&gt;2250000,K23&lt;3500000),VLOOKUP(2250000,源泉DB!$B$260:$K$260,L23+3)+ROUNDDOWN((K23-2250000)*40.84%,0),IF(AND(K23&gt;2210000,K23&lt;2250000),VLOOKUP(2210000,源泉DB!$B$259:$K$259,L23+3)+ROUNDDOWN((K23-2210000)*40.84%,0),IF(AND(K23&gt;2170000,K23&lt;2210000),VLOOKUP(2170000,源泉DB!$B$258:$K$258,L23+3)+ROUNDDOWN((K23-2170000)*40.84%,0),IF(AND(K23&gt;1700000,K23&lt;2170000),VLOOKUP(1700000,源泉DB!$B$257:$K$257,L23+3)+ROUNDDOWN((K23-1700000)*40.84%,0),IF(AND(K23&gt;950000,K23&lt;1700000),VLOOKUP(950000,源泉DB!$B$256:$K$256,L23+3)+ROUNDDOWN((K23-950000)*33.693%,0),IF(AND(K23&gt;780000,K23&lt;950000),VLOOKUP(780000,源泉DB!$B$255:$K$255,L23+3)+ROUNDDOWN((K23-780000)*23.483%,0),IF(AND(K23&gt;740000,K23&lt;780000),VLOOKUP(740000,源泉DB!$B$254:$K$254,L23+3)+ROUNDDOWN((K23-740000)*20.42%,0),VLOOKUP(K23,源泉DB!$B$8:$K$299,L23+3))))))))),IF(F23="乙",IF(K23&gt;1700000,651900+(K23-1700000) *45.945%,IF(K23=1700000,651900,IF(AND(K23&gt;740000,K23&lt;1700000),259800+(K23-740000)*40.84%,IF(K23=740000,259800,IF(K23&lt;88000,ROUNDDOWN(K23*3.063%,9),VLOOKUP(K23,源泉DB!$B$8:$L$254,11)))))),"")),"")</f>
        <v/>
      </c>
      <c r="U23" s="165"/>
      <c r="V23" s="166"/>
      <c r="W23" s="166"/>
      <c r="X23" s="166"/>
      <c r="Y23" s="166"/>
      <c r="Z23" s="178">
        <f>ROUND(IFERROR(IF(($G23="加入"),VLOOKUP($I23,年金DB!$G$16:$P$65,6,TRUE),0),0)-0.1,0)</f>
        <v>0</v>
      </c>
      <c r="AA23" s="178">
        <f>ROUND(IFERROR(IF(AND($G23="加入",$D23&gt;=40,$D23&lt;=64),VLOOKUP($I23,年金DB!$G$16:$P$65,10,TRUE),0),0)-0.1,0)</f>
        <v>0</v>
      </c>
      <c r="AB23" s="178">
        <f>ROUND(IFERROR(IF(AND($G23="加入",$D23&lt;40),VLOOKUP($J23,年金DB!$G$16:$X$62,14,TRUE),IF(AND($G23="加入",$D23&gt;=40),VLOOKUP($J23,年金DB!$G$16:$X$62,14,TRUE),"0")),0)-0.1,0)</f>
        <v>0</v>
      </c>
      <c r="AC23" s="178">
        <f t="shared" si="3"/>
        <v>0</v>
      </c>
      <c r="AD23" s="21">
        <f t="shared" si="4"/>
        <v>0</v>
      </c>
      <c r="AE23" s="173">
        <f t="shared" si="5"/>
        <v>0</v>
      </c>
      <c r="AF23" s="14" t="str">
        <f t="shared" si="6"/>
        <v/>
      </c>
      <c r="AG23" s="14"/>
      <c r="AH23" s="14"/>
    </row>
    <row r="24" spans="1:34">
      <c r="A24" s="28"/>
      <c r="B24" s="180"/>
      <c r="C24" s="188"/>
      <c r="D24" s="161"/>
      <c r="E24" s="162"/>
      <c r="F24" s="162"/>
      <c r="G24" s="163"/>
      <c r="H24" s="285"/>
      <c r="I24" s="282"/>
      <c r="J24" s="16"/>
      <c r="K24" s="18">
        <f t="shared" si="0"/>
        <v>0</v>
      </c>
      <c r="L24" s="288">
        <v>0</v>
      </c>
      <c r="M24" s="291"/>
      <c r="N24" s="164"/>
      <c r="O24" s="164"/>
      <c r="P24" s="164"/>
      <c r="Q24" s="175">
        <f t="shared" si="1"/>
        <v>0</v>
      </c>
      <c r="R24" s="164"/>
      <c r="S24" s="197">
        <f t="shared" si="2"/>
        <v>0</v>
      </c>
      <c r="T24" s="201" t="str" cm="1">
        <f t="array" ref="T24">IFERROR(IF(F24="甲",IF(K24&gt;3500000,VLOOKUP(3500000,源泉DB!$B$261:$L$261,L24+3)+ROUNDDOWN((K24-3500000)*45.945%,0),IF(AND(K24&gt;2250000,K24&lt;3500000),VLOOKUP(2250000,源泉DB!$B$260:$K$260,L24+3)+ROUNDDOWN((K24-2250000)*40.84%,0),IF(AND(K24&gt;2210000,K24&lt;2250000),VLOOKUP(2210000,源泉DB!$B$259:$K$259,L24+3)+ROUNDDOWN((K24-2210000)*40.84%,0),IF(AND(K24&gt;2170000,K24&lt;2210000),VLOOKUP(2170000,源泉DB!$B$258:$K$258,L24+3)+ROUNDDOWN((K24-2170000)*40.84%,0),IF(AND(K24&gt;1700000,K24&lt;2170000),VLOOKUP(1700000,源泉DB!$B$257:$K$257,L24+3)+ROUNDDOWN((K24-1700000)*40.84%,0),IF(AND(K24&gt;950000,K24&lt;1700000),VLOOKUP(950000,源泉DB!$B$256:$K$256,L24+3)+ROUNDDOWN((K24-950000)*33.693%,0),IF(AND(K24&gt;780000,K24&lt;950000),VLOOKUP(780000,源泉DB!$B$255:$K$255,L24+3)+ROUNDDOWN((K24-780000)*23.483%,0),IF(AND(K24&gt;740000,K24&lt;780000),VLOOKUP(740000,源泉DB!$B$254:$K$254,L24+3)+ROUNDDOWN((K24-740000)*20.42%,0),VLOOKUP(K24,源泉DB!$B$8:$K$299,L24+3))))))))),IF(F24="乙",IF(K24&gt;1700000,651900+(K24-1700000) *45.945%,IF(K24=1700000,651900,IF(AND(K24&gt;740000,K24&lt;1700000),259800+(K24-740000)*40.84%,IF(K24=740000,259800,IF(K24&lt;88000,ROUNDDOWN(K24*3.063%,9),VLOOKUP(K24,源泉DB!$B$8:$L$254,11)))))),"")),"")</f>
        <v/>
      </c>
      <c r="U24" s="165"/>
      <c r="V24" s="166"/>
      <c r="W24" s="166"/>
      <c r="X24" s="166"/>
      <c r="Y24" s="166"/>
      <c r="Z24" s="178">
        <f>ROUND(IFERROR(IF(($G24="加入"),VLOOKUP($I24,年金DB!$G$16:$P$65,6,TRUE),0),0)-0.1,0)</f>
        <v>0</v>
      </c>
      <c r="AA24" s="178">
        <f>ROUND(IFERROR(IF(AND($G24="加入",$D24&gt;=40,$D24&lt;=64),VLOOKUP($I24,年金DB!$G$16:$P$65,10,TRUE),0),0)-0.1,0)</f>
        <v>0</v>
      </c>
      <c r="AB24" s="178">
        <f>ROUND(IFERROR(IF(AND($G24="加入",$D24&lt;40),VLOOKUP($J24,年金DB!$G$16:$X$62,14,TRUE),IF(AND($G24="加入",$D24&gt;=40),VLOOKUP($J24,年金DB!$G$16:$X$62,14,TRUE),"0")),0)-0.1,0)</f>
        <v>0</v>
      </c>
      <c r="AC24" s="178">
        <f t="shared" si="3"/>
        <v>0</v>
      </c>
      <c r="AD24" s="21">
        <f t="shared" si="4"/>
        <v>0</v>
      </c>
      <c r="AE24" s="173">
        <f t="shared" si="5"/>
        <v>0</v>
      </c>
      <c r="AF24" s="14" t="str">
        <f t="shared" si="6"/>
        <v/>
      </c>
      <c r="AG24" s="14"/>
      <c r="AH24" s="14"/>
    </row>
    <row r="25" spans="1:34">
      <c r="A25" s="28"/>
      <c r="B25" s="180"/>
      <c r="C25" s="188"/>
      <c r="D25" s="161"/>
      <c r="E25" s="162"/>
      <c r="F25" s="162"/>
      <c r="G25" s="163"/>
      <c r="H25" s="285"/>
      <c r="I25" s="282"/>
      <c r="J25" s="16"/>
      <c r="K25" s="18">
        <f t="shared" si="0"/>
        <v>0</v>
      </c>
      <c r="L25" s="288">
        <v>0</v>
      </c>
      <c r="M25" s="291"/>
      <c r="N25" s="164"/>
      <c r="O25" s="164"/>
      <c r="P25" s="164"/>
      <c r="Q25" s="175">
        <f t="shared" si="1"/>
        <v>0</v>
      </c>
      <c r="R25" s="164"/>
      <c r="S25" s="197">
        <f t="shared" si="2"/>
        <v>0</v>
      </c>
      <c r="T25" s="201" t="str" cm="1">
        <f t="array" ref="T25">IFERROR(IF(F25="甲",IF(K25&gt;3500000,VLOOKUP(3500000,源泉DB!$B$261:$L$261,L25+3)+ROUNDDOWN((K25-3500000)*45.945%,0),IF(AND(K25&gt;2250000,K25&lt;3500000),VLOOKUP(2250000,源泉DB!$B$260:$K$260,L25+3)+ROUNDDOWN((K25-2250000)*40.84%,0),IF(AND(K25&gt;2210000,K25&lt;2250000),VLOOKUP(2210000,源泉DB!$B$259:$K$259,L25+3)+ROUNDDOWN((K25-2210000)*40.84%,0),IF(AND(K25&gt;2170000,K25&lt;2210000),VLOOKUP(2170000,源泉DB!$B$258:$K$258,L25+3)+ROUNDDOWN((K25-2170000)*40.84%,0),IF(AND(K25&gt;1700000,K25&lt;2170000),VLOOKUP(1700000,源泉DB!$B$257:$K$257,L25+3)+ROUNDDOWN((K25-1700000)*40.84%,0),IF(AND(K25&gt;950000,K25&lt;1700000),VLOOKUP(950000,源泉DB!$B$256:$K$256,L25+3)+ROUNDDOWN((K25-950000)*33.693%,0),IF(AND(K25&gt;780000,K25&lt;950000),VLOOKUP(780000,源泉DB!$B$255:$K$255,L25+3)+ROUNDDOWN((K25-780000)*23.483%,0),IF(AND(K25&gt;740000,K25&lt;780000),VLOOKUP(740000,源泉DB!$B$254:$K$254,L25+3)+ROUNDDOWN((K25-740000)*20.42%,0),VLOOKUP(K25,源泉DB!$B$8:$K$299,L25+3))))))))),IF(F25="乙",IF(K25&gt;1700000,651900+(K25-1700000) *45.945%,IF(K25=1700000,651900,IF(AND(K25&gt;740000,K25&lt;1700000),259800+(K25-740000)*40.84%,IF(K25=740000,259800,IF(K25&lt;88000,ROUNDDOWN(K25*3.063%,9),VLOOKUP(K25,源泉DB!$B$8:$L$254,11)))))),"")),"")</f>
        <v/>
      </c>
      <c r="U25" s="165"/>
      <c r="V25" s="166"/>
      <c r="W25" s="166"/>
      <c r="X25" s="166"/>
      <c r="Y25" s="166"/>
      <c r="Z25" s="178">
        <f>ROUND(IFERROR(IF(($G25="加入"),VLOOKUP($I25,年金DB!$G$16:$P$65,6,TRUE),0),0)-0.1,0)</f>
        <v>0</v>
      </c>
      <c r="AA25" s="178">
        <f>ROUND(IFERROR(IF(AND($G25="加入",$D25&gt;=40,$D25&lt;=64),VLOOKUP($I25,年金DB!$G$16:$P$65,10,TRUE),0),0)-0.1,0)</f>
        <v>0</v>
      </c>
      <c r="AB25" s="178">
        <f>ROUND(IFERROR(IF(AND($G25="加入",$D25&lt;40),VLOOKUP($J25,年金DB!$G$16:$X$62,14,TRUE),IF(AND($G25="加入",$D25&gt;=40),VLOOKUP($J25,年金DB!$G$16:$X$62,14,TRUE),"0")),0)-0.1,0)</f>
        <v>0</v>
      </c>
      <c r="AC25" s="178">
        <f t="shared" si="3"/>
        <v>0</v>
      </c>
      <c r="AD25" s="21">
        <f t="shared" si="4"/>
        <v>0</v>
      </c>
      <c r="AE25" s="173">
        <f t="shared" si="5"/>
        <v>0</v>
      </c>
      <c r="AF25" s="14" t="str">
        <f t="shared" si="6"/>
        <v/>
      </c>
      <c r="AG25" s="14"/>
      <c r="AH25" s="14"/>
    </row>
    <row r="26" spans="1:34">
      <c r="A26" s="28"/>
      <c r="B26" s="180"/>
      <c r="C26" s="188"/>
      <c r="D26" s="161"/>
      <c r="E26" s="162"/>
      <c r="F26" s="162"/>
      <c r="G26" s="163"/>
      <c r="H26" s="285"/>
      <c r="I26" s="282"/>
      <c r="J26" s="16"/>
      <c r="K26" s="18">
        <f t="shared" si="0"/>
        <v>0</v>
      </c>
      <c r="L26" s="288">
        <v>0</v>
      </c>
      <c r="M26" s="291"/>
      <c r="N26" s="164"/>
      <c r="O26" s="164"/>
      <c r="P26" s="164"/>
      <c r="Q26" s="175">
        <f t="shared" si="1"/>
        <v>0</v>
      </c>
      <c r="R26" s="164"/>
      <c r="S26" s="197">
        <f t="shared" si="2"/>
        <v>0</v>
      </c>
      <c r="T26" s="201" t="str" cm="1">
        <f t="array" ref="T26">IFERROR(IF(F26="甲",IF(K26&gt;3500000,VLOOKUP(3500000,源泉DB!$B$261:$L$261,L26+3)+ROUNDDOWN((K26-3500000)*45.945%,0),IF(AND(K26&gt;2250000,K26&lt;3500000),VLOOKUP(2250000,源泉DB!$B$260:$K$260,L26+3)+ROUNDDOWN((K26-2250000)*40.84%,0),IF(AND(K26&gt;2210000,K26&lt;2250000),VLOOKUP(2210000,源泉DB!$B$259:$K$259,L26+3)+ROUNDDOWN((K26-2210000)*40.84%,0),IF(AND(K26&gt;2170000,K26&lt;2210000),VLOOKUP(2170000,源泉DB!$B$258:$K$258,L26+3)+ROUNDDOWN((K26-2170000)*40.84%,0),IF(AND(K26&gt;1700000,K26&lt;2170000),VLOOKUP(1700000,源泉DB!$B$257:$K$257,L26+3)+ROUNDDOWN((K26-1700000)*40.84%,0),IF(AND(K26&gt;950000,K26&lt;1700000),VLOOKUP(950000,源泉DB!$B$256:$K$256,L26+3)+ROUNDDOWN((K26-950000)*33.693%,0),IF(AND(K26&gt;780000,K26&lt;950000),VLOOKUP(780000,源泉DB!$B$255:$K$255,L26+3)+ROUNDDOWN((K26-780000)*23.483%,0),IF(AND(K26&gt;740000,K26&lt;780000),VLOOKUP(740000,源泉DB!$B$254:$K$254,L26+3)+ROUNDDOWN((K26-740000)*20.42%,0),VLOOKUP(K26,源泉DB!$B$8:$K$299,L26+3))))))))),IF(F26="乙",IF(K26&gt;1700000,651900+(K26-1700000) *45.945%,IF(K26=1700000,651900,IF(AND(K26&gt;740000,K26&lt;1700000),259800+(K26-740000)*40.84%,IF(K26=740000,259800,IF(K26&lt;88000,ROUNDDOWN(K26*3.063%,9),VLOOKUP(K26,源泉DB!$B$8:$L$254,11)))))),"")),"")</f>
        <v/>
      </c>
      <c r="U26" s="165"/>
      <c r="V26" s="166"/>
      <c r="W26" s="166"/>
      <c r="X26" s="166"/>
      <c r="Y26" s="166"/>
      <c r="Z26" s="178">
        <f>ROUND(IFERROR(IF(($G26="加入"),VLOOKUP($I26,年金DB!$G$16:$P$65,6,TRUE),0),0)-0.1,0)</f>
        <v>0</v>
      </c>
      <c r="AA26" s="178">
        <f>ROUND(IFERROR(IF(AND($G26="加入",$D26&gt;=40,$D26&lt;=64),VLOOKUP($I26,年金DB!$G$16:$P$65,10,TRUE),0),0)-0.1,0)</f>
        <v>0</v>
      </c>
      <c r="AB26" s="178">
        <f>ROUND(IFERROR(IF(AND($G26="加入",$D26&lt;40),VLOOKUP($J26,年金DB!$G$16:$X$62,14,TRUE),IF(AND($G26="加入",$D26&gt;=40),VLOOKUP($J26,年金DB!$G$16:$X$62,14,TRUE),"0")),0)-0.1,0)</f>
        <v>0</v>
      </c>
      <c r="AC26" s="178">
        <f t="shared" si="3"/>
        <v>0</v>
      </c>
      <c r="AD26" s="21">
        <f t="shared" si="4"/>
        <v>0</v>
      </c>
      <c r="AE26" s="173">
        <f t="shared" si="5"/>
        <v>0</v>
      </c>
      <c r="AF26" s="14" t="str">
        <f t="shared" si="6"/>
        <v/>
      </c>
      <c r="AG26" s="14"/>
      <c r="AH26" s="14"/>
    </row>
    <row r="27" spans="1:34">
      <c r="A27" s="28"/>
      <c r="B27" s="180"/>
      <c r="C27" s="188"/>
      <c r="D27" s="161"/>
      <c r="E27" s="162"/>
      <c r="F27" s="162"/>
      <c r="G27" s="163"/>
      <c r="H27" s="285"/>
      <c r="I27" s="282"/>
      <c r="J27" s="16"/>
      <c r="K27" s="18">
        <f t="shared" si="0"/>
        <v>0</v>
      </c>
      <c r="L27" s="288">
        <v>0</v>
      </c>
      <c r="M27" s="291"/>
      <c r="N27" s="164"/>
      <c r="O27" s="164"/>
      <c r="P27" s="164"/>
      <c r="Q27" s="175">
        <f t="shared" si="1"/>
        <v>0</v>
      </c>
      <c r="R27" s="164"/>
      <c r="S27" s="197">
        <f t="shared" si="2"/>
        <v>0</v>
      </c>
      <c r="T27" s="201" t="str" cm="1">
        <f t="array" ref="T27">IFERROR(IF(F27="甲",IF(K27&gt;3500000,VLOOKUP(3500000,源泉DB!$B$261:$L$261,L27+3)+ROUNDDOWN((K27-3500000)*45.945%,0),IF(AND(K27&gt;2250000,K27&lt;3500000),VLOOKUP(2250000,源泉DB!$B$260:$K$260,L27+3)+ROUNDDOWN((K27-2250000)*40.84%,0),IF(AND(K27&gt;2210000,K27&lt;2250000),VLOOKUP(2210000,源泉DB!$B$259:$K$259,L27+3)+ROUNDDOWN((K27-2210000)*40.84%,0),IF(AND(K27&gt;2170000,K27&lt;2210000),VLOOKUP(2170000,源泉DB!$B$258:$K$258,L27+3)+ROUNDDOWN((K27-2170000)*40.84%,0),IF(AND(K27&gt;1700000,K27&lt;2170000),VLOOKUP(1700000,源泉DB!$B$257:$K$257,L27+3)+ROUNDDOWN((K27-1700000)*40.84%,0),IF(AND(K27&gt;950000,K27&lt;1700000),VLOOKUP(950000,源泉DB!$B$256:$K$256,L27+3)+ROUNDDOWN((K27-950000)*33.693%,0),IF(AND(K27&gt;780000,K27&lt;950000),VLOOKUP(780000,源泉DB!$B$255:$K$255,L27+3)+ROUNDDOWN((K27-780000)*23.483%,0),IF(AND(K27&gt;740000,K27&lt;780000),VLOOKUP(740000,源泉DB!$B$254:$K$254,L27+3)+ROUNDDOWN((K27-740000)*20.42%,0),VLOOKUP(K27,源泉DB!$B$8:$K$299,L27+3))))))))),IF(F27="乙",IF(K27&gt;1700000,651900+(K27-1700000) *45.945%,IF(K27=1700000,651900,IF(AND(K27&gt;740000,K27&lt;1700000),259800+(K27-740000)*40.84%,IF(K27=740000,259800,IF(K27&lt;88000,ROUNDDOWN(K27*3.063%,9),VLOOKUP(K27,源泉DB!$B$8:$L$254,11)))))),"")),"")</f>
        <v/>
      </c>
      <c r="U27" s="165"/>
      <c r="V27" s="166"/>
      <c r="W27" s="166"/>
      <c r="X27" s="166"/>
      <c r="Y27" s="166"/>
      <c r="Z27" s="178">
        <f>ROUND(IFERROR(IF(($G27="加入"),VLOOKUP($I27,年金DB!$G$16:$P$65,6,TRUE),0),0)-0.1,0)</f>
        <v>0</v>
      </c>
      <c r="AA27" s="178">
        <f>ROUND(IFERROR(IF(AND($G27="加入",$D27&gt;=40,$D27&lt;=64),VLOOKUP($I27,年金DB!$G$16:$P$65,10,TRUE),0),0)-0.1,0)</f>
        <v>0</v>
      </c>
      <c r="AB27" s="178">
        <f>ROUND(IFERROR(IF(AND($G27="加入",$D27&lt;40),VLOOKUP($J27,年金DB!$G$16:$X$62,14,TRUE),IF(AND($G27="加入",$D27&gt;=40),VLOOKUP($J27,年金DB!$G$16:$X$62,14,TRUE),"0")),0)-0.1,0)</f>
        <v>0</v>
      </c>
      <c r="AC27" s="178">
        <f t="shared" si="3"/>
        <v>0</v>
      </c>
      <c r="AD27" s="21">
        <f t="shared" si="4"/>
        <v>0</v>
      </c>
      <c r="AE27" s="173">
        <f t="shared" si="5"/>
        <v>0</v>
      </c>
      <c r="AF27" s="14" t="str">
        <f t="shared" si="6"/>
        <v/>
      </c>
      <c r="AG27" s="14"/>
      <c r="AH27" s="14"/>
    </row>
    <row r="28" spans="1:34">
      <c r="A28" s="28"/>
      <c r="B28" s="180"/>
      <c r="C28" s="188"/>
      <c r="D28" s="161"/>
      <c r="E28" s="162"/>
      <c r="F28" s="162"/>
      <c r="G28" s="163"/>
      <c r="H28" s="285"/>
      <c r="I28" s="282"/>
      <c r="J28" s="16"/>
      <c r="K28" s="18">
        <f t="shared" si="0"/>
        <v>0</v>
      </c>
      <c r="L28" s="288">
        <v>0</v>
      </c>
      <c r="M28" s="291"/>
      <c r="N28" s="164"/>
      <c r="O28" s="164"/>
      <c r="P28" s="164"/>
      <c r="Q28" s="175">
        <f t="shared" si="1"/>
        <v>0</v>
      </c>
      <c r="R28" s="164"/>
      <c r="S28" s="197">
        <f t="shared" si="2"/>
        <v>0</v>
      </c>
      <c r="T28" s="201" t="str" cm="1">
        <f t="array" ref="T28">IFERROR(IF(F28="甲",IF(K28&gt;3500000,VLOOKUP(3500000,源泉DB!$B$261:$L$261,L28+3)+ROUNDDOWN((K28-3500000)*45.945%,0),IF(AND(K28&gt;2250000,K28&lt;3500000),VLOOKUP(2250000,源泉DB!$B$260:$K$260,L28+3)+ROUNDDOWN((K28-2250000)*40.84%,0),IF(AND(K28&gt;2210000,K28&lt;2250000),VLOOKUP(2210000,源泉DB!$B$259:$K$259,L28+3)+ROUNDDOWN((K28-2210000)*40.84%,0),IF(AND(K28&gt;2170000,K28&lt;2210000),VLOOKUP(2170000,源泉DB!$B$258:$K$258,L28+3)+ROUNDDOWN((K28-2170000)*40.84%,0),IF(AND(K28&gt;1700000,K28&lt;2170000),VLOOKUP(1700000,源泉DB!$B$257:$K$257,L28+3)+ROUNDDOWN((K28-1700000)*40.84%,0),IF(AND(K28&gt;950000,K28&lt;1700000),VLOOKUP(950000,源泉DB!$B$256:$K$256,L28+3)+ROUNDDOWN((K28-950000)*33.693%,0),IF(AND(K28&gt;780000,K28&lt;950000),VLOOKUP(780000,源泉DB!$B$255:$K$255,L28+3)+ROUNDDOWN((K28-780000)*23.483%,0),IF(AND(K28&gt;740000,K28&lt;780000),VLOOKUP(740000,源泉DB!$B$254:$K$254,L28+3)+ROUNDDOWN((K28-740000)*20.42%,0),VLOOKUP(K28,源泉DB!$B$8:$K$299,L28+3))))))))),IF(F28="乙",IF(K28&gt;1700000,651900+(K28-1700000) *45.945%,IF(K28=1700000,651900,IF(AND(K28&gt;740000,K28&lt;1700000),259800+(K28-740000)*40.84%,IF(K28=740000,259800,IF(K28&lt;88000,ROUNDDOWN(K28*3.063%,9),VLOOKUP(K28,源泉DB!$B$8:$L$254,11)))))),"")),"")</f>
        <v/>
      </c>
      <c r="U28" s="165"/>
      <c r="V28" s="166"/>
      <c r="W28" s="166"/>
      <c r="X28" s="166"/>
      <c r="Y28" s="166"/>
      <c r="Z28" s="178">
        <f>ROUND(IFERROR(IF(($G28="加入"),VLOOKUP($I28,年金DB!$G$16:$P$65,6,TRUE),0),0)-0.1,0)</f>
        <v>0</v>
      </c>
      <c r="AA28" s="178">
        <f>ROUND(IFERROR(IF(AND($G28="加入",$D28&gt;=40,$D28&lt;=64),VLOOKUP($I28,年金DB!$G$16:$P$65,10,TRUE),0),0)-0.1,0)</f>
        <v>0</v>
      </c>
      <c r="AB28" s="178">
        <f>ROUND(IFERROR(IF(AND($G28="加入",$D28&lt;40),VLOOKUP($J28,年金DB!$G$16:$X$62,14,TRUE),IF(AND($G28="加入",$D28&gt;=40),VLOOKUP($J28,年金DB!$G$16:$X$62,14,TRUE),"0")),0)-0.1,0)</f>
        <v>0</v>
      </c>
      <c r="AC28" s="178">
        <f t="shared" si="3"/>
        <v>0</v>
      </c>
      <c r="AD28" s="21">
        <f t="shared" si="4"/>
        <v>0</v>
      </c>
      <c r="AE28" s="173">
        <f t="shared" si="5"/>
        <v>0</v>
      </c>
      <c r="AF28" s="14" t="str">
        <f t="shared" si="6"/>
        <v/>
      </c>
      <c r="AG28" s="14"/>
      <c r="AH28" s="14"/>
    </row>
    <row r="29" spans="1:34">
      <c r="A29" s="28"/>
      <c r="B29" s="180"/>
      <c r="C29" s="188"/>
      <c r="D29" s="161"/>
      <c r="E29" s="162"/>
      <c r="F29" s="162"/>
      <c r="G29" s="163"/>
      <c r="H29" s="285"/>
      <c r="I29" s="282"/>
      <c r="J29" s="16"/>
      <c r="K29" s="18">
        <f t="shared" si="0"/>
        <v>0</v>
      </c>
      <c r="L29" s="288">
        <v>0</v>
      </c>
      <c r="M29" s="291"/>
      <c r="N29" s="164"/>
      <c r="O29" s="164"/>
      <c r="P29" s="164"/>
      <c r="Q29" s="175">
        <f t="shared" si="1"/>
        <v>0</v>
      </c>
      <c r="R29" s="164"/>
      <c r="S29" s="197">
        <f t="shared" si="2"/>
        <v>0</v>
      </c>
      <c r="T29" s="201" t="str" cm="1">
        <f t="array" ref="T29">IFERROR(IF(F29="甲",IF(K29&gt;3500000,VLOOKUP(3500000,源泉DB!$B$261:$L$261,L29+3)+ROUNDDOWN((K29-3500000)*45.945%,0),IF(AND(K29&gt;2250000,K29&lt;3500000),VLOOKUP(2250000,源泉DB!$B$260:$K$260,L29+3)+ROUNDDOWN((K29-2250000)*40.84%,0),IF(AND(K29&gt;2210000,K29&lt;2250000),VLOOKUP(2210000,源泉DB!$B$259:$K$259,L29+3)+ROUNDDOWN((K29-2210000)*40.84%,0),IF(AND(K29&gt;2170000,K29&lt;2210000),VLOOKUP(2170000,源泉DB!$B$258:$K$258,L29+3)+ROUNDDOWN((K29-2170000)*40.84%,0),IF(AND(K29&gt;1700000,K29&lt;2170000),VLOOKUP(1700000,源泉DB!$B$257:$K$257,L29+3)+ROUNDDOWN((K29-1700000)*40.84%,0),IF(AND(K29&gt;950000,K29&lt;1700000),VLOOKUP(950000,源泉DB!$B$256:$K$256,L29+3)+ROUNDDOWN((K29-950000)*33.693%,0),IF(AND(K29&gt;780000,K29&lt;950000),VLOOKUP(780000,源泉DB!$B$255:$K$255,L29+3)+ROUNDDOWN((K29-780000)*23.483%,0),IF(AND(K29&gt;740000,K29&lt;780000),VLOOKUP(740000,源泉DB!$B$254:$K$254,L29+3)+ROUNDDOWN((K29-740000)*20.42%,0),VLOOKUP(K29,源泉DB!$B$8:$K$299,L29+3))))))))),IF(F29="乙",IF(K29&gt;1700000,651900+(K29-1700000) *45.945%,IF(K29=1700000,651900,IF(AND(K29&gt;740000,K29&lt;1700000),259800+(K29-740000)*40.84%,IF(K29=740000,259800,IF(K29&lt;88000,ROUNDDOWN(K29*3.063%,9),VLOOKUP(K29,源泉DB!$B$8:$L$254,11)))))),"")),"")</f>
        <v/>
      </c>
      <c r="U29" s="165"/>
      <c r="V29" s="166"/>
      <c r="W29" s="166"/>
      <c r="X29" s="166"/>
      <c r="Y29" s="166"/>
      <c r="Z29" s="178">
        <f>ROUND(IFERROR(IF(($G29="加入"),VLOOKUP($I29,年金DB!$G$16:$P$65,6,TRUE),0),0)-0.1,0)</f>
        <v>0</v>
      </c>
      <c r="AA29" s="178">
        <f>ROUND(IFERROR(IF(AND($G29="加入",$D29&gt;=40,$D29&lt;=64),VLOOKUP($I29,年金DB!$G$16:$P$65,10,TRUE),0),0)-0.1,0)</f>
        <v>0</v>
      </c>
      <c r="AB29" s="178">
        <f>ROUND(IFERROR(IF(AND($G29="加入",$D29&lt;40),VLOOKUP($J29,年金DB!$G$16:$X$62,14,TRUE),IF(AND($G29="加入",$D29&gt;=40),VLOOKUP($J29,年金DB!$G$16:$X$62,14,TRUE),"0")),0)-0.1,0)</f>
        <v>0</v>
      </c>
      <c r="AC29" s="178">
        <f t="shared" si="3"/>
        <v>0</v>
      </c>
      <c r="AD29" s="21">
        <f t="shared" si="4"/>
        <v>0</v>
      </c>
      <c r="AE29" s="173">
        <f t="shared" si="5"/>
        <v>0</v>
      </c>
      <c r="AF29" s="14" t="str">
        <f t="shared" si="6"/>
        <v/>
      </c>
      <c r="AG29" s="14"/>
      <c r="AH29" s="14"/>
    </row>
    <row r="30" spans="1:34">
      <c r="A30" s="28"/>
      <c r="B30" s="180"/>
      <c r="C30" s="188"/>
      <c r="D30" s="161"/>
      <c r="E30" s="162"/>
      <c r="F30" s="162"/>
      <c r="G30" s="163"/>
      <c r="H30" s="285"/>
      <c r="I30" s="282"/>
      <c r="J30" s="16"/>
      <c r="K30" s="18">
        <f t="shared" si="0"/>
        <v>0</v>
      </c>
      <c r="L30" s="288">
        <v>0</v>
      </c>
      <c r="M30" s="291"/>
      <c r="N30" s="164"/>
      <c r="O30" s="164"/>
      <c r="P30" s="164"/>
      <c r="Q30" s="175">
        <f t="shared" si="1"/>
        <v>0</v>
      </c>
      <c r="R30" s="164"/>
      <c r="S30" s="197">
        <f t="shared" si="2"/>
        <v>0</v>
      </c>
      <c r="T30" s="201" t="str" cm="1">
        <f t="array" ref="T30">IFERROR(IF(F30="甲",IF(K30&gt;3500000,VLOOKUP(3500000,源泉DB!$B$261:$L$261,L30+3)+ROUNDDOWN((K30-3500000)*45.945%,0),IF(AND(K30&gt;2250000,K30&lt;3500000),VLOOKUP(2250000,源泉DB!$B$260:$K$260,L30+3)+ROUNDDOWN((K30-2250000)*40.84%,0),IF(AND(K30&gt;2210000,K30&lt;2250000),VLOOKUP(2210000,源泉DB!$B$259:$K$259,L30+3)+ROUNDDOWN((K30-2210000)*40.84%,0),IF(AND(K30&gt;2170000,K30&lt;2210000),VLOOKUP(2170000,源泉DB!$B$258:$K$258,L30+3)+ROUNDDOWN((K30-2170000)*40.84%,0),IF(AND(K30&gt;1700000,K30&lt;2170000),VLOOKUP(1700000,源泉DB!$B$257:$K$257,L30+3)+ROUNDDOWN((K30-1700000)*40.84%,0),IF(AND(K30&gt;950000,K30&lt;1700000),VLOOKUP(950000,源泉DB!$B$256:$K$256,L30+3)+ROUNDDOWN((K30-950000)*33.693%,0),IF(AND(K30&gt;780000,K30&lt;950000),VLOOKUP(780000,源泉DB!$B$255:$K$255,L30+3)+ROUNDDOWN((K30-780000)*23.483%,0),IF(AND(K30&gt;740000,K30&lt;780000),VLOOKUP(740000,源泉DB!$B$254:$K$254,L30+3)+ROUNDDOWN((K30-740000)*20.42%,0),VLOOKUP(K30,源泉DB!$B$8:$K$299,L30+3))))))))),IF(F30="乙",IF(K30&gt;1700000,651900+(K30-1700000) *45.945%,IF(K30=1700000,651900,IF(AND(K30&gt;740000,K30&lt;1700000),259800+(K30-740000)*40.84%,IF(K30=740000,259800,IF(K30&lt;88000,ROUNDDOWN(K30*3.063%,9),VLOOKUP(K30,源泉DB!$B$8:$L$254,11)))))),"")),"")</f>
        <v/>
      </c>
      <c r="U30" s="165"/>
      <c r="V30" s="166"/>
      <c r="W30" s="166"/>
      <c r="X30" s="166"/>
      <c r="Y30" s="166"/>
      <c r="Z30" s="178">
        <f>ROUND(IFERROR(IF(($G30="加入"),VLOOKUP($I30,年金DB!$G$16:$P$65,6,TRUE),0),0)-0.1,0)</f>
        <v>0</v>
      </c>
      <c r="AA30" s="178">
        <f>ROUND(IFERROR(IF(AND($G30="加入",$D30&gt;=40,$D30&lt;=64),VLOOKUP($I30,年金DB!$G$16:$P$65,10,TRUE),0),0)-0.1,0)</f>
        <v>0</v>
      </c>
      <c r="AB30" s="178">
        <f>ROUND(IFERROR(IF(AND($G30="加入",$D30&lt;40),VLOOKUP($J30,年金DB!$G$16:$X$62,14,TRUE),IF(AND($G30="加入",$D30&gt;=40),VLOOKUP($J30,年金DB!$G$16:$X$62,14,TRUE),"0")),0)-0.1,0)</f>
        <v>0</v>
      </c>
      <c r="AC30" s="178">
        <f t="shared" si="3"/>
        <v>0</v>
      </c>
      <c r="AD30" s="21">
        <f t="shared" si="4"/>
        <v>0</v>
      </c>
      <c r="AE30" s="173">
        <f t="shared" si="5"/>
        <v>0</v>
      </c>
      <c r="AF30" s="14" t="str">
        <f t="shared" si="6"/>
        <v/>
      </c>
      <c r="AG30" s="14"/>
      <c r="AH30" s="14"/>
    </row>
    <row r="31" spans="1:34">
      <c r="A31" s="28"/>
      <c r="B31" s="180"/>
      <c r="C31" s="188"/>
      <c r="D31" s="161"/>
      <c r="E31" s="162"/>
      <c r="F31" s="162"/>
      <c r="G31" s="163"/>
      <c r="H31" s="285"/>
      <c r="I31" s="282"/>
      <c r="J31" s="16"/>
      <c r="K31" s="18">
        <f t="shared" si="0"/>
        <v>0</v>
      </c>
      <c r="L31" s="288">
        <v>0</v>
      </c>
      <c r="M31" s="291"/>
      <c r="N31" s="164"/>
      <c r="O31" s="164"/>
      <c r="P31" s="164"/>
      <c r="Q31" s="175">
        <f t="shared" si="1"/>
        <v>0</v>
      </c>
      <c r="R31" s="164"/>
      <c r="S31" s="197">
        <f t="shared" si="2"/>
        <v>0</v>
      </c>
      <c r="T31" s="201" t="str" cm="1">
        <f t="array" ref="T31">IFERROR(IF(F31="甲",IF(K31&gt;3500000,VLOOKUP(3500000,源泉DB!$B$261:$L$261,L31+3)+ROUNDDOWN((K31-3500000)*45.945%,0),IF(AND(K31&gt;2250000,K31&lt;3500000),VLOOKUP(2250000,源泉DB!$B$260:$K$260,L31+3)+ROUNDDOWN((K31-2250000)*40.84%,0),IF(AND(K31&gt;2210000,K31&lt;2250000),VLOOKUP(2210000,源泉DB!$B$259:$K$259,L31+3)+ROUNDDOWN((K31-2210000)*40.84%,0),IF(AND(K31&gt;2170000,K31&lt;2210000),VLOOKUP(2170000,源泉DB!$B$258:$K$258,L31+3)+ROUNDDOWN((K31-2170000)*40.84%,0),IF(AND(K31&gt;1700000,K31&lt;2170000),VLOOKUP(1700000,源泉DB!$B$257:$K$257,L31+3)+ROUNDDOWN((K31-1700000)*40.84%,0),IF(AND(K31&gt;950000,K31&lt;1700000),VLOOKUP(950000,源泉DB!$B$256:$K$256,L31+3)+ROUNDDOWN((K31-950000)*33.693%,0),IF(AND(K31&gt;780000,K31&lt;950000),VLOOKUP(780000,源泉DB!$B$255:$K$255,L31+3)+ROUNDDOWN((K31-780000)*23.483%,0),IF(AND(K31&gt;740000,K31&lt;780000),VLOOKUP(740000,源泉DB!$B$254:$K$254,L31+3)+ROUNDDOWN((K31-740000)*20.42%,0),VLOOKUP(K31,源泉DB!$B$8:$K$299,L31+3))))))))),IF(F31="乙",IF(K31&gt;1700000,651900+(K31-1700000) *45.945%,IF(K31=1700000,651900,IF(AND(K31&gt;740000,K31&lt;1700000),259800+(K31-740000)*40.84%,IF(K31=740000,259800,IF(K31&lt;88000,ROUNDDOWN(K31*3.063%,9),VLOOKUP(K31,源泉DB!$B$8:$L$254,11)))))),"")),"")</f>
        <v/>
      </c>
      <c r="U31" s="165"/>
      <c r="V31" s="166"/>
      <c r="W31" s="166"/>
      <c r="X31" s="166"/>
      <c r="Y31" s="166"/>
      <c r="Z31" s="178">
        <f>ROUND(IFERROR(IF(($G31="加入"),VLOOKUP($I31,年金DB!$G$16:$P$65,6,TRUE),0),0)-0.1,0)</f>
        <v>0</v>
      </c>
      <c r="AA31" s="178">
        <f>ROUND(IFERROR(IF(AND($G31="加入",$D31&gt;=40,$D31&lt;=64),VLOOKUP($I31,年金DB!$G$16:$P$65,10,TRUE),0),0)-0.1,0)</f>
        <v>0</v>
      </c>
      <c r="AB31" s="178">
        <f>ROUND(IFERROR(IF(AND($G31="加入",$D31&lt;40),VLOOKUP($J31,年金DB!$G$16:$X$62,14,TRUE),IF(AND($G31="加入",$D31&gt;=40),VLOOKUP($J31,年金DB!$G$16:$X$62,14,TRUE),"0")),0)-0.1,0)</f>
        <v>0</v>
      </c>
      <c r="AC31" s="178">
        <f t="shared" si="3"/>
        <v>0</v>
      </c>
      <c r="AD31" s="21">
        <f t="shared" si="4"/>
        <v>0</v>
      </c>
      <c r="AE31" s="173">
        <f t="shared" si="5"/>
        <v>0</v>
      </c>
      <c r="AF31" s="14" t="str">
        <f t="shared" si="6"/>
        <v/>
      </c>
      <c r="AG31" s="14"/>
      <c r="AH31" s="14"/>
    </row>
    <row r="32" spans="1:34">
      <c r="A32" s="28"/>
      <c r="B32" s="180"/>
      <c r="C32" s="188"/>
      <c r="D32" s="161"/>
      <c r="E32" s="162"/>
      <c r="F32" s="162"/>
      <c r="G32" s="163"/>
      <c r="H32" s="285"/>
      <c r="I32" s="282"/>
      <c r="J32" s="16"/>
      <c r="K32" s="18">
        <f t="shared" si="0"/>
        <v>0</v>
      </c>
      <c r="L32" s="288">
        <v>0</v>
      </c>
      <c r="M32" s="291"/>
      <c r="N32" s="164"/>
      <c r="O32" s="164"/>
      <c r="P32" s="164"/>
      <c r="Q32" s="175">
        <f t="shared" si="1"/>
        <v>0</v>
      </c>
      <c r="R32" s="164"/>
      <c r="S32" s="197">
        <f t="shared" si="2"/>
        <v>0</v>
      </c>
      <c r="T32" s="201" t="str" cm="1">
        <f t="array" ref="T32">IFERROR(IF(F32="甲",IF(K32&gt;3500000,VLOOKUP(3500000,源泉DB!$B$261:$L$261,L32+3)+ROUNDDOWN((K32-3500000)*45.945%,0),IF(AND(K32&gt;2250000,K32&lt;3500000),VLOOKUP(2250000,源泉DB!$B$260:$K$260,L32+3)+ROUNDDOWN((K32-2250000)*40.84%,0),IF(AND(K32&gt;2210000,K32&lt;2250000),VLOOKUP(2210000,源泉DB!$B$259:$K$259,L32+3)+ROUNDDOWN((K32-2210000)*40.84%,0),IF(AND(K32&gt;2170000,K32&lt;2210000),VLOOKUP(2170000,源泉DB!$B$258:$K$258,L32+3)+ROUNDDOWN((K32-2170000)*40.84%,0),IF(AND(K32&gt;1700000,K32&lt;2170000),VLOOKUP(1700000,源泉DB!$B$257:$K$257,L32+3)+ROUNDDOWN((K32-1700000)*40.84%,0),IF(AND(K32&gt;950000,K32&lt;1700000),VLOOKUP(950000,源泉DB!$B$256:$K$256,L32+3)+ROUNDDOWN((K32-950000)*33.693%,0),IF(AND(K32&gt;780000,K32&lt;950000),VLOOKUP(780000,源泉DB!$B$255:$K$255,L32+3)+ROUNDDOWN((K32-780000)*23.483%,0),IF(AND(K32&gt;740000,K32&lt;780000),VLOOKUP(740000,源泉DB!$B$254:$K$254,L32+3)+ROUNDDOWN((K32-740000)*20.42%,0),VLOOKUP(K32,源泉DB!$B$8:$K$299,L32+3))))))))),IF(F32="乙",IF(K32&gt;1700000,651900+(K32-1700000) *45.945%,IF(K32=1700000,651900,IF(AND(K32&gt;740000,K32&lt;1700000),259800+(K32-740000)*40.84%,IF(K32=740000,259800,IF(K32&lt;88000,ROUNDDOWN(K32*3.063%,9),VLOOKUP(K32,源泉DB!$B$8:$L$254,11)))))),"")),"")</f>
        <v/>
      </c>
      <c r="U32" s="165"/>
      <c r="V32" s="166"/>
      <c r="W32" s="166"/>
      <c r="X32" s="166"/>
      <c r="Y32" s="166"/>
      <c r="Z32" s="178">
        <f>ROUND(IFERROR(IF(($G32="加入"),VLOOKUP($I32,年金DB!$G$16:$P$65,6,TRUE),0),0)-0.1,0)</f>
        <v>0</v>
      </c>
      <c r="AA32" s="178">
        <f>ROUND(IFERROR(IF(AND($G32="加入",$D32&gt;=40,$D32&lt;=64),VLOOKUP($I32,年金DB!$G$16:$P$65,10,TRUE),0),0)-0.1,0)</f>
        <v>0</v>
      </c>
      <c r="AB32" s="178">
        <f>ROUND(IFERROR(IF(AND($G32="加入",$D32&lt;40),VLOOKUP($J32,年金DB!$G$16:$X$62,14,TRUE),IF(AND($G32="加入",$D32&gt;=40),VLOOKUP($J32,年金DB!$G$16:$X$62,14,TRUE),"0")),0)-0.1,0)</f>
        <v>0</v>
      </c>
      <c r="AC32" s="178">
        <f t="shared" si="3"/>
        <v>0</v>
      </c>
      <c r="AD32" s="21">
        <f t="shared" si="4"/>
        <v>0</v>
      </c>
      <c r="AE32" s="173">
        <f t="shared" si="5"/>
        <v>0</v>
      </c>
      <c r="AF32" s="14" t="str">
        <f t="shared" si="6"/>
        <v/>
      </c>
      <c r="AG32" s="14"/>
      <c r="AH32" s="14"/>
    </row>
    <row r="33" spans="1:34">
      <c r="A33" s="28"/>
      <c r="B33" s="180"/>
      <c r="C33" s="188"/>
      <c r="D33" s="161"/>
      <c r="E33" s="162"/>
      <c r="F33" s="162"/>
      <c r="G33" s="163"/>
      <c r="H33" s="285"/>
      <c r="I33" s="282"/>
      <c r="J33" s="16"/>
      <c r="K33" s="18">
        <f t="shared" si="0"/>
        <v>0</v>
      </c>
      <c r="L33" s="288">
        <v>0</v>
      </c>
      <c r="M33" s="291"/>
      <c r="N33" s="164"/>
      <c r="O33" s="164"/>
      <c r="P33" s="164"/>
      <c r="Q33" s="175">
        <f t="shared" si="1"/>
        <v>0</v>
      </c>
      <c r="R33" s="164"/>
      <c r="S33" s="197">
        <f t="shared" si="2"/>
        <v>0</v>
      </c>
      <c r="T33" s="201" t="str" cm="1">
        <f t="array" ref="T33">IFERROR(IF(F33="甲",IF(K33&gt;3500000,VLOOKUP(3500000,源泉DB!$B$261:$L$261,L33+3)+ROUNDDOWN((K33-3500000)*45.945%,0),IF(AND(K33&gt;2250000,K33&lt;3500000),VLOOKUP(2250000,源泉DB!$B$260:$K$260,L33+3)+ROUNDDOWN((K33-2250000)*40.84%,0),IF(AND(K33&gt;2210000,K33&lt;2250000),VLOOKUP(2210000,源泉DB!$B$259:$K$259,L33+3)+ROUNDDOWN((K33-2210000)*40.84%,0),IF(AND(K33&gt;2170000,K33&lt;2210000),VLOOKUP(2170000,源泉DB!$B$258:$K$258,L33+3)+ROUNDDOWN((K33-2170000)*40.84%,0),IF(AND(K33&gt;1700000,K33&lt;2170000),VLOOKUP(1700000,源泉DB!$B$257:$K$257,L33+3)+ROUNDDOWN((K33-1700000)*40.84%,0),IF(AND(K33&gt;950000,K33&lt;1700000),VLOOKUP(950000,源泉DB!$B$256:$K$256,L33+3)+ROUNDDOWN((K33-950000)*33.693%,0),IF(AND(K33&gt;780000,K33&lt;950000),VLOOKUP(780000,源泉DB!$B$255:$K$255,L33+3)+ROUNDDOWN((K33-780000)*23.483%,0),IF(AND(K33&gt;740000,K33&lt;780000),VLOOKUP(740000,源泉DB!$B$254:$K$254,L33+3)+ROUNDDOWN((K33-740000)*20.42%,0),VLOOKUP(K33,源泉DB!$B$8:$K$299,L33+3))))))))),IF(F33="乙",IF(K33&gt;1700000,651900+(K33-1700000) *45.945%,IF(K33=1700000,651900,IF(AND(K33&gt;740000,K33&lt;1700000),259800+(K33-740000)*40.84%,IF(K33=740000,259800,IF(K33&lt;88000,ROUNDDOWN(K33*3.063%,9),VLOOKUP(K33,源泉DB!$B$8:$L$254,11)))))),"")),"")</f>
        <v/>
      </c>
      <c r="U33" s="165"/>
      <c r="V33" s="166"/>
      <c r="W33" s="166"/>
      <c r="X33" s="166"/>
      <c r="Y33" s="166"/>
      <c r="Z33" s="178">
        <f>ROUND(IFERROR(IF(($G33="加入"),VLOOKUP($I33,年金DB!$G$16:$P$65,6,TRUE),0),0)-0.1,0)</f>
        <v>0</v>
      </c>
      <c r="AA33" s="178">
        <f>ROUND(IFERROR(IF(AND($G33="加入",$D33&gt;=40,$D33&lt;=64),VLOOKUP($I33,年金DB!$G$16:$P$65,10,TRUE),0),0)-0.1,0)</f>
        <v>0</v>
      </c>
      <c r="AB33" s="178">
        <f>ROUND(IFERROR(IF(AND($G33="加入",$D33&lt;40),VLOOKUP($J33,年金DB!$G$16:$X$62,14,TRUE),IF(AND($G33="加入",$D33&gt;=40),VLOOKUP($J33,年金DB!$G$16:$X$62,14,TRUE),"0")),0)-0.1,0)</f>
        <v>0</v>
      </c>
      <c r="AC33" s="178">
        <f t="shared" si="3"/>
        <v>0</v>
      </c>
      <c r="AD33" s="21">
        <f t="shared" si="4"/>
        <v>0</v>
      </c>
      <c r="AE33" s="173">
        <f t="shared" si="5"/>
        <v>0</v>
      </c>
      <c r="AF33" s="14" t="str">
        <f t="shared" si="6"/>
        <v/>
      </c>
      <c r="AG33" s="14"/>
      <c r="AH33" s="14"/>
    </row>
    <row r="34" spans="1:34">
      <c r="A34" s="28"/>
      <c r="B34" s="180"/>
      <c r="C34" s="188"/>
      <c r="D34" s="161"/>
      <c r="E34" s="162"/>
      <c r="F34" s="162"/>
      <c r="G34" s="163"/>
      <c r="H34" s="285"/>
      <c r="I34" s="282"/>
      <c r="J34" s="16"/>
      <c r="K34" s="18">
        <f t="shared" si="0"/>
        <v>0</v>
      </c>
      <c r="L34" s="288">
        <v>0</v>
      </c>
      <c r="M34" s="291"/>
      <c r="N34" s="164"/>
      <c r="O34" s="164"/>
      <c r="P34" s="164"/>
      <c r="Q34" s="175">
        <f t="shared" si="1"/>
        <v>0</v>
      </c>
      <c r="R34" s="164"/>
      <c r="S34" s="197">
        <f t="shared" si="2"/>
        <v>0</v>
      </c>
      <c r="T34" s="201" t="str" cm="1">
        <f t="array" ref="T34">IFERROR(IF(F34="甲",IF(K34&gt;3500000,VLOOKUP(3500000,源泉DB!$B$261:$L$261,L34+3)+ROUNDDOWN((K34-3500000)*45.945%,0),IF(AND(K34&gt;2250000,K34&lt;3500000),VLOOKUP(2250000,源泉DB!$B$260:$K$260,L34+3)+ROUNDDOWN((K34-2250000)*40.84%,0),IF(AND(K34&gt;2210000,K34&lt;2250000),VLOOKUP(2210000,源泉DB!$B$259:$K$259,L34+3)+ROUNDDOWN((K34-2210000)*40.84%,0),IF(AND(K34&gt;2170000,K34&lt;2210000),VLOOKUP(2170000,源泉DB!$B$258:$K$258,L34+3)+ROUNDDOWN((K34-2170000)*40.84%,0),IF(AND(K34&gt;1700000,K34&lt;2170000),VLOOKUP(1700000,源泉DB!$B$257:$K$257,L34+3)+ROUNDDOWN((K34-1700000)*40.84%,0),IF(AND(K34&gt;950000,K34&lt;1700000),VLOOKUP(950000,源泉DB!$B$256:$K$256,L34+3)+ROUNDDOWN((K34-950000)*33.693%,0),IF(AND(K34&gt;780000,K34&lt;950000),VLOOKUP(780000,源泉DB!$B$255:$K$255,L34+3)+ROUNDDOWN((K34-780000)*23.483%,0),IF(AND(K34&gt;740000,K34&lt;780000),VLOOKUP(740000,源泉DB!$B$254:$K$254,L34+3)+ROUNDDOWN((K34-740000)*20.42%,0),VLOOKUP(K34,源泉DB!$B$8:$K$299,L34+3))))))))),IF(F34="乙",IF(K34&gt;1700000,651900+(K34-1700000) *45.945%,IF(K34=1700000,651900,IF(AND(K34&gt;740000,K34&lt;1700000),259800+(K34-740000)*40.84%,IF(K34=740000,259800,IF(K34&lt;88000,ROUNDDOWN(K34*3.063%,9),VLOOKUP(K34,源泉DB!$B$8:$L$254,11)))))),"")),"")</f>
        <v/>
      </c>
      <c r="U34" s="165"/>
      <c r="V34" s="166"/>
      <c r="W34" s="166"/>
      <c r="X34" s="166"/>
      <c r="Y34" s="166"/>
      <c r="Z34" s="178">
        <f>ROUND(IFERROR(IF(($G34="加入"),VLOOKUP($I34,年金DB!$G$16:$P$65,6,TRUE),0),0)-0.1,0)</f>
        <v>0</v>
      </c>
      <c r="AA34" s="178">
        <f>ROUND(IFERROR(IF(AND($G34="加入",$D34&gt;=40,$D34&lt;=64),VLOOKUP($I34,年金DB!$G$16:$P$65,10,TRUE),0),0)-0.1,0)</f>
        <v>0</v>
      </c>
      <c r="AB34" s="178">
        <f>ROUND(IFERROR(IF(AND($G34="加入",$D34&lt;40),VLOOKUP($J34,年金DB!$G$16:$X$62,14,TRUE),IF(AND($G34="加入",$D34&gt;=40),VLOOKUP($J34,年金DB!$G$16:$X$62,14,TRUE),"0")),0)-0.1,0)</f>
        <v>0</v>
      </c>
      <c r="AC34" s="178">
        <f t="shared" si="3"/>
        <v>0</v>
      </c>
      <c r="AD34" s="21">
        <f t="shared" si="4"/>
        <v>0</v>
      </c>
      <c r="AE34" s="173">
        <f t="shared" si="5"/>
        <v>0</v>
      </c>
      <c r="AF34" s="14" t="str">
        <f t="shared" si="6"/>
        <v/>
      </c>
      <c r="AG34" s="14"/>
      <c r="AH34" s="14"/>
    </row>
    <row r="35" spans="1:34">
      <c r="A35" s="28"/>
      <c r="B35" s="180"/>
      <c r="C35" s="188"/>
      <c r="D35" s="161"/>
      <c r="E35" s="162"/>
      <c r="F35" s="162"/>
      <c r="G35" s="163"/>
      <c r="H35" s="285"/>
      <c r="I35" s="282"/>
      <c r="J35" s="16"/>
      <c r="K35" s="18">
        <f t="shared" si="0"/>
        <v>0</v>
      </c>
      <c r="L35" s="288">
        <v>0</v>
      </c>
      <c r="M35" s="291"/>
      <c r="N35" s="164"/>
      <c r="O35" s="164"/>
      <c r="P35" s="164"/>
      <c r="Q35" s="175">
        <f t="shared" si="1"/>
        <v>0</v>
      </c>
      <c r="R35" s="164"/>
      <c r="S35" s="197">
        <f t="shared" si="2"/>
        <v>0</v>
      </c>
      <c r="T35" s="201" t="str" cm="1">
        <f t="array" ref="T35">IFERROR(IF(F35="甲",IF(K35&gt;3500000,VLOOKUP(3500000,源泉DB!$B$261:$L$261,L35+3)+ROUNDDOWN((K35-3500000)*45.945%,0),IF(AND(K35&gt;2250000,K35&lt;3500000),VLOOKUP(2250000,源泉DB!$B$260:$K$260,L35+3)+ROUNDDOWN((K35-2250000)*40.84%,0),IF(AND(K35&gt;2210000,K35&lt;2250000),VLOOKUP(2210000,源泉DB!$B$259:$K$259,L35+3)+ROUNDDOWN((K35-2210000)*40.84%,0),IF(AND(K35&gt;2170000,K35&lt;2210000),VLOOKUP(2170000,源泉DB!$B$258:$K$258,L35+3)+ROUNDDOWN((K35-2170000)*40.84%,0),IF(AND(K35&gt;1700000,K35&lt;2170000),VLOOKUP(1700000,源泉DB!$B$257:$K$257,L35+3)+ROUNDDOWN((K35-1700000)*40.84%,0),IF(AND(K35&gt;950000,K35&lt;1700000),VLOOKUP(950000,源泉DB!$B$256:$K$256,L35+3)+ROUNDDOWN((K35-950000)*33.693%,0),IF(AND(K35&gt;780000,K35&lt;950000),VLOOKUP(780000,源泉DB!$B$255:$K$255,L35+3)+ROUNDDOWN((K35-780000)*23.483%,0),IF(AND(K35&gt;740000,K35&lt;780000),VLOOKUP(740000,源泉DB!$B$254:$K$254,L35+3)+ROUNDDOWN((K35-740000)*20.42%,0),VLOOKUP(K35,源泉DB!$B$8:$K$299,L35+3))))))))),IF(F35="乙",IF(K35&gt;1700000,651900+(K35-1700000) *45.945%,IF(K35=1700000,651900,IF(AND(K35&gt;740000,K35&lt;1700000),259800+(K35-740000)*40.84%,IF(K35=740000,259800,IF(K35&lt;88000,ROUNDDOWN(K35*3.063%,9),VLOOKUP(K35,源泉DB!$B$8:$L$254,11)))))),"")),"")</f>
        <v/>
      </c>
      <c r="U35" s="165"/>
      <c r="V35" s="166"/>
      <c r="W35" s="166"/>
      <c r="X35" s="166"/>
      <c r="Y35" s="166"/>
      <c r="Z35" s="178">
        <f>ROUND(IFERROR(IF(($G35="加入"),VLOOKUP($I35,年金DB!$G$16:$P$65,6,TRUE),0),0)-0.1,0)</f>
        <v>0</v>
      </c>
      <c r="AA35" s="178">
        <f>ROUND(IFERROR(IF(AND($G35="加入",$D35&gt;=40,$D35&lt;=64),VLOOKUP($I35,年金DB!$G$16:$P$65,10,TRUE),0),0)-0.1,0)</f>
        <v>0</v>
      </c>
      <c r="AB35" s="178">
        <f>ROUND(IFERROR(IF(AND($G35="加入",$D35&lt;40),VLOOKUP($J35,年金DB!$G$16:$X$62,14,TRUE),IF(AND($G35="加入",$D35&gt;=40),VLOOKUP($J35,年金DB!$G$16:$X$62,14,TRUE),"0")),0)-0.1,0)</f>
        <v>0</v>
      </c>
      <c r="AC35" s="178">
        <f t="shared" si="3"/>
        <v>0</v>
      </c>
      <c r="AD35" s="21">
        <f t="shared" si="4"/>
        <v>0</v>
      </c>
      <c r="AE35" s="173">
        <f t="shared" si="5"/>
        <v>0</v>
      </c>
      <c r="AF35" s="14" t="str">
        <f t="shared" si="6"/>
        <v/>
      </c>
      <c r="AG35" s="14"/>
      <c r="AH35" s="14"/>
    </row>
    <row r="36" spans="1:34">
      <c r="A36" s="28"/>
      <c r="B36" s="180"/>
      <c r="C36" s="188"/>
      <c r="D36" s="161"/>
      <c r="E36" s="162"/>
      <c r="F36" s="162"/>
      <c r="G36" s="163"/>
      <c r="H36" s="285"/>
      <c r="I36" s="282"/>
      <c r="J36" s="16"/>
      <c r="K36" s="18">
        <f t="shared" si="0"/>
        <v>0</v>
      </c>
      <c r="L36" s="288">
        <v>0</v>
      </c>
      <c r="M36" s="291"/>
      <c r="N36" s="164"/>
      <c r="O36" s="164"/>
      <c r="P36" s="164"/>
      <c r="Q36" s="175">
        <f t="shared" si="1"/>
        <v>0</v>
      </c>
      <c r="R36" s="164"/>
      <c r="S36" s="197">
        <f t="shared" si="2"/>
        <v>0</v>
      </c>
      <c r="T36" s="201" t="str" cm="1">
        <f t="array" ref="T36">IFERROR(IF(F36="甲",IF(K36&gt;3500000,VLOOKUP(3500000,源泉DB!$B$261:$L$261,L36+3)+ROUNDDOWN((K36-3500000)*45.945%,0),IF(AND(K36&gt;2250000,K36&lt;3500000),VLOOKUP(2250000,源泉DB!$B$260:$K$260,L36+3)+ROUNDDOWN((K36-2250000)*40.84%,0),IF(AND(K36&gt;2210000,K36&lt;2250000),VLOOKUP(2210000,源泉DB!$B$259:$K$259,L36+3)+ROUNDDOWN((K36-2210000)*40.84%,0),IF(AND(K36&gt;2170000,K36&lt;2210000),VLOOKUP(2170000,源泉DB!$B$258:$K$258,L36+3)+ROUNDDOWN((K36-2170000)*40.84%,0),IF(AND(K36&gt;1700000,K36&lt;2170000),VLOOKUP(1700000,源泉DB!$B$257:$K$257,L36+3)+ROUNDDOWN((K36-1700000)*40.84%,0),IF(AND(K36&gt;950000,K36&lt;1700000),VLOOKUP(950000,源泉DB!$B$256:$K$256,L36+3)+ROUNDDOWN((K36-950000)*33.693%,0),IF(AND(K36&gt;780000,K36&lt;950000),VLOOKUP(780000,源泉DB!$B$255:$K$255,L36+3)+ROUNDDOWN((K36-780000)*23.483%,0),IF(AND(K36&gt;740000,K36&lt;780000),VLOOKUP(740000,源泉DB!$B$254:$K$254,L36+3)+ROUNDDOWN((K36-740000)*20.42%,0),VLOOKUP(K36,源泉DB!$B$8:$K$299,L36+3))))))))),IF(F36="乙",IF(K36&gt;1700000,651900+(K36-1700000) *45.945%,IF(K36=1700000,651900,IF(AND(K36&gt;740000,K36&lt;1700000),259800+(K36-740000)*40.84%,IF(K36=740000,259800,IF(K36&lt;88000,ROUNDDOWN(K36*3.063%,9),VLOOKUP(K36,源泉DB!$B$8:$L$254,11)))))),"")),"")</f>
        <v/>
      </c>
      <c r="U36" s="165"/>
      <c r="V36" s="166"/>
      <c r="W36" s="166"/>
      <c r="X36" s="166"/>
      <c r="Y36" s="166"/>
      <c r="Z36" s="178">
        <f>ROUND(IFERROR(IF(($G36="加入"),VLOOKUP($I36,年金DB!$G$16:$P$65,6,TRUE),0),0)-0.1,0)</f>
        <v>0</v>
      </c>
      <c r="AA36" s="178">
        <f>ROUND(IFERROR(IF(AND($G36="加入",$D36&gt;=40,$D36&lt;=64),VLOOKUP($I36,年金DB!$G$16:$P$65,10,TRUE),0),0)-0.1,0)</f>
        <v>0</v>
      </c>
      <c r="AB36" s="178">
        <f>ROUND(IFERROR(IF(AND($G36="加入",$D36&lt;40),VLOOKUP($J36,年金DB!$G$16:$X$62,14,TRUE),IF(AND($G36="加入",$D36&gt;=40),VLOOKUP($J36,年金DB!$G$16:$X$62,14,TRUE),"0")),0)-0.1,0)</f>
        <v>0</v>
      </c>
      <c r="AC36" s="178">
        <f t="shared" si="3"/>
        <v>0</v>
      </c>
      <c r="AD36" s="21">
        <f t="shared" si="4"/>
        <v>0</v>
      </c>
      <c r="AE36" s="173">
        <f t="shared" si="5"/>
        <v>0</v>
      </c>
      <c r="AF36" s="14" t="str">
        <f t="shared" si="6"/>
        <v/>
      </c>
      <c r="AG36" s="14"/>
      <c r="AH36" s="14"/>
    </row>
    <row r="37" spans="1:34">
      <c r="A37" s="28"/>
      <c r="B37" s="180"/>
      <c r="C37" s="188"/>
      <c r="D37" s="161"/>
      <c r="E37" s="162"/>
      <c r="F37" s="162"/>
      <c r="G37" s="163"/>
      <c r="H37" s="285"/>
      <c r="I37" s="282"/>
      <c r="J37" s="16"/>
      <c r="K37" s="18">
        <f t="shared" si="0"/>
        <v>0</v>
      </c>
      <c r="L37" s="288">
        <v>0</v>
      </c>
      <c r="M37" s="291"/>
      <c r="N37" s="164"/>
      <c r="O37" s="164"/>
      <c r="P37" s="164"/>
      <c r="Q37" s="175">
        <f t="shared" si="1"/>
        <v>0</v>
      </c>
      <c r="R37" s="164"/>
      <c r="S37" s="197">
        <f t="shared" si="2"/>
        <v>0</v>
      </c>
      <c r="T37" s="201" t="str" cm="1">
        <f t="array" ref="T37">IFERROR(IF(F37="甲",IF(K37&gt;3500000,VLOOKUP(3500000,源泉DB!$B$261:$L$261,L37+3)+ROUNDDOWN((K37-3500000)*45.945%,0),IF(AND(K37&gt;2250000,K37&lt;3500000),VLOOKUP(2250000,源泉DB!$B$260:$K$260,L37+3)+ROUNDDOWN((K37-2250000)*40.84%,0),IF(AND(K37&gt;2210000,K37&lt;2250000),VLOOKUP(2210000,源泉DB!$B$259:$K$259,L37+3)+ROUNDDOWN((K37-2210000)*40.84%,0),IF(AND(K37&gt;2170000,K37&lt;2210000),VLOOKUP(2170000,源泉DB!$B$258:$K$258,L37+3)+ROUNDDOWN((K37-2170000)*40.84%,0),IF(AND(K37&gt;1700000,K37&lt;2170000),VLOOKUP(1700000,源泉DB!$B$257:$K$257,L37+3)+ROUNDDOWN((K37-1700000)*40.84%,0),IF(AND(K37&gt;950000,K37&lt;1700000),VLOOKUP(950000,源泉DB!$B$256:$K$256,L37+3)+ROUNDDOWN((K37-950000)*33.693%,0),IF(AND(K37&gt;780000,K37&lt;950000),VLOOKUP(780000,源泉DB!$B$255:$K$255,L37+3)+ROUNDDOWN((K37-780000)*23.483%,0),IF(AND(K37&gt;740000,K37&lt;780000),VLOOKUP(740000,源泉DB!$B$254:$K$254,L37+3)+ROUNDDOWN((K37-740000)*20.42%,0),VLOOKUP(K37,源泉DB!$B$8:$K$299,L37+3))))))))),IF(F37="乙",IF(K37&gt;1700000,651900+(K37-1700000) *45.945%,IF(K37=1700000,651900,IF(AND(K37&gt;740000,K37&lt;1700000),259800+(K37-740000)*40.84%,IF(K37=740000,259800,IF(K37&lt;88000,ROUNDDOWN(K37*3.063%,9),VLOOKUP(K37,源泉DB!$B$8:$L$254,11)))))),"")),"")</f>
        <v/>
      </c>
      <c r="U37" s="165"/>
      <c r="V37" s="166"/>
      <c r="W37" s="166"/>
      <c r="X37" s="166"/>
      <c r="Y37" s="166"/>
      <c r="Z37" s="178">
        <f>ROUND(IFERROR(IF(($G37="加入"),VLOOKUP($I37,年金DB!$G$16:$P$65,6,TRUE),0),0)-0.1,0)</f>
        <v>0</v>
      </c>
      <c r="AA37" s="178">
        <f>ROUND(IFERROR(IF(AND($G37="加入",$D37&gt;=40,$D37&lt;=64),VLOOKUP($I37,年金DB!$G$16:$P$65,10,TRUE),0),0)-0.1,0)</f>
        <v>0</v>
      </c>
      <c r="AB37" s="178">
        <f>ROUND(IFERROR(IF(AND($G37="加入",$D37&lt;40),VLOOKUP($J37,年金DB!$G$16:$X$62,14,TRUE),IF(AND($G37="加入",$D37&gt;=40),VLOOKUP($J37,年金DB!$G$16:$X$62,14,TRUE),"0")),0)-0.1,0)</f>
        <v>0</v>
      </c>
      <c r="AC37" s="178">
        <f t="shared" si="3"/>
        <v>0</v>
      </c>
      <c r="AD37" s="21">
        <f t="shared" si="4"/>
        <v>0</v>
      </c>
      <c r="AE37" s="173">
        <f t="shared" si="5"/>
        <v>0</v>
      </c>
      <c r="AF37" s="14" t="str">
        <f t="shared" si="6"/>
        <v/>
      </c>
      <c r="AG37" s="14"/>
      <c r="AH37" s="14"/>
    </row>
    <row r="38" spans="1:34">
      <c r="A38" s="28"/>
      <c r="B38" s="180"/>
      <c r="C38" s="188"/>
      <c r="D38" s="161"/>
      <c r="E38" s="162"/>
      <c r="F38" s="162"/>
      <c r="G38" s="163"/>
      <c r="H38" s="285"/>
      <c r="I38" s="282"/>
      <c r="J38" s="16"/>
      <c r="K38" s="18">
        <f t="shared" si="0"/>
        <v>0</v>
      </c>
      <c r="L38" s="288">
        <v>0</v>
      </c>
      <c r="M38" s="291"/>
      <c r="N38" s="164"/>
      <c r="O38" s="164"/>
      <c r="P38" s="164"/>
      <c r="Q38" s="175">
        <f t="shared" si="1"/>
        <v>0</v>
      </c>
      <c r="R38" s="164"/>
      <c r="S38" s="197">
        <f t="shared" si="2"/>
        <v>0</v>
      </c>
      <c r="T38" s="201" t="str" cm="1">
        <f t="array" ref="T38">IFERROR(IF(F38="甲",IF(K38&gt;3500000,VLOOKUP(3500000,源泉DB!$B$261:$L$261,L38+3)+ROUNDDOWN((K38-3500000)*45.945%,0),IF(AND(K38&gt;2250000,K38&lt;3500000),VLOOKUP(2250000,源泉DB!$B$260:$K$260,L38+3)+ROUNDDOWN((K38-2250000)*40.84%,0),IF(AND(K38&gt;2210000,K38&lt;2250000),VLOOKUP(2210000,源泉DB!$B$259:$K$259,L38+3)+ROUNDDOWN((K38-2210000)*40.84%,0),IF(AND(K38&gt;2170000,K38&lt;2210000),VLOOKUP(2170000,源泉DB!$B$258:$K$258,L38+3)+ROUNDDOWN((K38-2170000)*40.84%,0),IF(AND(K38&gt;1700000,K38&lt;2170000),VLOOKUP(1700000,源泉DB!$B$257:$K$257,L38+3)+ROUNDDOWN((K38-1700000)*40.84%,0),IF(AND(K38&gt;950000,K38&lt;1700000),VLOOKUP(950000,源泉DB!$B$256:$K$256,L38+3)+ROUNDDOWN((K38-950000)*33.693%,0),IF(AND(K38&gt;780000,K38&lt;950000),VLOOKUP(780000,源泉DB!$B$255:$K$255,L38+3)+ROUNDDOWN((K38-780000)*23.483%,0),IF(AND(K38&gt;740000,K38&lt;780000),VLOOKUP(740000,源泉DB!$B$254:$K$254,L38+3)+ROUNDDOWN((K38-740000)*20.42%,0),VLOOKUP(K38,源泉DB!$B$8:$K$299,L38+3))))))))),IF(F38="乙",IF(K38&gt;1700000,651900+(K38-1700000) *45.945%,IF(K38=1700000,651900,IF(AND(K38&gt;740000,K38&lt;1700000),259800+(K38-740000)*40.84%,IF(K38=740000,259800,IF(K38&lt;88000,ROUNDDOWN(K38*3.063%,9),VLOOKUP(K38,源泉DB!$B$8:$L$254,11)))))),"")),"")</f>
        <v/>
      </c>
      <c r="U38" s="165"/>
      <c r="V38" s="166"/>
      <c r="W38" s="166"/>
      <c r="X38" s="166"/>
      <c r="Y38" s="166"/>
      <c r="Z38" s="178">
        <f>ROUND(IFERROR(IF(($G38="加入"),VLOOKUP($I38,年金DB!$G$16:$P$65,6,TRUE),0),0)-0.1,0)</f>
        <v>0</v>
      </c>
      <c r="AA38" s="178">
        <f>ROUND(IFERROR(IF(AND($G38="加入",$D38&gt;=40,$D38&lt;=64),VLOOKUP($I38,年金DB!$G$16:$P$65,10,TRUE),0),0)-0.1,0)</f>
        <v>0</v>
      </c>
      <c r="AB38" s="178">
        <f>ROUND(IFERROR(IF(AND($G38="加入",$D38&lt;40),VLOOKUP($J38,年金DB!$G$16:$X$62,14,TRUE),IF(AND($G38="加入",$D38&gt;=40),VLOOKUP($J38,年金DB!$G$16:$X$62,14,TRUE),"0")),0)-0.1,0)</f>
        <v>0</v>
      </c>
      <c r="AC38" s="178">
        <f t="shared" si="3"/>
        <v>0</v>
      </c>
      <c r="AD38" s="21">
        <f t="shared" si="4"/>
        <v>0</v>
      </c>
      <c r="AE38" s="173">
        <f t="shared" si="5"/>
        <v>0</v>
      </c>
      <c r="AF38" s="14" t="str">
        <f t="shared" si="6"/>
        <v/>
      </c>
      <c r="AG38" s="14"/>
      <c r="AH38" s="14"/>
    </row>
    <row r="39" spans="1:34">
      <c r="A39" s="28"/>
      <c r="B39" s="180"/>
      <c r="C39" s="188"/>
      <c r="D39" s="161"/>
      <c r="E39" s="162"/>
      <c r="F39" s="162"/>
      <c r="G39" s="163"/>
      <c r="H39" s="285"/>
      <c r="I39" s="282"/>
      <c r="J39" s="16"/>
      <c r="K39" s="18">
        <f t="shared" si="0"/>
        <v>0</v>
      </c>
      <c r="L39" s="288">
        <v>0</v>
      </c>
      <c r="M39" s="291"/>
      <c r="N39" s="164"/>
      <c r="O39" s="164"/>
      <c r="P39" s="164"/>
      <c r="Q39" s="175">
        <f t="shared" si="1"/>
        <v>0</v>
      </c>
      <c r="R39" s="164"/>
      <c r="S39" s="197">
        <f t="shared" si="2"/>
        <v>0</v>
      </c>
      <c r="T39" s="201" t="str" cm="1">
        <f t="array" ref="T39">IFERROR(IF(F39="甲",IF(K39&gt;3500000,VLOOKUP(3500000,源泉DB!$B$261:$L$261,L39+3)+ROUNDDOWN((K39-3500000)*45.945%,0),IF(AND(K39&gt;2250000,K39&lt;3500000),VLOOKUP(2250000,源泉DB!$B$260:$K$260,L39+3)+ROUNDDOWN((K39-2250000)*40.84%,0),IF(AND(K39&gt;2210000,K39&lt;2250000),VLOOKUP(2210000,源泉DB!$B$259:$K$259,L39+3)+ROUNDDOWN((K39-2210000)*40.84%,0),IF(AND(K39&gt;2170000,K39&lt;2210000),VLOOKUP(2170000,源泉DB!$B$258:$K$258,L39+3)+ROUNDDOWN((K39-2170000)*40.84%,0),IF(AND(K39&gt;1700000,K39&lt;2170000),VLOOKUP(1700000,源泉DB!$B$257:$K$257,L39+3)+ROUNDDOWN((K39-1700000)*40.84%,0),IF(AND(K39&gt;950000,K39&lt;1700000),VLOOKUP(950000,源泉DB!$B$256:$K$256,L39+3)+ROUNDDOWN((K39-950000)*33.693%,0),IF(AND(K39&gt;780000,K39&lt;950000),VLOOKUP(780000,源泉DB!$B$255:$K$255,L39+3)+ROUNDDOWN((K39-780000)*23.483%,0),IF(AND(K39&gt;740000,K39&lt;780000),VLOOKUP(740000,源泉DB!$B$254:$K$254,L39+3)+ROUNDDOWN((K39-740000)*20.42%,0),VLOOKUP(K39,源泉DB!$B$8:$K$299,L39+3))))))))),IF(F39="乙",IF(K39&gt;1700000,651900+(K39-1700000) *45.945%,IF(K39=1700000,651900,IF(AND(K39&gt;740000,K39&lt;1700000),259800+(K39-740000)*40.84%,IF(K39=740000,259800,IF(K39&lt;88000,ROUNDDOWN(K39*3.063%,9),VLOOKUP(K39,源泉DB!$B$8:$L$254,11)))))),"")),"")</f>
        <v/>
      </c>
      <c r="U39" s="165"/>
      <c r="V39" s="166"/>
      <c r="W39" s="166"/>
      <c r="X39" s="166"/>
      <c r="Y39" s="166"/>
      <c r="Z39" s="178">
        <f>ROUND(IFERROR(IF(($G39="加入"),VLOOKUP($I39,年金DB!$G$16:$P$65,6,TRUE),0),0)-0.1,0)</f>
        <v>0</v>
      </c>
      <c r="AA39" s="178">
        <f>ROUND(IFERROR(IF(AND($G39="加入",$D39&gt;=40,$D39&lt;=64),VLOOKUP($I39,年金DB!$G$16:$P$65,10,TRUE),0),0)-0.1,0)</f>
        <v>0</v>
      </c>
      <c r="AB39" s="178">
        <f>ROUND(IFERROR(IF(AND($G39="加入",$D39&lt;40),VLOOKUP($J39,年金DB!$G$16:$X$62,14,TRUE),IF(AND($G39="加入",$D39&gt;=40),VLOOKUP($J39,年金DB!$G$16:$X$62,14,TRUE),"0")),0)-0.1,0)</f>
        <v>0</v>
      </c>
      <c r="AC39" s="178">
        <f t="shared" si="3"/>
        <v>0</v>
      </c>
      <c r="AD39" s="21">
        <f t="shared" si="4"/>
        <v>0</v>
      </c>
      <c r="AE39" s="173">
        <f t="shared" si="5"/>
        <v>0</v>
      </c>
      <c r="AF39" s="14" t="str">
        <f t="shared" si="6"/>
        <v/>
      </c>
      <c r="AG39" s="14"/>
      <c r="AH39" s="14"/>
    </row>
    <row r="40" spans="1:34">
      <c r="A40" s="28"/>
      <c r="B40" s="180"/>
      <c r="C40" s="188"/>
      <c r="D40" s="161"/>
      <c r="E40" s="162"/>
      <c r="F40" s="162"/>
      <c r="G40" s="163"/>
      <c r="H40" s="285"/>
      <c r="I40" s="282"/>
      <c r="J40" s="16"/>
      <c r="K40" s="18">
        <f t="shared" si="0"/>
        <v>0</v>
      </c>
      <c r="L40" s="288">
        <v>0</v>
      </c>
      <c r="M40" s="291"/>
      <c r="N40" s="164"/>
      <c r="O40" s="164"/>
      <c r="P40" s="164"/>
      <c r="Q40" s="175">
        <f t="shared" si="1"/>
        <v>0</v>
      </c>
      <c r="R40" s="164"/>
      <c r="S40" s="197">
        <f t="shared" si="2"/>
        <v>0</v>
      </c>
      <c r="T40" s="201" t="str" cm="1">
        <f t="array" ref="T40">IFERROR(IF(F40="甲",IF(K40&gt;3500000,VLOOKUP(3500000,源泉DB!$B$261:$L$261,L40+3)+ROUNDDOWN((K40-3500000)*45.945%,0),IF(AND(K40&gt;2250000,K40&lt;3500000),VLOOKUP(2250000,源泉DB!$B$260:$K$260,L40+3)+ROUNDDOWN((K40-2250000)*40.84%,0),IF(AND(K40&gt;2210000,K40&lt;2250000),VLOOKUP(2210000,源泉DB!$B$259:$K$259,L40+3)+ROUNDDOWN((K40-2210000)*40.84%,0),IF(AND(K40&gt;2170000,K40&lt;2210000),VLOOKUP(2170000,源泉DB!$B$258:$K$258,L40+3)+ROUNDDOWN((K40-2170000)*40.84%,0),IF(AND(K40&gt;1700000,K40&lt;2170000),VLOOKUP(1700000,源泉DB!$B$257:$K$257,L40+3)+ROUNDDOWN((K40-1700000)*40.84%,0),IF(AND(K40&gt;950000,K40&lt;1700000),VLOOKUP(950000,源泉DB!$B$256:$K$256,L40+3)+ROUNDDOWN((K40-950000)*33.693%,0),IF(AND(K40&gt;780000,K40&lt;950000),VLOOKUP(780000,源泉DB!$B$255:$K$255,L40+3)+ROUNDDOWN((K40-780000)*23.483%,0),IF(AND(K40&gt;740000,K40&lt;780000),VLOOKUP(740000,源泉DB!$B$254:$K$254,L40+3)+ROUNDDOWN((K40-740000)*20.42%,0),VLOOKUP(K40,源泉DB!$B$8:$K$299,L40+3))))))))),IF(F40="乙",IF(K40&gt;1700000,651900+(K40-1700000) *45.945%,IF(K40=1700000,651900,IF(AND(K40&gt;740000,K40&lt;1700000),259800+(K40-740000)*40.84%,IF(K40=740000,259800,IF(K40&lt;88000,ROUNDDOWN(K40*3.063%,9),VLOOKUP(K40,源泉DB!$B$8:$L$254,11)))))),"")),"")</f>
        <v/>
      </c>
      <c r="U40" s="165"/>
      <c r="V40" s="166"/>
      <c r="W40" s="166"/>
      <c r="X40" s="166"/>
      <c r="Y40" s="166"/>
      <c r="Z40" s="178">
        <f>ROUND(IFERROR(IF(($G40="加入"),VLOOKUP($I40,年金DB!$G$16:$P$65,6,TRUE),0),0)-0.1,0)</f>
        <v>0</v>
      </c>
      <c r="AA40" s="178">
        <f>ROUND(IFERROR(IF(AND($G40="加入",$D40&gt;=40,$D40&lt;=64),VLOOKUP($I40,年金DB!$G$16:$P$65,10,TRUE),0),0)-0.1,0)</f>
        <v>0</v>
      </c>
      <c r="AB40" s="178">
        <f>ROUND(IFERROR(IF(AND($G40="加入",$D40&lt;40),VLOOKUP($J40,年金DB!$G$16:$X$62,14,TRUE),IF(AND($G40="加入",$D40&gt;=40),VLOOKUP($J40,年金DB!$G$16:$X$62,14,TRUE),"0")),0)-0.1,0)</f>
        <v>0</v>
      </c>
      <c r="AC40" s="178">
        <f t="shared" si="3"/>
        <v>0</v>
      </c>
      <c r="AD40" s="21">
        <f t="shared" si="4"/>
        <v>0</v>
      </c>
      <c r="AE40" s="173">
        <f t="shared" si="5"/>
        <v>0</v>
      </c>
      <c r="AF40" s="14" t="str">
        <f t="shared" si="6"/>
        <v/>
      </c>
      <c r="AG40" s="14"/>
      <c r="AH40" s="14"/>
    </row>
    <row r="41" spans="1:34">
      <c r="A41" s="28"/>
      <c r="B41" s="180"/>
      <c r="C41" s="188"/>
      <c r="D41" s="161"/>
      <c r="E41" s="162"/>
      <c r="F41" s="162"/>
      <c r="G41" s="163"/>
      <c r="H41" s="285"/>
      <c r="I41" s="282"/>
      <c r="J41" s="16"/>
      <c r="K41" s="18">
        <f t="shared" si="0"/>
        <v>0</v>
      </c>
      <c r="L41" s="288">
        <v>0</v>
      </c>
      <c r="M41" s="291"/>
      <c r="N41" s="164"/>
      <c r="O41" s="164"/>
      <c r="P41" s="164"/>
      <c r="Q41" s="175">
        <f t="shared" si="1"/>
        <v>0</v>
      </c>
      <c r="R41" s="164"/>
      <c r="S41" s="197">
        <f t="shared" si="2"/>
        <v>0</v>
      </c>
      <c r="T41" s="201" t="str" cm="1">
        <f t="array" ref="T41">IFERROR(IF(F41="甲",IF(K41&gt;3500000,VLOOKUP(3500000,源泉DB!$B$261:$L$261,L41+3)+ROUNDDOWN((K41-3500000)*45.945%,0),IF(AND(K41&gt;2250000,K41&lt;3500000),VLOOKUP(2250000,源泉DB!$B$260:$K$260,L41+3)+ROUNDDOWN((K41-2250000)*40.84%,0),IF(AND(K41&gt;2210000,K41&lt;2250000),VLOOKUP(2210000,源泉DB!$B$259:$K$259,L41+3)+ROUNDDOWN((K41-2210000)*40.84%,0),IF(AND(K41&gt;2170000,K41&lt;2210000),VLOOKUP(2170000,源泉DB!$B$258:$K$258,L41+3)+ROUNDDOWN((K41-2170000)*40.84%,0),IF(AND(K41&gt;1700000,K41&lt;2170000),VLOOKUP(1700000,源泉DB!$B$257:$K$257,L41+3)+ROUNDDOWN((K41-1700000)*40.84%,0),IF(AND(K41&gt;950000,K41&lt;1700000),VLOOKUP(950000,源泉DB!$B$256:$K$256,L41+3)+ROUNDDOWN((K41-950000)*33.693%,0),IF(AND(K41&gt;780000,K41&lt;950000),VLOOKUP(780000,源泉DB!$B$255:$K$255,L41+3)+ROUNDDOWN((K41-780000)*23.483%,0),IF(AND(K41&gt;740000,K41&lt;780000),VLOOKUP(740000,源泉DB!$B$254:$K$254,L41+3)+ROUNDDOWN((K41-740000)*20.42%,0),VLOOKUP(K41,源泉DB!$B$8:$K$299,L41+3))))))))),IF(F41="乙",IF(K41&gt;1700000,651900+(K41-1700000) *45.945%,IF(K41=1700000,651900,IF(AND(K41&gt;740000,K41&lt;1700000),259800+(K41-740000)*40.84%,IF(K41=740000,259800,IF(K41&lt;88000,ROUNDDOWN(K41*3.063%,9),VLOOKUP(K41,源泉DB!$B$8:$L$254,11)))))),"")),"")</f>
        <v/>
      </c>
      <c r="U41" s="165"/>
      <c r="V41" s="166"/>
      <c r="W41" s="166"/>
      <c r="X41" s="166"/>
      <c r="Y41" s="166"/>
      <c r="Z41" s="178">
        <f>ROUND(IFERROR(IF(($G41="加入"),VLOOKUP($I41,年金DB!$G$16:$P$65,6,TRUE),0),0)-0.1,0)</f>
        <v>0</v>
      </c>
      <c r="AA41" s="178">
        <f>ROUND(IFERROR(IF(AND($G41="加入",$D41&gt;=40,$D41&lt;=64),VLOOKUP($I41,年金DB!$G$16:$P$65,10,TRUE),0),0)-0.1,0)</f>
        <v>0</v>
      </c>
      <c r="AB41" s="178">
        <f>ROUND(IFERROR(IF(AND($G41="加入",$D41&lt;40),VLOOKUP($J41,年金DB!$G$16:$X$62,14,TRUE),IF(AND($G41="加入",$D41&gt;=40),VLOOKUP($J41,年金DB!$G$16:$X$62,14,TRUE),"0")),0)-0.1,0)</f>
        <v>0</v>
      </c>
      <c r="AC41" s="178">
        <f t="shared" si="3"/>
        <v>0</v>
      </c>
      <c r="AD41" s="21">
        <f t="shared" si="4"/>
        <v>0</v>
      </c>
      <c r="AE41" s="173">
        <f t="shared" si="5"/>
        <v>0</v>
      </c>
      <c r="AF41" s="14" t="str">
        <f t="shared" si="6"/>
        <v/>
      </c>
      <c r="AG41" s="14"/>
      <c r="AH41" s="14"/>
    </row>
    <row r="42" spans="1:34">
      <c r="A42" s="28"/>
      <c r="B42" s="180"/>
      <c r="C42" s="188"/>
      <c r="D42" s="161"/>
      <c r="E42" s="162"/>
      <c r="F42" s="162"/>
      <c r="G42" s="163"/>
      <c r="H42" s="285"/>
      <c r="I42" s="282"/>
      <c r="J42" s="16"/>
      <c r="K42" s="18">
        <f t="shared" si="0"/>
        <v>0</v>
      </c>
      <c r="L42" s="288">
        <v>0</v>
      </c>
      <c r="M42" s="291"/>
      <c r="N42" s="164"/>
      <c r="O42" s="164"/>
      <c r="P42" s="164"/>
      <c r="Q42" s="175">
        <f t="shared" si="1"/>
        <v>0</v>
      </c>
      <c r="R42" s="164"/>
      <c r="S42" s="197">
        <f t="shared" si="2"/>
        <v>0</v>
      </c>
      <c r="T42" s="201" t="str" cm="1">
        <f t="array" ref="T42">IFERROR(IF(F42="甲",IF(K42&gt;3500000,VLOOKUP(3500000,源泉DB!$B$261:$L$261,L42+3)+ROUNDDOWN((K42-3500000)*45.945%,0),IF(AND(K42&gt;2250000,K42&lt;3500000),VLOOKUP(2250000,源泉DB!$B$260:$K$260,L42+3)+ROUNDDOWN((K42-2250000)*40.84%,0),IF(AND(K42&gt;2210000,K42&lt;2250000),VLOOKUP(2210000,源泉DB!$B$259:$K$259,L42+3)+ROUNDDOWN((K42-2210000)*40.84%,0),IF(AND(K42&gt;2170000,K42&lt;2210000),VLOOKUP(2170000,源泉DB!$B$258:$K$258,L42+3)+ROUNDDOWN((K42-2170000)*40.84%,0),IF(AND(K42&gt;1700000,K42&lt;2170000),VLOOKUP(1700000,源泉DB!$B$257:$K$257,L42+3)+ROUNDDOWN((K42-1700000)*40.84%,0),IF(AND(K42&gt;950000,K42&lt;1700000),VLOOKUP(950000,源泉DB!$B$256:$K$256,L42+3)+ROUNDDOWN((K42-950000)*33.693%,0),IF(AND(K42&gt;780000,K42&lt;950000),VLOOKUP(780000,源泉DB!$B$255:$K$255,L42+3)+ROUNDDOWN((K42-780000)*23.483%,0),IF(AND(K42&gt;740000,K42&lt;780000),VLOOKUP(740000,源泉DB!$B$254:$K$254,L42+3)+ROUNDDOWN((K42-740000)*20.42%,0),VLOOKUP(K42,源泉DB!$B$8:$K$299,L42+3))))))))),IF(F42="乙",IF(K42&gt;1700000,651900+(K42-1700000) *45.945%,IF(K42=1700000,651900,IF(AND(K42&gt;740000,K42&lt;1700000),259800+(K42-740000)*40.84%,IF(K42=740000,259800,IF(K42&lt;88000,ROUNDDOWN(K42*3.063%,9),VLOOKUP(K42,源泉DB!$B$8:$L$254,11)))))),"")),"")</f>
        <v/>
      </c>
      <c r="U42" s="165"/>
      <c r="V42" s="166"/>
      <c r="W42" s="166"/>
      <c r="X42" s="166"/>
      <c r="Y42" s="166"/>
      <c r="Z42" s="178">
        <f>ROUND(IFERROR(IF(($G42="加入"),VLOOKUP($I42,年金DB!$G$16:$P$65,6,TRUE),0),0)-0.1,0)</f>
        <v>0</v>
      </c>
      <c r="AA42" s="178">
        <f>ROUND(IFERROR(IF(AND($G42="加入",$D42&gt;=40,$D42&lt;=64),VLOOKUP($I42,年金DB!$G$16:$P$65,10,TRUE),0),0)-0.1,0)</f>
        <v>0</v>
      </c>
      <c r="AB42" s="178">
        <f>ROUND(IFERROR(IF(AND($G42="加入",$D42&lt;40),VLOOKUP($J42,年金DB!$G$16:$X$62,14,TRUE),IF(AND($G42="加入",$D42&gt;=40),VLOOKUP($J42,年金DB!$G$16:$X$62,14,TRUE),"0")),0)-0.1,0)</f>
        <v>0</v>
      </c>
      <c r="AC42" s="178">
        <f t="shared" si="3"/>
        <v>0</v>
      </c>
      <c r="AD42" s="21">
        <f t="shared" si="4"/>
        <v>0</v>
      </c>
      <c r="AE42" s="173">
        <f t="shared" si="5"/>
        <v>0</v>
      </c>
      <c r="AF42" s="14" t="str">
        <f t="shared" si="6"/>
        <v/>
      </c>
      <c r="AG42" s="14"/>
      <c r="AH42" s="14"/>
    </row>
    <row r="43" spans="1:34">
      <c r="A43" s="28"/>
      <c r="B43" s="180"/>
      <c r="C43" s="188"/>
      <c r="D43" s="161"/>
      <c r="E43" s="162"/>
      <c r="F43" s="162"/>
      <c r="G43" s="163"/>
      <c r="H43" s="285"/>
      <c r="I43" s="282"/>
      <c r="J43" s="16"/>
      <c r="K43" s="18">
        <f t="shared" si="0"/>
        <v>0</v>
      </c>
      <c r="L43" s="288">
        <v>0</v>
      </c>
      <c r="M43" s="291"/>
      <c r="N43" s="164"/>
      <c r="O43" s="164"/>
      <c r="P43" s="164"/>
      <c r="Q43" s="175">
        <f t="shared" si="1"/>
        <v>0</v>
      </c>
      <c r="R43" s="164"/>
      <c r="S43" s="197">
        <f t="shared" si="2"/>
        <v>0</v>
      </c>
      <c r="T43" s="201" t="str" cm="1">
        <f t="array" ref="T43">IFERROR(IF(F43="甲",IF(K43&gt;3500000,VLOOKUP(3500000,源泉DB!$B$261:$L$261,L43+3)+ROUNDDOWN((K43-3500000)*45.945%,0),IF(AND(K43&gt;2250000,K43&lt;3500000),VLOOKUP(2250000,源泉DB!$B$260:$K$260,L43+3)+ROUNDDOWN((K43-2250000)*40.84%,0),IF(AND(K43&gt;2210000,K43&lt;2250000),VLOOKUP(2210000,源泉DB!$B$259:$K$259,L43+3)+ROUNDDOWN((K43-2210000)*40.84%,0),IF(AND(K43&gt;2170000,K43&lt;2210000),VLOOKUP(2170000,源泉DB!$B$258:$K$258,L43+3)+ROUNDDOWN((K43-2170000)*40.84%,0),IF(AND(K43&gt;1700000,K43&lt;2170000),VLOOKUP(1700000,源泉DB!$B$257:$K$257,L43+3)+ROUNDDOWN((K43-1700000)*40.84%,0),IF(AND(K43&gt;950000,K43&lt;1700000),VLOOKUP(950000,源泉DB!$B$256:$K$256,L43+3)+ROUNDDOWN((K43-950000)*33.693%,0),IF(AND(K43&gt;780000,K43&lt;950000),VLOOKUP(780000,源泉DB!$B$255:$K$255,L43+3)+ROUNDDOWN((K43-780000)*23.483%,0),IF(AND(K43&gt;740000,K43&lt;780000),VLOOKUP(740000,源泉DB!$B$254:$K$254,L43+3)+ROUNDDOWN((K43-740000)*20.42%,0),VLOOKUP(K43,源泉DB!$B$8:$K$299,L43+3))))))))),IF(F43="乙",IF(K43&gt;1700000,651900+(K43-1700000) *45.945%,IF(K43=1700000,651900,IF(AND(K43&gt;740000,K43&lt;1700000),259800+(K43-740000)*40.84%,IF(K43=740000,259800,IF(K43&lt;88000,ROUNDDOWN(K43*3.063%,9),VLOOKUP(K43,源泉DB!$B$8:$L$254,11)))))),"")),"")</f>
        <v/>
      </c>
      <c r="U43" s="165"/>
      <c r="V43" s="166"/>
      <c r="W43" s="166"/>
      <c r="X43" s="166"/>
      <c r="Y43" s="166"/>
      <c r="Z43" s="178">
        <f>ROUND(IFERROR(IF(($G43="加入"),VLOOKUP($I43,年金DB!$G$16:$P$65,6,TRUE),0),0)-0.1,0)</f>
        <v>0</v>
      </c>
      <c r="AA43" s="178">
        <f>ROUND(IFERROR(IF(AND($G43="加入",$D43&gt;=40,$D43&lt;=64),VLOOKUP($I43,年金DB!$G$16:$P$65,10,TRUE),0),0)-0.1,0)</f>
        <v>0</v>
      </c>
      <c r="AB43" s="178">
        <f>ROUND(IFERROR(IF(AND($G43="加入",$D43&lt;40),VLOOKUP($J43,年金DB!$G$16:$X$62,14,TRUE),IF(AND($G43="加入",$D43&gt;=40),VLOOKUP($J43,年金DB!$G$16:$X$62,14,TRUE),"0")),0)-0.1,0)</f>
        <v>0</v>
      </c>
      <c r="AC43" s="178">
        <f t="shared" si="3"/>
        <v>0</v>
      </c>
      <c r="AD43" s="21">
        <f t="shared" si="4"/>
        <v>0</v>
      </c>
      <c r="AE43" s="173">
        <f t="shared" si="5"/>
        <v>0</v>
      </c>
      <c r="AF43" s="14" t="str">
        <f t="shared" si="6"/>
        <v/>
      </c>
      <c r="AG43" s="14"/>
      <c r="AH43" s="14"/>
    </row>
    <row r="44" spans="1:34">
      <c r="A44" s="28"/>
      <c r="B44" s="180"/>
      <c r="C44" s="188"/>
      <c r="D44" s="161"/>
      <c r="E44" s="162"/>
      <c r="F44" s="162"/>
      <c r="G44" s="163"/>
      <c r="H44" s="285"/>
      <c r="I44" s="282"/>
      <c r="J44" s="16"/>
      <c r="K44" s="18">
        <f t="shared" si="0"/>
        <v>0</v>
      </c>
      <c r="L44" s="288">
        <v>0</v>
      </c>
      <c r="M44" s="291"/>
      <c r="N44" s="164"/>
      <c r="O44" s="164"/>
      <c r="P44" s="164"/>
      <c r="Q44" s="175">
        <f t="shared" si="1"/>
        <v>0</v>
      </c>
      <c r="R44" s="164"/>
      <c r="S44" s="197">
        <f t="shared" si="2"/>
        <v>0</v>
      </c>
      <c r="T44" s="201" t="str" cm="1">
        <f t="array" ref="T44">IFERROR(IF(F44="甲",IF(K44&gt;3500000,VLOOKUP(3500000,源泉DB!$B$261:$L$261,L44+3)+ROUNDDOWN((K44-3500000)*45.945%,0),IF(AND(K44&gt;2250000,K44&lt;3500000),VLOOKUP(2250000,源泉DB!$B$260:$K$260,L44+3)+ROUNDDOWN((K44-2250000)*40.84%,0),IF(AND(K44&gt;2210000,K44&lt;2250000),VLOOKUP(2210000,源泉DB!$B$259:$K$259,L44+3)+ROUNDDOWN((K44-2210000)*40.84%,0),IF(AND(K44&gt;2170000,K44&lt;2210000),VLOOKUP(2170000,源泉DB!$B$258:$K$258,L44+3)+ROUNDDOWN((K44-2170000)*40.84%,0),IF(AND(K44&gt;1700000,K44&lt;2170000),VLOOKUP(1700000,源泉DB!$B$257:$K$257,L44+3)+ROUNDDOWN((K44-1700000)*40.84%,0),IF(AND(K44&gt;950000,K44&lt;1700000),VLOOKUP(950000,源泉DB!$B$256:$K$256,L44+3)+ROUNDDOWN((K44-950000)*33.693%,0),IF(AND(K44&gt;780000,K44&lt;950000),VLOOKUP(780000,源泉DB!$B$255:$K$255,L44+3)+ROUNDDOWN((K44-780000)*23.483%,0),IF(AND(K44&gt;740000,K44&lt;780000),VLOOKUP(740000,源泉DB!$B$254:$K$254,L44+3)+ROUNDDOWN((K44-740000)*20.42%,0),VLOOKUP(K44,源泉DB!$B$8:$K$299,L44+3))))))))),IF(F44="乙",IF(K44&gt;1700000,651900+(K44-1700000) *45.945%,IF(K44=1700000,651900,IF(AND(K44&gt;740000,K44&lt;1700000),259800+(K44-740000)*40.84%,IF(K44=740000,259800,IF(K44&lt;88000,ROUNDDOWN(K44*3.063%,9),VLOOKUP(K44,源泉DB!$B$8:$L$254,11)))))),"")),"")</f>
        <v/>
      </c>
      <c r="U44" s="165"/>
      <c r="V44" s="166"/>
      <c r="W44" s="166"/>
      <c r="X44" s="166"/>
      <c r="Y44" s="166"/>
      <c r="Z44" s="178">
        <f>ROUND(IFERROR(IF(($G44="加入"),VLOOKUP($I44,年金DB!$G$16:$P$65,6,TRUE),0),0)-0.1,0)</f>
        <v>0</v>
      </c>
      <c r="AA44" s="178">
        <f>ROUND(IFERROR(IF(AND($G44="加入",$D44&gt;=40,$D44&lt;=64),VLOOKUP($I44,年金DB!$G$16:$P$65,10,TRUE),0),0)-0.1,0)</f>
        <v>0</v>
      </c>
      <c r="AB44" s="178">
        <f>ROUND(IFERROR(IF(AND($G44="加入",$D44&lt;40),VLOOKUP($J44,年金DB!$G$16:$X$62,14,TRUE),IF(AND($G44="加入",$D44&gt;=40),VLOOKUP($J44,年金DB!$G$16:$X$62,14,TRUE),"0")),0)-0.1,0)</f>
        <v>0</v>
      </c>
      <c r="AC44" s="178">
        <f t="shared" si="3"/>
        <v>0</v>
      </c>
      <c r="AD44" s="21">
        <f t="shared" si="4"/>
        <v>0</v>
      </c>
      <c r="AE44" s="173">
        <f t="shared" si="5"/>
        <v>0</v>
      </c>
      <c r="AF44" s="14" t="str">
        <f t="shared" si="6"/>
        <v/>
      </c>
      <c r="AG44" s="14"/>
      <c r="AH44" s="14"/>
    </row>
    <row r="45" spans="1:34">
      <c r="A45" s="28"/>
      <c r="B45" s="180"/>
      <c r="C45" s="188"/>
      <c r="D45" s="161"/>
      <c r="E45" s="162"/>
      <c r="F45" s="162"/>
      <c r="G45" s="163"/>
      <c r="H45" s="285"/>
      <c r="I45" s="282"/>
      <c r="J45" s="16"/>
      <c r="K45" s="18">
        <f t="shared" si="0"/>
        <v>0</v>
      </c>
      <c r="L45" s="288">
        <v>0</v>
      </c>
      <c r="M45" s="291"/>
      <c r="N45" s="164"/>
      <c r="O45" s="164"/>
      <c r="P45" s="164"/>
      <c r="Q45" s="175">
        <f t="shared" si="1"/>
        <v>0</v>
      </c>
      <c r="R45" s="164"/>
      <c r="S45" s="197">
        <f t="shared" si="2"/>
        <v>0</v>
      </c>
      <c r="T45" s="201" t="str" cm="1">
        <f t="array" ref="T45">IFERROR(IF(F45="甲",IF(K45&gt;3500000,VLOOKUP(3500000,源泉DB!$B$261:$L$261,L45+3)+ROUNDDOWN((K45-3500000)*45.945%,0),IF(AND(K45&gt;2250000,K45&lt;3500000),VLOOKUP(2250000,源泉DB!$B$260:$K$260,L45+3)+ROUNDDOWN((K45-2250000)*40.84%,0),IF(AND(K45&gt;2210000,K45&lt;2250000),VLOOKUP(2210000,源泉DB!$B$259:$K$259,L45+3)+ROUNDDOWN((K45-2210000)*40.84%,0),IF(AND(K45&gt;2170000,K45&lt;2210000),VLOOKUP(2170000,源泉DB!$B$258:$K$258,L45+3)+ROUNDDOWN((K45-2170000)*40.84%,0),IF(AND(K45&gt;1700000,K45&lt;2170000),VLOOKUP(1700000,源泉DB!$B$257:$K$257,L45+3)+ROUNDDOWN((K45-1700000)*40.84%,0),IF(AND(K45&gt;950000,K45&lt;1700000),VLOOKUP(950000,源泉DB!$B$256:$K$256,L45+3)+ROUNDDOWN((K45-950000)*33.693%,0),IF(AND(K45&gt;780000,K45&lt;950000),VLOOKUP(780000,源泉DB!$B$255:$K$255,L45+3)+ROUNDDOWN((K45-780000)*23.483%,0),IF(AND(K45&gt;740000,K45&lt;780000),VLOOKUP(740000,源泉DB!$B$254:$K$254,L45+3)+ROUNDDOWN((K45-740000)*20.42%,0),VLOOKUP(K45,源泉DB!$B$8:$K$299,L45+3))))))))),IF(F45="乙",IF(K45&gt;1700000,651900+(K45-1700000) *45.945%,IF(K45=1700000,651900,IF(AND(K45&gt;740000,K45&lt;1700000),259800+(K45-740000)*40.84%,IF(K45=740000,259800,IF(K45&lt;88000,ROUNDDOWN(K45*3.063%,9),VLOOKUP(K45,源泉DB!$B$8:$L$254,11)))))),"")),"")</f>
        <v/>
      </c>
      <c r="U45" s="165"/>
      <c r="V45" s="166"/>
      <c r="W45" s="166"/>
      <c r="X45" s="166"/>
      <c r="Y45" s="166"/>
      <c r="Z45" s="178">
        <f>ROUND(IFERROR(IF(($G45="加入"),VLOOKUP($I45,年金DB!$G$16:$P$65,6,TRUE),0),0)-0.1,0)</f>
        <v>0</v>
      </c>
      <c r="AA45" s="178">
        <f>ROUND(IFERROR(IF(AND($G45="加入",$D45&gt;=40,$D45&lt;=64),VLOOKUP($I45,年金DB!$G$16:$P$65,10,TRUE),0),0)-0.1,0)</f>
        <v>0</v>
      </c>
      <c r="AB45" s="178">
        <f>ROUND(IFERROR(IF(AND($G45="加入",$D45&lt;40),VLOOKUP($J45,年金DB!$G$16:$X$62,14,TRUE),IF(AND($G45="加入",$D45&gt;=40),VLOOKUP($J45,年金DB!$G$16:$X$62,14,TRUE),"0")),0)-0.1,0)</f>
        <v>0</v>
      </c>
      <c r="AC45" s="178">
        <f t="shared" si="3"/>
        <v>0</v>
      </c>
      <c r="AD45" s="21">
        <f t="shared" si="4"/>
        <v>0</v>
      </c>
      <c r="AE45" s="173">
        <f t="shared" si="5"/>
        <v>0</v>
      </c>
      <c r="AF45" s="14" t="str">
        <f t="shared" si="6"/>
        <v/>
      </c>
      <c r="AG45" s="14"/>
      <c r="AH45" s="14"/>
    </row>
    <row r="46" spans="1:34">
      <c r="A46" s="28"/>
      <c r="B46" s="180"/>
      <c r="C46" s="188"/>
      <c r="D46" s="161"/>
      <c r="E46" s="162"/>
      <c r="F46" s="162"/>
      <c r="G46" s="163"/>
      <c r="H46" s="285"/>
      <c r="I46" s="282"/>
      <c r="J46" s="16"/>
      <c r="K46" s="18">
        <f t="shared" si="0"/>
        <v>0</v>
      </c>
      <c r="L46" s="288">
        <v>0</v>
      </c>
      <c r="M46" s="291"/>
      <c r="N46" s="164"/>
      <c r="O46" s="164"/>
      <c r="P46" s="164"/>
      <c r="Q46" s="175">
        <f t="shared" si="1"/>
        <v>0</v>
      </c>
      <c r="R46" s="164"/>
      <c r="S46" s="197">
        <f t="shared" si="2"/>
        <v>0</v>
      </c>
      <c r="T46" s="201" t="str" cm="1">
        <f t="array" ref="T46">IFERROR(IF(F46="甲",IF(K46&gt;3500000,VLOOKUP(3500000,源泉DB!$B$261:$L$261,L46+3)+ROUNDDOWN((K46-3500000)*45.945%,0),IF(AND(K46&gt;2250000,K46&lt;3500000),VLOOKUP(2250000,源泉DB!$B$260:$K$260,L46+3)+ROUNDDOWN((K46-2250000)*40.84%,0),IF(AND(K46&gt;2210000,K46&lt;2250000),VLOOKUP(2210000,源泉DB!$B$259:$K$259,L46+3)+ROUNDDOWN((K46-2210000)*40.84%,0),IF(AND(K46&gt;2170000,K46&lt;2210000),VLOOKUP(2170000,源泉DB!$B$258:$K$258,L46+3)+ROUNDDOWN((K46-2170000)*40.84%,0),IF(AND(K46&gt;1700000,K46&lt;2170000),VLOOKUP(1700000,源泉DB!$B$257:$K$257,L46+3)+ROUNDDOWN((K46-1700000)*40.84%,0),IF(AND(K46&gt;950000,K46&lt;1700000),VLOOKUP(950000,源泉DB!$B$256:$K$256,L46+3)+ROUNDDOWN((K46-950000)*33.693%,0),IF(AND(K46&gt;780000,K46&lt;950000),VLOOKUP(780000,源泉DB!$B$255:$K$255,L46+3)+ROUNDDOWN((K46-780000)*23.483%,0),IF(AND(K46&gt;740000,K46&lt;780000),VLOOKUP(740000,源泉DB!$B$254:$K$254,L46+3)+ROUNDDOWN((K46-740000)*20.42%,0),VLOOKUP(K46,源泉DB!$B$8:$K$299,L46+3))))))))),IF(F46="乙",IF(K46&gt;1700000,651900+(K46-1700000) *45.945%,IF(K46=1700000,651900,IF(AND(K46&gt;740000,K46&lt;1700000),259800+(K46-740000)*40.84%,IF(K46=740000,259800,IF(K46&lt;88000,ROUNDDOWN(K46*3.063%,9),VLOOKUP(K46,源泉DB!$B$8:$L$254,11)))))),"")),"")</f>
        <v/>
      </c>
      <c r="U46" s="165"/>
      <c r="V46" s="166"/>
      <c r="W46" s="166"/>
      <c r="X46" s="166"/>
      <c r="Y46" s="166"/>
      <c r="Z46" s="178">
        <f>ROUND(IFERROR(IF(($G46="加入"),VLOOKUP($I46,年金DB!$G$16:$P$65,6,TRUE),0),0)-0.1,0)</f>
        <v>0</v>
      </c>
      <c r="AA46" s="178">
        <f>ROUND(IFERROR(IF(AND($G46="加入",$D46&gt;=40,$D46&lt;=64),VLOOKUP($I46,年金DB!$G$16:$P$65,10,TRUE),0),0)-0.1,0)</f>
        <v>0</v>
      </c>
      <c r="AB46" s="178">
        <f>ROUND(IFERROR(IF(AND($G46="加入",$D46&lt;40),VLOOKUP($J46,年金DB!$G$16:$X$62,14,TRUE),IF(AND($G46="加入",$D46&gt;=40),VLOOKUP($J46,年金DB!$G$16:$X$62,14,TRUE),"0")),0)-0.1,0)</f>
        <v>0</v>
      </c>
      <c r="AC46" s="178">
        <f t="shared" si="3"/>
        <v>0</v>
      </c>
      <c r="AD46" s="21">
        <f t="shared" si="4"/>
        <v>0</v>
      </c>
      <c r="AE46" s="173">
        <f t="shared" si="5"/>
        <v>0</v>
      </c>
      <c r="AF46" s="14" t="str">
        <f t="shared" si="6"/>
        <v/>
      </c>
      <c r="AG46" s="14"/>
      <c r="AH46" s="14"/>
    </row>
    <row r="47" spans="1:34">
      <c r="A47" s="28"/>
      <c r="B47" s="180"/>
      <c r="C47" s="188"/>
      <c r="D47" s="161"/>
      <c r="E47" s="162"/>
      <c r="F47" s="162"/>
      <c r="G47" s="163"/>
      <c r="H47" s="285"/>
      <c r="I47" s="282"/>
      <c r="J47" s="16"/>
      <c r="K47" s="18">
        <f t="shared" si="0"/>
        <v>0</v>
      </c>
      <c r="L47" s="288">
        <v>0</v>
      </c>
      <c r="M47" s="291"/>
      <c r="N47" s="164"/>
      <c r="O47" s="164"/>
      <c r="P47" s="164"/>
      <c r="Q47" s="175">
        <f t="shared" si="1"/>
        <v>0</v>
      </c>
      <c r="R47" s="164"/>
      <c r="S47" s="197">
        <f t="shared" si="2"/>
        <v>0</v>
      </c>
      <c r="T47" s="201" t="str" cm="1">
        <f t="array" ref="T47">IFERROR(IF(F47="甲",IF(K47&gt;3500000,VLOOKUP(3500000,源泉DB!$B$261:$L$261,L47+3)+ROUNDDOWN((K47-3500000)*45.945%,0),IF(AND(K47&gt;2250000,K47&lt;3500000),VLOOKUP(2250000,源泉DB!$B$260:$K$260,L47+3)+ROUNDDOWN((K47-2250000)*40.84%,0),IF(AND(K47&gt;2210000,K47&lt;2250000),VLOOKUP(2210000,源泉DB!$B$259:$K$259,L47+3)+ROUNDDOWN((K47-2210000)*40.84%,0),IF(AND(K47&gt;2170000,K47&lt;2210000),VLOOKUP(2170000,源泉DB!$B$258:$K$258,L47+3)+ROUNDDOWN((K47-2170000)*40.84%,0),IF(AND(K47&gt;1700000,K47&lt;2170000),VLOOKUP(1700000,源泉DB!$B$257:$K$257,L47+3)+ROUNDDOWN((K47-1700000)*40.84%,0),IF(AND(K47&gt;950000,K47&lt;1700000),VLOOKUP(950000,源泉DB!$B$256:$K$256,L47+3)+ROUNDDOWN((K47-950000)*33.693%,0),IF(AND(K47&gt;780000,K47&lt;950000),VLOOKUP(780000,源泉DB!$B$255:$K$255,L47+3)+ROUNDDOWN((K47-780000)*23.483%,0),IF(AND(K47&gt;740000,K47&lt;780000),VLOOKUP(740000,源泉DB!$B$254:$K$254,L47+3)+ROUNDDOWN((K47-740000)*20.42%,0),VLOOKUP(K47,源泉DB!$B$8:$K$299,L47+3))))))))),IF(F47="乙",IF(K47&gt;1700000,651900+(K47-1700000) *45.945%,IF(K47=1700000,651900,IF(AND(K47&gt;740000,K47&lt;1700000),259800+(K47-740000)*40.84%,IF(K47=740000,259800,IF(K47&lt;88000,ROUNDDOWN(K47*3.063%,9),VLOOKUP(K47,源泉DB!$B$8:$L$254,11)))))),"")),"")</f>
        <v/>
      </c>
      <c r="U47" s="165"/>
      <c r="V47" s="166"/>
      <c r="W47" s="166"/>
      <c r="X47" s="166"/>
      <c r="Y47" s="166"/>
      <c r="Z47" s="178">
        <f>ROUND(IFERROR(IF(($G47="加入"),VLOOKUP($I47,年金DB!$G$16:$P$65,6,TRUE),0),0)-0.1,0)</f>
        <v>0</v>
      </c>
      <c r="AA47" s="178">
        <f>ROUND(IFERROR(IF(AND($G47="加入",$D47&gt;=40,$D47&lt;=64),VLOOKUP($I47,年金DB!$G$16:$P$65,10,TRUE),0),0)-0.1,0)</f>
        <v>0</v>
      </c>
      <c r="AB47" s="178">
        <f>ROUND(IFERROR(IF(AND($G47="加入",$D47&lt;40),VLOOKUP($J47,年金DB!$G$16:$X$62,14,TRUE),IF(AND($G47="加入",$D47&gt;=40),VLOOKUP($J47,年金DB!$G$16:$X$62,14,TRUE),"0")),0)-0.1,0)</f>
        <v>0</v>
      </c>
      <c r="AC47" s="178">
        <f t="shared" si="3"/>
        <v>0</v>
      </c>
      <c r="AD47" s="21">
        <f t="shared" si="4"/>
        <v>0</v>
      </c>
      <c r="AE47" s="173">
        <f t="shared" si="5"/>
        <v>0</v>
      </c>
      <c r="AF47" s="14" t="str">
        <f t="shared" si="6"/>
        <v/>
      </c>
      <c r="AG47" s="14"/>
      <c r="AH47" s="14"/>
    </row>
    <row r="48" spans="1:34">
      <c r="A48" s="28"/>
      <c r="B48" s="180"/>
      <c r="C48" s="188"/>
      <c r="D48" s="161"/>
      <c r="E48" s="162"/>
      <c r="F48" s="162"/>
      <c r="G48" s="163"/>
      <c r="H48" s="285"/>
      <c r="I48" s="282"/>
      <c r="J48" s="16"/>
      <c r="K48" s="18">
        <f t="shared" si="0"/>
        <v>0</v>
      </c>
      <c r="L48" s="288">
        <v>0</v>
      </c>
      <c r="M48" s="291"/>
      <c r="N48" s="164"/>
      <c r="O48" s="164"/>
      <c r="P48" s="164"/>
      <c r="Q48" s="175">
        <f t="shared" si="1"/>
        <v>0</v>
      </c>
      <c r="R48" s="164"/>
      <c r="S48" s="197">
        <f t="shared" si="2"/>
        <v>0</v>
      </c>
      <c r="T48" s="201" t="str" cm="1">
        <f t="array" ref="T48">IFERROR(IF(F48="甲",IF(K48&gt;3500000,VLOOKUP(3500000,源泉DB!$B$261:$L$261,L48+3)+ROUNDDOWN((K48-3500000)*45.945%,0),IF(AND(K48&gt;2250000,K48&lt;3500000),VLOOKUP(2250000,源泉DB!$B$260:$K$260,L48+3)+ROUNDDOWN((K48-2250000)*40.84%,0),IF(AND(K48&gt;2210000,K48&lt;2250000),VLOOKUP(2210000,源泉DB!$B$259:$K$259,L48+3)+ROUNDDOWN((K48-2210000)*40.84%,0),IF(AND(K48&gt;2170000,K48&lt;2210000),VLOOKUP(2170000,源泉DB!$B$258:$K$258,L48+3)+ROUNDDOWN((K48-2170000)*40.84%,0),IF(AND(K48&gt;1700000,K48&lt;2170000),VLOOKUP(1700000,源泉DB!$B$257:$K$257,L48+3)+ROUNDDOWN((K48-1700000)*40.84%,0),IF(AND(K48&gt;950000,K48&lt;1700000),VLOOKUP(950000,源泉DB!$B$256:$K$256,L48+3)+ROUNDDOWN((K48-950000)*33.693%,0),IF(AND(K48&gt;780000,K48&lt;950000),VLOOKUP(780000,源泉DB!$B$255:$K$255,L48+3)+ROUNDDOWN((K48-780000)*23.483%,0),IF(AND(K48&gt;740000,K48&lt;780000),VLOOKUP(740000,源泉DB!$B$254:$K$254,L48+3)+ROUNDDOWN((K48-740000)*20.42%,0),VLOOKUP(K48,源泉DB!$B$8:$K$299,L48+3))))))))),IF(F48="乙",IF(K48&gt;1700000,651900+(K48-1700000) *45.945%,IF(K48=1700000,651900,IF(AND(K48&gt;740000,K48&lt;1700000),259800+(K48-740000)*40.84%,IF(K48=740000,259800,IF(K48&lt;88000,ROUNDDOWN(K48*3.063%,9),VLOOKUP(K48,源泉DB!$B$8:$L$254,11)))))),"")),"")</f>
        <v/>
      </c>
      <c r="U48" s="165"/>
      <c r="V48" s="166"/>
      <c r="W48" s="166"/>
      <c r="X48" s="166"/>
      <c r="Y48" s="166"/>
      <c r="Z48" s="178">
        <f>ROUND(IFERROR(IF(($G48="加入"),VLOOKUP($I48,年金DB!$G$16:$P$65,6,TRUE),0),0)-0.1,0)</f>
        <v>0</v>
      </c>
      <c r="AA48" s="178">
        <f>ROUND(IFERROR(IF(AND($G48="加入",$D48&gt;=40,$D48&lt;=64),VLOOKUP($I48,年金DB!$G$16:$P$65,10,TRUE),0),0)-0.1,0)</f>
        <v>0</v>
      </c>
      <c r="AB48" s="178">
        <f>ROUND(IFERROR(IF(AND($G48="加入",$D48&lt;40),VLOOKUP($J48,年金DB!$G$16:$X$62,14,TRUE),IF(AND($G48="加入",$D48&gt;=40),VLOOKUP($J48,年金DB!$G$16:$X$62,14,TRUE),"0")),0)-0.1,0)</f>
        <v>0</v>
      </c>
      <c r="AC48" s="178">
        <f t="shared" si="3"/>
        <v>0</v>
      </c>
      <c r="AD48" s="21">
        <f t="shared" si="4"/>
        <v>0</v>
      </c>
      <c r="AE48" s="173">
        <f t="shared" si="5"/>
        <v>0</v>
      </c>
      <c r="AF48" s="14" t="str">
        <f t="shared" si="6"/>
        <v/>
      </c>
      <c r="AG48" s="14"/>
      <c r="AH48" s="14"/>
    </row>
    <row r="49" spans="1:34">
      <c r="A49" s="28"/>
      <c r="B49" s="180"/>
      <c r="C49" s="188"/>
      <c r="D49" s="161"/>
      <c r="E49" s="162"/>
      <c r="F49" s="162"/>
      <c r="G49" s="163"/>
      <c r="H49" s="285"/>
      <c r="I49" s="282"/>
      <c r="J49" s="16"/>
      <c r="K49" s="18">
        <f t="shared" si="0"/>
        <v>0</v>
      </c>
      <c r="L49" s="288">
        <v>0</v>
      </c>
      <c r="M49" s="291"/>
      <c r="N49" s="164"/>
      <c r="O49" s="164"/>
      <c r="P49" s="164"/>
      <c r="Q49" s="175">
        <f t="shared" si="1"/>
        <v>0</v>
      </c>
      <c r="R49" s="164"/>
      <c r="S49" s="197">
        <f t="shared" si="2"/>
        <v>0</v>
      </c>
      <c r="T49" s="201" t="str" cm="1">
        <f t="array" ref="T49">IFERROR(IF(F49="甲",IF(K49&gt;3500000,VLOOKUP(3500000,源泉DB!$B$261:$L$261,L49+3)+ROUNDDOWN((K49-3500000)*45.945%,0),IF(AND(K49&gt;2250000,K49&lt;3500000),VLOOKUP(2250000,源泉DB!$B$260:$K$260,L49+3)+ROUNDDOWN((K49-2250000)*40.84%,0),IF(AND(K49&gt;2210000,K49&lt;2250000),VLOOKUP(2210000,源泉DB!$B$259:$K$259,L49+3)+ROUNDDOWN((K49-2210000)*40.84%,0),IF(AND(K49&gt;2170000,K49&lt;2210000),VLOOKUP(2170000,源泉DB!$B$258:$K$258,L49+3)+ROUNDDOWN((K49-2170000)*40.84%,0),IF(AND(K49&gt;1700000,K49&lt;2170000),VLOOKUP(1700000,源泉DB!$B$257:$K$257,L49+3)+ROUNDDOWN((K49-1700000)*40.84%,0),IF(AND(K49&gt;950000,K49&lt;1700000),VLOOKUP(950000,源泉DB!$B$256:$K$256,L49+3)+ROUNDDOWN((K49-950000)*33.693%,0),IF(AND(K49&gt;780000,K49&lt;950000),VLOOKUP(780000,源泉DB!$B$255:$K$255,L49+3)+ROUNDDOWN((K49-780000)*23.483%,0),IF(AND(K49&gt;740000,K49&lt;780000),VLOOKUP(740000,源泉DB!$B$254:$K$254,L49+3)+ROUNDDOWN((K49-740000)*20.42%,0),VLOOKUP(K49,源泉DB!$B$8:$K$299,L49+3))))))))),IF(F49="乙",IF(K49&gt;1700000,651900+(K49-1700000) *45.945%,IF(K49=1700000,651900,IF(AND(K49&gt;740000,K49&lt;1700000),259800+(K49-740000)*40.84%,IF(K49=740000,259800,IF(K49&lt;88000,ROUNDDOWN(K49*3.063%,9),VLOOKUP(K49,源泉DB!$B$8:$L$254,11)))))),"")),"")</f>
        <v/>
      </c>
      <c r="U49" s="165"/>
      <c r="V49" s="166"/>
      <c r="W49" s="166"/>
      <c r="X49" s="166"/>
      <c r="Y49" s="166"/>
      <c r="Z49" s="178">
        <f>ROUND(IFERROR(IF(($G49="加入"),VLOOKUP($I49,年金DB!$G$16:$P$65,6,TRUE),0),0)-0.1,0)</f>
        <v>0</v>
      </c>
      <c r="AA49" s="178">
        <f>ROUND(IFERROR(IF(AND($G49="加入",$D49&gt;=40,$D49&lt;=64),VLOOKUP($I49,年金DB!$G$16:$P$65,10,TRUE),0),0)-0.1,0)</f>
        <v>0</v>
      </c>
      <c r="AB49" s="178">
        <f>ROUND(IFERROR(IF(AND($G49="加入",$D49&lt;40),VLOOKUP($J49,年金DB!$G$16:$X$62,14,TRUE),IF(AND($G49="加入",$D49&gt;=40),VLOOKUP($J49,年金DB!$G$16:$X$62,14,TRUE),"0")),0)-0.1,0)</f>
        <v>0</v>
      </c>
      <c r="AC49" s="178">
        <f t="shared" si="3"/>
        <v>0</v>
      </c>
      <c r="AD49" s="21">
        <f t="shared" si="4"/>
        <v>0</v>
      </c>
      <c r="AE49" s="173">
        <f t="shared" si="5"/>
        <v>0</v>
      </c>
      <c r="AF49" s="14" t="str">
        <f t="shared" si="6"/>
        <v/>
      </c>
      <c r="AG49" s="14"/>
      <c r="AH49" s="14"/>
    </row>
    <row r="50" spans="1:34">
      <c r="A50" s="28"/>
      <c r="B50" s="180"/>
      <c r="C50" s="188"/>
      <c r="D50" s="161"/>
      <c r="E50" s="162"/>
      <c r="F50" s="162"/>
      <c r="G50" s="163"/>
      <c r="H50" s="285"/>
      <c r="I50" s="282"/>
      <c r="J50" s="16"/>
      <c r="K50" s="18">
        <f t="shared" si="0"/>
        <v>0</v>
      </c>
      <c r="L50" s="288">
        <v>0</v>
      </c>
      <c r="M50" s="291"/>
      <c r="N50" s="164"/>
      <c r="O50" s="164"/>
      <c r="P50" s="164"/>
      <c r="Q50" s="175">
        <f t="shared" si="1"/>
        <v>0</v>
      </c>
      <c r="R50" s="164"/>
      <c r="S50" s="197">
        <f t="shared" si="2"/>
        <v>0</v>
      </c>
      <c r="T50" s="201" t="str" cm="1">
        <f t="array" ref="T50">IFERROR(IF(F50="甲",IF(K50&gt;3500000,VLOOKUP(3500000,源泉DB!$B$261:$L$261,L50+3)+ROUNDDOWN((K50-3500000)*45.945%,0),IF(AND(K50&gt;2250000,K50&lt;3500000),VLOOKUP(2250000,源泉DB!$B$260:$K$260,L50+3)+ROUNDDOWN((K50-2250000)*40.84%,0),IF(AND(K50&gt;2210000,K50&lt;2250000),VLOOKUP(2210000,源泉DB!$B$259:$K$259,L50+3)+ROUNDDOWN((K50-2210000)*40.84%,0),IF(AND(K50&gt;2170000,K50&lt;2210000),VLOOKUP(2170000,源泉DB!$B$258:$K$258,L50+3)+ROUNDDOWN((K50-2170000)*40.84%,0),IF(AND(K50&gt;1700000,K50&lt;2170000),VLOOKUP(1700000,源泉DB!$B$257:$K$257,L50+3)+ROUNDDOWN((K50-1700000)*40.84%,0),IF(AND(K50&gt;950000,K50&lt;1700000),VLOOKUP(950000,源泉DB!$B$256:$K$256,L50+3)+ROUNDDOWN((K50-950000)*33.693%,0),IF(AND(K50&gt;780000,K50&lt;950000),VLOOKUP(780000,源泉DB!$B$255:$K$255,L50+3)+ROUNDDOWN((K50-780000)*23.483%,0),IF(AND(K50&gt;740000,K50&lt;780000),VLOOKUP(740000,源泉DB!$B$254:$K$254,L50+3)+ROUNDDOWN((K50-740000)*20.42%,0),VLOOKUP(K50,源泉DB!$B$8:$K$299,L50+3))))))))),IF(F50="乙",IF(K50&gt;1700000,651900+(K50-1700000) *45.945%,IF(K50=1700000,651900,IF(AND(K50&gt;740000,K50&lt;1700000),259800+(K50-740000)*40.84%,IF(K50=740000,259800,IF(K50&lt;88000,ROUNDDOWN(K50*3.063%,9),VLOOKUP(K50,源泉DB!$B$8:$L$254,11)))))),"")),"")</f>
        <v/>
      </c>
      <c r="U50" s="165"/>
      <c r="V50" s="166"/>
      <c r="W50" s="166"/>
      <c r="X50" s="166"/>
      <c r="Y50" s="166"/>
      <c r="Z50" s="178">
        <f>ROUND(IFERROR(IF(($G50="加入"),VLOOKUP($I50,年金DB!$G$16:$P$65,6,TRUE),0),0)-0.1,0)</f>
        <v>0</v>
      </c>
      <c r="AA50" s="178">
        <f>ROUND(IFERROR(IF(AND($G50="加入",$D50&gt;=40,$D50&lt;=64),VLOOKUP($I50,年金DB!$G$16:$P$65,10,TRUE),0),0)-0.1,0)</f>
        <v>0</v>
      </c>
      <c r="AB50" s="178">
        <f>ROUND(IFERROR(IF(AND($G50="加入",$D50&lt;40),VLOOKUP($J50,年金DB!$G$16:$X$62,14,TRUE),IF(AND($G50="加入",$D50&gt;=40),VLOOKUP($J50,年金DB!$G$16:$X$62,14,TRUE),"0")),0)-0.1,0)</f>
        <v>0</v>
      </c>
      <c r="AC50" s="178">
        <f t="shared" si="3"/>
        <v>0</v>
      </c>
      <c r="AD50" s="21">
        <f t="shared" si="4"/>
        <v>0</v>
      </c>
      <c r="AE50" s="173">
        <f t="shared" si="5"/>
        <v>0</v>
      </c>
      <c r="AF50" s="14" t="str">
        <f t="shared" si="6"/>
        <v/>
      </c>
      <c r="AG50" s="14"/>
      <c r="AH50" s="14"/>
    </row>
    <row r="51" spans="1:34">
      <c r="A51" s="28"/>
      <c r="B51" s="180"/>
      <c r="C51" s="188"/>
      <c r="D51" s="161"/>
      <c r="E51" s="162"/>
      <c r="F51" s="162"/>
      <c r="G51" s="163"/>
      <c r="H51" s="285"/>
      <c r="I51" s="282"/>
      <c r="J51" s="16"/>
      <c r="K51" s="18">
        <f t="shared" si="0"/>
        <v>0</v>
      </c>
      <c r="L51" s="288">
        <v>0</v>
      </c>
      <c r="M51" s="291"/>
      <c r="N51" s="164"/>
      <c r="O51" s="164"/>
      <c r="P51" s="164"/>
      <c r="Q51" s="175">
        <f t="shared" si="1"/>
        <v>0</v>
      </c>
      <c r="R51" s="164"/>
      <c r="S51" s="197">
        <f t="shared" si="2"/>
        <v>0</v>
      </c>
      <c r="T51" s="201" t="str" cm="1">
        <f t="array" ref="T51">IFERROR(IF(F51="甲",IF(K51&gt;3500000,VLOOKUP(3500000,源泉DB!$B$261:$L$261,L51+3)+ROUNDDOWN((K51-3500000)*45.945%,0),IF(AND(K51&gt;2250000,K51&lt;3500000),VLOOKUP(2250000,源泉DB!$B$260:$K$260,L51+3)+ROUNDDOWN((K51-2250000)*40.84%,0),IF(AND(K51&gt;2210000,K51&lt;2250000),VLOOKUP(2210000,源泉DB!$B$259:$K$259,L51+3)+ROUNDDOWN((K51-2210000)*40.84%,0),IF(AND(K51&gt;2170000,K51&lt;2210000),VLOOKUP(2170000,源泉DB!$B$258:$K$258,L51+3)+ROUNDDOWN((K51-2170000)*40.84%,0),IF(AND(K51&gt;1700000,K51&lt;2170000),VLOOKUP(1700000,源泉DB!$B$257:$K$257,L51+3)+ROUNDDOWN((K51-1700000)*40.84%,0),IF(AND(K51&gt;950000,K51&lt;1700000),VLOOKUP(950000,源泉DB!$B$256:$K$256,L51+3)+ROUNDDOWN((K51-950000)*33.693%,0),IF(AND(K51&gt;780000,K51&lt;950000),VLOOKUP(780000,源泉DB!$B$255:$K$255,L51+3)+ROUNDDOWN((K51-780000)*23.483%,0),IF(AND(K51&gt;740000,K51&lt;780000),VLOOKUP(740000,源泉DB!$B$254:$K$254,L51+3)+ROUNDDOWN((K51-740000)*20.42%,0),VLOOKUP(K51,源泉DB!$B$8:$K$299,L51+3))))))))),IF(F51="乙",IF(K51&gt;1700000,651900+(K51-1700000) *45.945%,IF(K51=1700000,651900,IF(AND(K51&gt;740000,K51&lt;1700000),259800+(K51-740000)*40.84%,IF(K51=740000,259800,IF(K51&lt;88000,ROUNDDOWN(K51*3.063%,9),VLOOKUP(K51,源泉DB!$B$8:$L$254,11)))))),"")),"")</f>
        <v/>
      </c>
      <c r="U51" s="165"/>
      <c r="V51" s="166"/>
      <c r="W51" s="166"/>
      <c r="X51" s="166"/>
      <c r="Y51" s="166"/>
      <c r="Z51" s="178">
        <f>ROUND(IFERROR(IF(($G51="加入"),VLOOKUP($I51,年金DB!$G$16:$P$65,6,TRUE),0),0)-0.1,0)</f>
        <v>0</v>
      </c>
      <c r="AA51" s="178">
        <f>ROUND(IFERROR(IF(AND($G51="加入",$D51&gt;=40,$D51&lt;=64),VLOOKUP($I51,年金DB!$G$16:$P$65,10,TRUE),0),0)-0.1,0)</f>
        <v>0</v>
      </c>
      <c r="AB51" s="178">
        <f>ROUND(IFERROR(IF(AND($G51="加入",$D51&lt;40),VLOOKUP($J51,年金DB!$G$16:$X$62,14,TRUE),IF(AND($G51="加入",$D51&gt;=40),VLOOKUP($J51,年金DB!$G$16:$X$62,14,TRUE),"0")),0)-0.1,0)</f>
        <v>0</v>
      </c>
      <c r="AC51" s="178">
        <f t="shared" si="3"/>
        <v>0</v>
      </c>
      <c r="AD51" s="21">
        <f t="shared" si="4"/>
        <v>0</v>
      </c>
      <c r="AE51" s="173">
        <f t="shared" si="5"/>
        <v>0</v>
      </c>
      <c r="AF51" s="14" t="str">
        <f t="shared" si="6"/>
        <v/>
      </c>
      <c r="AG51" s="14"/>
      <c r="AH51" s="14"/>
    </row>
    <row r="52" spans="1:34">
      <c r="A52" s="28"/>
      <c r="B52" s="180"/>
      <c r="C52" s="188"/>
      <c r="D52" s="161"/>
      <c r="E52" s="162"/>
      <c r="F52" s="162"/>
      <c r="G52" s="163"/>
      <c r="H52" s="285"/>
      <c r="I52" s="282"/>
      <c r="J52" s="16"/>
      <c r="K52" s="18">
        <f t="shared" si="0"/>
        <v>0</v>
      </c>
      <c r="L52" s="288">
        <v>0</v>
      </c>
      <c r="M52" s="291"/>
      <c r="N52" s="164"/>
      <c r="O52" s="164"/>
      <c r="P52" s="164"/>
      <c r="Q52" s="175">
        <f t="shared" si="1"/>
        <v>0</v>
      </c>
      <c r="R52" s="164"/>
      <c r="S52" s="197">
        <f t="shared" si="2"/>
        <v>0</v>
      </c>
      <c r="T52" s="201" t="str" cm="1">
        <f t="array" ref="T52">IFERROR(IF(F52="甲",IF(K52&gt;3500000,VLOOKUP(3500000,源泉DB!$B$261:$L$261,L52+3)+ROUNDDOWN((K52-3500000)*45.945%,0),IF(AND(K52&gt;2250000,K52&lt;3500000),VLOOKUP(2250000,源泉DB!$B$260:$K$260,L52+3)+ROUNDDOWN((K52-2250000)*40.84%,0),IF(AND(K52&gt;2210000,K52&lt;2250000),VLOOKUP(2210000,源泉DB!$B$259:$K$259,L52+3)+ROUNDDOWN((K52-2210000)*40.84%,0),IF(AND(K52&gt;2170000,K52&lt;2210000),VLOOKUP(2170000,源泉DB!$B$258:$K$258,L52+3)+ROUNDDOWN((K52-2170000)*40.84%,0),IF(AND(K52&gt;1700000,K52&lt;2170000),VLOOKUP(1700000,源泉DB!$B$257:$K$257,L52+3)+ROUNDDOWN((K52-1700000)*40.84%,0),IF(AND(K52&gt;950000,K52&lt;1700000),VLOOKUP(950000,源泉DB!$B$256:$K$256,L52+3)+ROUNDDOWN((K52-950000)*33.693%,0),IF(AND(K52&gt;780000,K52&lt;950000),VLOOKUP(780000,源泉DB!$B$255:$K$255,L52+3)+ROUNDDOWN((K52-780000)*23.483%,0),IF(AND(K52&gt;740000,K52&lt;780000),VLOOKUP(740000,源泉DB!$B$254:$K$254,L52+3)+ROUNDDOWN((K52-740000)*20.42%,0),VLOOKUP(K52,源泉DB!$B$8:$K$299,L52+3))))))))),IF(F52="乙",IF(K52&gt;1700000,651900+(K52-1700000) *45.945%,IF(K52=1700000,651900,IF(AND(K52&gt;740000,K52&lt;1700000),259800+(K52-740000)*40.84%,IF(K52=740000,259800,IF(K52&lt;88000,ROUNDDOWN(K52*3.063%,9),VLOOKUP(K52,源泉DB!$B$8:$L$254,11)))))),"")),"")</f>
        <v/>
      </c>
      <c r="U52" s="165"/>
      <c r="V52" s="166"/>
      <c r="W52" s="166"/>
      <c r="X52" s="166"/>
      <c r="Y52" s="166"/>
      <c r="Z52" s="178">
        <f>ROUND(IFERROR(IF(($G52="加入"),VLOOKUP($I52,年金DB!$G$16:$P$65,6,TRUE),0),0)-0.1,0)</f>
        <v>0</v>
      </c>
      <c r="AA52" s="178">
        <f>ROUND(IFERROR(IF(AND($G52="加入",$D52&gt;=40,$D52&lt;=64),VLOOKUP($I52,年金DB!$G$16:$P$65,10,TRUE),0),0)-0.1,0)</f>
        <v>0</v>
      </c>
      <c r="AB52" s="178">
        <f>ROUND(IFERROR(IF(AND($G52="加入",$D52&lt;40),VLOOKUP($J52,年金DB!$G$16:$X$62,14,TRUE),IF(AND($G52="加入",$D52&gt;=40),VLOOKUP($J52,年金DB!$G$16:$X$62,14,TRUE),"0")),0)-0.1,0)</f>
        <v>0</v>
      </c>
      <c r="AC52" s="178">
        <f t="shared" si="3"/>
        <v>0</v>
      </c>
      <c r="AD52" s="21">
        <f t="shared" si="4"/>
        <v>0</v>
      </c>
      <c r="AE52" s="173">
        <f t="shared" si="5"/>
        <v>0</v>
      </c>
      <c r="AF52" s="14" t="str">
        <f t="shared" si="6"/>
        <v/>
      </c>
      <c r="AG52" s="14"/>
      <c r="AH52" s="14"/>
    </row>
    <row r="53" spans="1:34">
      <c r="A53" s="28"/>
      <c r="B53" s="180"/>
      <c r="C53" s="188"/>
      <c r="D53" s="161"/>
      <c r="E53" s="162"/>
      <c r="F53" s="162"/>
      <c r="G53" s="163"/>
      <c r="H53" s="285"/>
      <c r="I53" s="282"/>
      <c r="J53" s="16"/>
      <c r="K53" s="18">
        <f t="shared" si="0"/>
        <v>0</v>
      </c>
      <c r="L53" s="288">
        <v>0</v>
      </c>
      <c r="M53" s="291"/>
      <c r="N53" s="164"/>
      <c r="O53" s="164"/>
      <c r="P53" s="164"/>
      <c r="Q53" s="175">
        <f t="shared" si="1"/>
        <v>0</v>
      </c>
      <c r="R53" s="164"/>
      <c r="S53" s="197">
        <f t="shared" si="2"/>
        <v>0</v>
      </c>
      <c r="T53" s="201" t="str" cm="1">
        <f t="array" ref="T53">IFERROR(IF(F53="甲",IF(K53&gt;3500000,VLOOKUP(3500000,源泉DB!$B$261:$L$261,L53+3)+ROUNDDOWN((K53-3500000)*45.945%,0),IF(AND(K53&gt;2250000,K53&lt;3500000),VLOOKUP(2250000,源泉DB!$B$260:$K$260,L53+3)+ROUNDDOWN((K53-2250000)*40.84%,0),IF(AND(K53&gt;2210000,K53&lt;2250000),VLOOKUP(2210000,源泉DB!$B$259:$K$259,L53+3)+ROUNDDOWN((K53-2210000)*40.84%,0),IF(AND(K53&gt;2170000,K53&lt;2210000),VLOOKUP(2170000,源泉DB!$B$258:$K$258,L53+3)+ROUNDDOWN((K53-2170000)*40.84%,0),IF(AND(K53&gt;1700000,K53&lt;2170000),VLOOKUP(1700000,源泉DB!$B$257:$K$257,L53+3)+ROUNDDOWN((K53-1700000)*40.84%,0),IF(AND(K53&gt;950000,K53&lt;1700000),VLOOKUP(950000,源泉DB!$B$256:$K$256,L53+3)+ROUNDDOWN((K53-950000)*33.693%,0),IF(AND(K53&gt;780000,K53&lt;950000),VLOOKUP(780000,源泉DB!$B$255:$K$255,L53+3)+ROUNDDOWN((K53-780000)*23.483%,0),IF(AND(K53&gt;740000,K53&lt;780000),VLOOKUP(740000,源泉DB!$B$254:$K$254,L53+3)+ROUNDDOWN((K53-740000)*20.42%,0),VLOOKUP(K53,源泉DB!$B$8:$K$299,L53+3))))))))),IF(F53="乙",IF(K53&gt;1700000,651900+(K53-1700000) *45.945%,IF(K53=1700000,651900,IF(AND(K53&gt;740000,K53&lt;1700000),259800+(K53-740000)*40.84%,IF(K53=740000,259800,IF(K53&lt;88000,ROUNDDOWN(K53*3.063%,9),VLOOKUP(K53,源泉DB!$B$8:$L$254,11)))))),"")),"")</f>
        <v/>
      </c>
      <c r="U53" s="165"/>
      <c r="V53" s="166"/>
      <c r="W53" s="166"/>
      <c r="X53" s="166"/>
      <c r="Y53" s="166"/>
      <c r="Z53" s="178">
        <f>ROUND(IFERROR(IF(($G53="加入"),VLOOKUP($I53,年金DB!$G$16:$P$65,6,TRUE),0),0)-0.1,0)</f>
        <v>0</v>
      </c>
      <c r="AA53" s="178">
        <f>ROUND(IFERROR(IF(AND($G53="加入",$D53&gt;=40,$D53&lt;=64),VLOOKUP($I53,年金DB!$G$16:$P$65,10,TRUE),0),0)-0.1,0)</f>
        <v>0</v>
      </c>
      <c r="AB53" s="178">
        <f>ROUND(IFERROR(IF(AND($G53="加入",$D53&lt;40),VLOOKUP($J53,年金DB!$G$16:$X$62,14,TRUE),IF(AND($G53="加入",$D53&gt;=40),VLOOKUP($J53,年金DB!$G$16:$X$62,14,TRUE),"0")),0)-0.1,0)</f>
        <v>0</v>
      </c>
      <c r="AC53" s="178">
        <f t="shared" si="3"/>
        <v>0</v>
      </c>
      <c r="AD53" s="21">
        <f t="shared" si="4"/>
        <v>0</v>
      </c>
      <c r="AE53" s="173">
        <f t="shared" si="5"/>
        <v>0</v>
      </c>
      <c r="AF53" s="14" t="str">
        <f t="shared" si="6"/>
        <v/>
      </c>
      <c r="AG53" s="14"/>
      <c r="AH53" s="14"/>
    </row>
    <row r="54" spans="1:34">
      <c r="A54" s="28"/>
      <c r="B54" s="180"/>
      <c r="C54" s="188"/>
      <c r="D54" s="161"/>
      <c r="E54" s="162"/>
      <c r="F54" s="162"/>
      <c r="G54" s="163"/>
      <c r="H54" s="285"/>
      <c r="I54" s="282"/>
      <c r="J54" s="16"/>
      <c r="K54" s="18">
        <f t="shared" si="0"/>
        <v>0</v>
      </c>
      <c r="L54" s="288">
        <v>0</v>
      </c>
      <c r="M54" s="291"/>
      <c r="N54" s="164"/>
      <c r="O54" s="164"/>
      <c r="P54" s="164"/>
      <c r="Q54" s="175">
        <f t="shared" si="1"/>
        <v>0</v>
      </c>
      <c r="R54" s="164"/>
      <c r="S54" s="197">
        <f t="shared" si="2"/>
        <v>0</v>
      </c>
      <c r="T54" s="201" t="str" cm="1">
        <f t="array" ref="T54">IFERROR(IF(F54="甲",IF(K54&gt;3500000,VLOOKUP(3500000,源泉DB!$B$261:$L$261,L54+3)+ROUNDDOWN((K54-3500000)*45.945%,0),IF(AND(K54&gt;2250000,K54&lt;3500000),VLOOKUP(2250000,源泉DB!$B$260:$K$260,L54+3)+ROUNDDOWN((K54-2250000)*40.84%,0),IF(AND(K54&gt;2210000,K54&lt;2250000),VLOOKUP(2210000,源泉DB!$B$259:$K$259,L54+3)+ROUNDDOWN((K54-2210000)*40.84%,0),IF(AND(K54&gt;2170000,K54&lt;2210000),VLOOKUP(2170000,源泉DB!$B$258:$K$258,L54+3)+ROUNDDOWN((K54-2170000)*40.84%,0),IF(AND(K54&gt;1700000,K54&lt;2170000),VLOOKUP(1700000,源泉DB!$B$257:$K$257,L54+3)+ROUNDDOWN((K54-1700000)*40.84%,0),IF(AND(K54&gt;950000,K54&lt;1700000),VLOOKUP(950000,源泉DB!$B$256:$K$256,L54+3)+ROUNDDOWN((K54-950000)*33.693%,0),IF(AND(K54&gt;780000,K54&lt;950000),VLOOKUP(780000,源泉DB!$B$255:$K$255,L54+3)+ROUNDDOWN((K54-780000)*23.483%,0),IF(AND(K54&gt;740000,K54&lt;780000),VLOOKUP(740000,源泉DB!$B$254:$K$254,L54+3)+ROUNDDOWN((K54-740000)*20.42%,0),VLOOKUP(K54,源泉DB!$B$8:$K$299,L54+3))))))))),IF(F54="乙",IF(K54&gt;1700000,651900+(K54-1700000) *45.945%,IF(K54=1700000,651900,IF(AND(K54&gt;740000,K54&lt;1700000),259800+(K54-740000)*40.84%,IF(K54=740000,259800,IF(K54&lt;88000,ROUNDDOWN(K54*3.063%,9),VLOOKUP(K54,源泉DB!$B$8:$L$254,11)))))),"")),"")</f>
        <v/>
      </c>
      <c r="U54" s="165"/>
      <c r="V54" s="166"/>
      <c r="W54" s="166"/>
      <c r="X54" s="166"/>
      <c r="Y54" s="166"/>
      <c r="Z54" s="178">
        <f>ROUND(IFERROR(IF(($G54="加入"),VLOOKUP($I54,年金DB!$G$16:$P$65,6,TRUE),0),0)-0.1,0)</f>
        <v>0</v>
      </c>
      <c r="AA54" s="178">
        <f>ROUND(IFERROR(IF(AND($G54="加入",$D54&gt;=40,$D54&lt;=64),VLOOKUP($I54,年金DB!$G$16:$P$65,10,TRUE),0),0)-0.1,0)</f>
        <v>0</v>
      </c>
      <c r="AB54" s="178">
        <f>ROUND(IFERROR(IF(AND($G54="加入",$D54&lt;40),VLOOKUP($J54,年金DB!$G$16:$X$62,14,TRUE),IF(AND($G54="加入",$D54&gt;=40),VLOOKUP($J54,年金DB!$G$16:$X$62,14,TRUE),"0")),0)-0.1,0)</f>
        <v>0</v>
      </c>
      <c r="AC54" s="178">
        <f t="shared" si="3"/>
        <v>0</v>
      </c>
      <c r="AD54" s="21">
        <f t="shared" si="4"/>
        <v>0</v>
      </c>
      <c r="AE54" s="173">
        <f t="shared" si="5"/>
        <v>0</v>
      </c>
      <c r="AF54" s="14" t="str">
        <f t="shared" si="6"/>
        <v/>
      </c>
      <c r="AG54" s="14"/>
      <c r="AH54" s="14"/>
    </row>
    <row r="55" spans="1:34">
      <c r="A55" s="28"/>
      <c r="B55" s="180"/>
      <c r="C55" s="188"/>
      <c r="D55" s="161"/>
      <c r="E55" s="162"/>
      <c r="F55" s="162"/>
      <c r="G55" s="163"/>
      <c r="H55" s="285"/>
      <c r="I55" s="282"/>
      <c r="J55" s="16"/>
      <c r="K55" s="18">
        <f t="shared" si="0"/>
        <v>0</v>
      </c>
      <c r="L55" s="288">
        <v>0</v>
      </c>
      <c r="M55" s="291"/>
      <c r="N55" s="164"/>
      <c r="O55" s="164"/>
      <c r="P55" s="164"/>
      <c r="Q55" s="175">
        <f t="shared" si="1"/>
        <v>0</v>
      </c>
      <c r="R55" s="164"/>
      <c r="S55" s="197">
        <f t="shared" si="2"/>
        <v>0</v>
      </c>
      <c r="T55" s="201" t="str" cm="1">
        <f t="array" ref="T55">IFERROR(IF(F55="甲",IF(K55&gt;3500000,VLOOKUP(3500000,源泉DB!$B$261:$L$261,L55+3)+ROUNDDOWN((K55-3500000)*45.945%,0),IF(AND(K55&gt;2250000,K55&lt;3500000),VLOOKUP(2250000,源泉DB!$B$260:$K$260,L55+3)+ROUNDDOWN((K55-2250000)*40.84%,0),IF(AND(K55&gt;2210000,K55&lt;2250000),VLOOKUP(2210000,源泉DB!$B$259:$K$259,L55+3)+ROUNDDOWN((K55-2210000)*40.84%,0),IF(AND(K55&gt;2170000,K55&lt;2210000),VLOOKUP(2170000,源泉DB!$B$258:$K$258,L55+3)+ROUNDDOWN((K55-2170000)*40.84%,0),IF(AND(K55&gt;1700000,K55&lt;2170000),VLOOKUP(1700000,源泉DB!$B$257:$K$257,L55+3)+ROUNDDOWN((K55-1700000)*40.84%,0),IF(AND(K55&gt;950000,K55&lt;1700000),VLOOKUP(950000,源泉DB!$B$256:$K$256,L55+3)+ROUNDDOWN((K55-950000)*33.693%,0),IF(AND(K55&gt;780000,K55&lt;950000),VLOOKUP(780000,源泉DB!$B$255:$K$255,L55+3)+ROUNDDOWN((K55-780000)*23.483%,0),IF(AND(K55&gt;740000,K55&lt;780000),VLOOKUP(740000,源泉DB!$B$254:$K$254,L55+3)+ROUNDDOWN((K55-740000)*20.42%,0),VLOOKUP(K55,源泉DB!$B$8:$K$299,L55+3))))))))),IF(F55="乙",IF(K55&gt;1700000,651900+(K55-1700000) *45.945%,IF(K55=1700000,651900,IF(AND(K55&gt;740000,K55&lt;1700000),259800+(K55-740000)*40.84%,IF(K55=740000,259800,IF(K55&lt;88000,ROUNDDOWN(K55*3.063%,9),VLOOKUP(K55,源泉DB!$B$8:$L$254,11)))))),"")),"")</f>
        <v/>
      </c>
      <c r="U55" s="165"/>
      <c r="V55" s="166"/>
      <c r="W55" s="166"/>
      <c r="X55" s="166"/>
      <c r="Y55" s="166"/>
      <c r="Z55" s="178">
        <f>ROUND(IFERROR(IF(($G55="加入"),VLOOKUP($I55,年金DB!$G$16:$P$65,6,TRUE),0),0)-0.1,0)</f>
        <v>0</v>
      </c>
      <c r="AA55" s="178">
        <f>ROUND(IFERROR(IF(AND($G55="加入",$D55&gt;=40,$D55&lt;=64),VLOOKUP($I55,年金DB!$G$16:$P$65,10,TRUE),0),0)-0.1,0)</f>
        <v>0</v>
      </c>
      <c r="AB55" s="178">
        <f>ROUND(IFERROR(IF(AND($G55="加入",$D55&lt;40),VLOOKUP($J55,年金DB!$G$16:$X$62,14,TRUE),IF(AND($G55="加入",$D55&gt;=40),VLOOKUP($J55,年金DB!$G$16:$X$62,14,TRUE),"0")),0)-0.1,0)</f>
        <v>0</v>
      </c>
      <c r="AC55" s="178">
        <f t="shared" si="3"/>
        <v>0</v>
      </c>
      <c r="AD55" s="21">
        <f t="shared" si="4"/>
        <v>0</v>
      </c>
      <c r="AE55" s="173">
        <f t="shared" si="5"/>
        <v>0</v>
      </c>
      <c r="AF55" s="14" t="str">
        <f t="shared" si="6"/>
        <v/>
      </c>
      <c r="AG55" s="14"/>
      <c r="AH55" s="14"/>
    </row>
    <row r="56" spans="1:34">
      <c r="A56" s="28"/>
      <c r="B56" s="180"/>
      <c r="C56" s="188"/>
      <c r="D56" s="161"/>
      <c r="E56" s="162"/>
      <c r="F56" s="162"/>
      <c r="G56" s="163"/>
      <c r="H56" s="285"/>
      <c r="I56" s="282"/>
      <c r="J56" s="16"/>
      <c r="K56" s="18">
        <f t="shared" si="0"/>
        <v>0</v>
      </c>
      <c r="L56" s="288">
        <v>0</v>
      </c>
      <c r="M56" s="291"/>
      <c r="N56" s="164"/>
      <c r="O56" s="164"/>
      <c r="P56" s="164"/>
      <c r="Q56" s="175">
        <f t="shared" si="1"/>
        <v>0</v>
      </c>
      <c r="R56" s="164"/>
      <c r="S56" s="197">
        <f t="shared" si="2"/>
        <v>0</v>
      </c>
      <c r="T56" s="201" t="str" cm="1">
        <f t="array" ref="T56">IFERROR(IF(F56="甲",IF(K56&gt;3500000,VLOOKUP(3500000,源泉DB!$B$261:$L$261,L56+3)+ROUNDDOWN((K56-3500000)*45.945%,0),IF(AND(K56&gt;2250000,K56&lt;3500000),VLOOKUP(2250000,源泉DB!$B$260:$K$260,L56+3)+ROUNDDOWN((K56-2250000)*40.84%,0),IF(AND(K56&gt;2210000,K56&lt;2250000),VLOOKUP(2210000,源泉DB!$B$259:$K$259,L56+3)+ROUNDDOWN((K56-2210000)*40.84%,0),IF(AND(K56&gt;2170000,K56&lt;2210000),VLOOKUP(2170000,源泉DB!$B$258:$K$258,L56+3)+ROUNDDOWN((K56-2170000)*40.84%,0),IF(AND(K56&gt;1700000,K56&lt;2170000),VLOOKUP(1700000,源泉DB!$B$257:$K$257,L56+3)+ROUNDDOWN((K56-1700000)*40.84%,0),IF(AND(K56&gt;950000,K56&lt;1700000),VLOOKUP(950000,源泉DB!$B$256:$K$256,L56+3)+ROUNDDOWN((K56-950000)*33.693%,0),IF(AND(K56&gt;780000,K56&lt;950000),VLOOKUP(780000,源泉DB!$B$255:$K$255,L56+3)+ROUNDDOWN((K56-780000)*23.483%,0),IF(AND(K56&gt;740000,K56&lt;780000),VLOOKUP(740000,源泉DB!$B$254:$K$254,L56+3)+ROUNDDOWN((K56-740000)*20.42%,0),VLOOKUP(K56,源泉DB!$B$8:$K$299,L56+3))))))))),IF(F56="乙",IF(K56&gt;1700000,651900+(K56-1700000) *45.945%,IF(K56=1700000,651900,IF(AND(K56&gt;740000,K56&lt;1700000),259800+(K56-740000)*40.84%,IF(K56=740000,259800,IF(K56&lt;88000,ROUNDDOWN(K56*3.063%,9),VLOOKUP(K56,源泉DB!$B$8:$L$254,11)))))),"")),"")</f>
        <v/>
      </c>
      <c r="U56" s="165"/>
      <c r="V56" s="166"/>
      <c r="W56" s="166"/>
      <c r="X56" s="166"/>
      <c r="Y56" s="166"/>
      <c r="Z56" s="178">
        <f>ROUND(IFERROR(IF(($G56="加入"),VLOOKUP($I56,年金DB!$G$16:$P$65,6,TRUE),0),0)-0.1,0)</f>
        <v>0</v>
      </c>
      <c r="AA56" s="178">
        <f>ROUND(IFERROR(IF(AND($G56="加入",$D56&gt;=40,$D56&lt;=64),VLOOKUP($I56,年金DB!$G$16:$P$65,10,TRUE),0),0)-0.1,0)</f>
        <v>0</v>
      </c>
      <c r="AB56" s="178">
        <f>ROUND(IFERROR(IF(AND($G56="加入",$D56&lt;40),VLOOKUP($J56,年金DB!$G$16:$X$62,14,TRUE),IF(AND($G56="加入",$D56&gt;=40),VLOOKUP($J56,年金DB!$G$16:$X$62,14,TRUE),"0")),0)-0.1,0)</f>
        <v>0</v>
      </c>
      <c r="AC56" s="178">
        <f t="shared" si="3"/>
        <v>0</v>
      </c>
      <c r="AD56" s="21">
        <f t="shared" si="4"/>
        <v>0</v>
      </c>
      <c r="AE56" s="173">
        <f t="shared" si="5"/>
        <v>0</v>
      </c>
      <c r="AF56" s="14" t="str">
        <f t="shared" si="6"/>
        <v/>
      </c>
      <c r="AG56" s="14"/>
      <c r="AH56" s="14"/>
    </row>
    <row r="57" spans="1:34">
      <c r="A57" s="28"/>
      <c r="B57" s="180"/>
      <c r="C57" s="188"/>
      <c r="D57" s="161"/>
      <c r="E57" s="162"/>
      <c r="F57" s="162"/>
      <c r="G57" s="163"/>
      <c r="H57" s="285"/>
      <c r="I57" s="282"/>
      <c r="J57" s="16"/>
      <c r="K57" s="18">
        <f t="shared" si="0"/>
        <v>0</v>
      </c>
      <c r="L57" s="288">
        <v>0</v>
      </c>
      <c r="M57" s="291"/>
      <c r="N57" s="164"/>
      <c r="O57" s="164"/>
      <c r="P57" s="164"/>
      <c r="Q57" s="175">
        <f t="shared" si="1"/>
        <v>0</v>
      </c>
      <c r="R57" s="164"/>
      <c r="S57" s="197">
        <f t="shared" si="2"/>
        <v>0</v>
      </c>
      <c r="T57" s="201" t="str" cm="1">
        <f t="array" ref="T57">IFERROR(IF(F57="甲",IF(K57&gt;3500000,VLOOKUP(3500000,源泉DB!$B$261:$L$261,L57+3)+ROUNDDOWN((K57-3500000)*45.945%,0),IF(AND(K57&gt;2250000,K57&lt;3500000),VLOOKUP(2250000,源泉DB!$B$260:$K$260,L57+3)+ROUNDDOWN((K57-2250000)*40.84%,0),IF(AND(K57&gt;2210000,K57&lt;2250000),VLOOKUP(2210000,源泉DB!$B$259:$K$259,L57+3)+ROUNDDOWN((K57-2210000)*40.84%,0),IF(AND(K57&gt;2170000,K57&lt;2210000),VLOOKUP(2170000,源泉DB!$B$258:$K$258,L57+3)+ROUNDDOWN((K57-2170000)*40.84%,0),IF(AND(K57&gt;1700000,K57&lt;2170000),VLOOKUP(1700000,源泉DB!$B$257:$K$257,L57+3)+ROUNDDOWN((K57-1700000)*40.84%,0),IF(AND(K57&gt;950000,K57&lt;1700000),VLOOKUP(950000,源泉DB!$B$256:$K$256,L57+3)+ROUNDDOWN((K57-950000)*33.693%,0),IF(AND(K57&gt;780000,K57&lt;950000),VLOOKUP(780000,源泉DB!$B$255:$K$255,L57+3)+ROUNDDOWN((K57-780000)*23.483%,0),IF(AND(K57&gt;740000,K57&lt;780000),VLOOKUP(740000,源泉DB!$B$254:$K$254,L57+3)+ROUNDDOWN((K57-740000)*20.42%,0),VLOOKUP(K57,源泉DB!$B$8:$K$299,L57+3))))))))),IF(F57="乙",IF(K57&gt;1700000,651900+(K57-1700000) *45.945%,IF(K57=1700000,651900,IF(AND(K57&gt;740000,K57&lt;1700000),259800+(K57-740000)*40.84%,IF(K57=740000,259800,IF(K57&lt;88000,ROUNDDOWN(K57*3.063%,9),VLOOKUP(K57,源泉DB!$B$8:$L$254,11)))))),"")),"")</f>
        <v/>
      </c>
      <c r="U57" s="165"/>
      <c r="V57" s="166"/>
      <c r="W57" s="166"/>
      <c r="X57" s="166"/>
      <c r="Y57" s="166"/>
      <c r="Z57" s="178">
        <f>ROUND(IFERROR(IF(($G57="加入"),VLOOKUP($I57,年金DB!$G$16:$P$65,6,TRUE),0),0)-0.1,0)</f>
        <v>0</v>
      </c>
      <c r="AA57" s="178">
        <f>ROUND(IFERROR(IF(AND($G57="加入",$D57&gt;=40,$D57&lt;=64),VLOOKUP($I57,年金DB!$G$16:$P$65,10,TRUE),0),0)-0.1,0)</f>
        <v>0</v>
      </c>
      <c r="AB57" s="178">
        <f>ROUND(IFERROR(IF(AND($G57="加入",$D57&lt;40),VLOOKUP($J57,年金DB!$G$16:$X$62,14,TRUE),IF(AND($G57="加入",$D57&gt;=40),VLOOKUP($J57,年金DB!$G$16:$X$62,14,TRUE),"0")),0)-0.1,0)</f>
        <v>0</v>
      </c>
      <c r="AC57" s="178">
        <f t="shared" si="3"/>
        <v>0</v>
      </c>
      <c r="AD57" s="21">
        <f t="shared" si="4"/>
        <v>0</v>
      </c>
      <c r="AE57" s="173">
        <f t="shared" si="5"/>
        <v>0</v>
      </c>
      <c r="AF57" s="14" t="str">
        <f t="shared" si="6"/>
        <v/>
      </c>
      <c r="AG57" s="14"/>
      <c r="AH57" s="14"/>
    </row>
    <row r="58" spans="1:34">
      <c r="A58" s="28"/>
      <c r="B58" s="180"/>
      <c r="C58" s="188"/>
      <c r="D58" s="161"/>
      <c r="E58" s="162"/>
      <c r="F58" s="162"/>
      <c r="G58" s="163"/>
      <c r="H58" s="285"/>
      <c r="I58" s="282"/>
      <c r="J58" s="16"/>
      <c r="K58" s="18">
        <f t="shared" si="0"/>
        <v>0</v>
      </c>
      <c r="L58" s="288">
        <v>0</v>
      </c>
      <c r="M58" s="291"/>
      <c r="N58" s="164"/>
      <c r="O58" s="164"/>
      <c r="P58" s="164"/>
      <c r="Q58" s="175">
        <f t="shared" si="1"/>
        <v>0</v>
      </c>
      <c r="R58" s="164"/>
      <c r="S58" s="197">
        <f t="shared" si="2"/>
        <v>0</v>
      </c>
      <c r="T58" s="201" t="str" cm="1">
        <f t="array" ref="T58">IFERROR(IF(F58="甲",IF(K58&gt;3500000,VLOOKUP(3500000,源泉DB!$B$261:$L$261,L58+3)+ROUNDDOWN((K58-3500000)*45.945%,0),IF(AND(K58&gt;2250000,K58&lt;3500000),VLOOKUP(2250000,源泉DB!$B$260:$K$260,L58+3)+ROUNDDOWN((K58-2250000)*40.84%,0),IF(AND(K58&gt;2210000,K58&lt;2250000),VLOOKUP(2210000,源泉DB!$B$259:$K$259,L58+3)+ROUNDDOWN((K58-2210000)*40.84%,0),IF(AND(K58&gt;2170000,K58&lt;2210000),VLOOKUP(2170000,源泉DB!$B$258:$K$258,L58+3)+ROUNDDOWN((K58-2170000)*40.84%,0),IF(AND(K58&gt;1700000,K58&lt;2170000),VLOOKUP(1700000,源泉DB!$B$257:$K$257,L58+3)+ROUNDDOWN((K58-1700000)*40.84%,0),IF(AND(K58&gt;950000,K58&lt;1700000),VLOOKUP(950000,源泉DB!$B$256:$K$256,L58+3)+ROUNDDOWN((K58-950000)*33.693%,0),IF(AND(K58&gt;780000,K58&lt;950000),VLOOKUP(780000,源泉DB!$B$255:$K$255,L58+3)+ROUNDDOWN((K58-780000)*23.483%,0),IF(AND(K58&gt;740000,K58&lt;780000),VLOOKUP(740000,源泉DB!$B$254:$K$254,L58+3)+ROUNDDOWN((K58-740000)*20.42%,0),VLOOKUP(K58,源泉DB!$B$8:$K$299,L58+3))))))))),IF(F58="乙",IF(K58&gt;1700000,651900+(K58-1700000) *45.945%,IF(K58=1700000,651900,IF(AND(K58&gt;740000,K58&lt;1700000),259800+(K58-740000)*40.84%,IF(K58=740000,259800,IF(K58&lt;88000,ROUNDDOWN(K58*3.063%,9),VLOOKUP(K58,源泉DB!$B$8:$L$254,11)))))),"")),"")</f>
        <v/>
      </c>
      <c r="U58" s="165"/>
      <c r="V58" s="166"/>
      <c r="W58" s="166"/>
      <c r="X58" s="166"/>
      <c r="Y58" s="166"/>
      <c r="Z58" s="178">
        <f>ROUND(IFERROR(IF(($G58="加入"),VLOOKUP($I58,年金DB!$G$16:$P$65,6,TRUE),0),0)-0.1,0)</f>
        <v>0</v>
      </c>
      <c r="AA58" s="178">
        <f>ROUND(IFERROR(IF(AND($G58="加入",$D58&gt;=40,$D58&lt;=64),VLOOKUP($I58,年金DB!$G$16:$P$65,10,TRUE),0),0)-0.1,0)</f>
        <v>0</v>
      </c>
      <c r="AB58" s="178">
        <f>ROUND(IFERROR(IF(AND($G58="加入",$D58&lt;40),VLOOKUP($J58,年金DB!$G$16:$X$62,14,TRUE),IF(AND($G58="加入",$D58&gt;=40),VLOOKUP($J58,年金DB!$G$16:$X$62,14,TRUE),"0")),0)-0.1,0)</f>
        <v>0</v>
      </c>
      <c r="AC58" s="178">
        <f t="shared" si="3"/>
        <v>0</v>
      </c>
      <c r="AD58" s="21">
        <f t="shared" si="4"/>
        <v>0</v>
      </c>
      <c r="AE58" s="173">
        <f t="shared" si="5"/>
        <v>0</v>
      </c>
      <c r="AF58" s="14" t="str">
        <f t="shared" si="6"/>
        <v/>
      </c>
      <c r="AG58" s="14"/>
      <c r="AH58" s="14"/>
    </row>
    <row r="59" spans="1:34">
      <c r="A59" s="28"/>
      <c r="B59" s="180"/>
      <c r="C59" s="188"/>
      <c r="D59" s="161"/>
      <c r="E59" s="162"/>
      <c r="F59" s="162"/>
      <c r="G59" s="163"/>
      <c r="H59" s="285"/>
      <c r="I59" s="282"/>
      <c r="J59" s="16"/>
      <c r="K59" s="18">
        <f t="shared" si="0"/>
        <v>0</v>
      </c>
      <c r="L59" s="288">
        <v>0</v>
      </c>
      <c r="M59" s="291"/>
      <c r="N59" s="164"/>
      <c r="O59" s="164"/>
      <c r="P59" s="164"/>
      <c r="Q59" s="175">
        <f t="shared" si="1"/>
        <v>0</v>
      </c>
      <c r="R59" s="164"/>
      <c r="S59" s="197">
        <f t="shared" si="2"/>
        <v>0</v>
      </c>
      <c r="T59" s="201" t="str" cm="1">
        <f t="array" ref="T59">IFERROR(IF(F59="甲",IF(K59&gt;3500000,VLOOKUP(3500000,源泉DB!$B$261:$L$261,L59+3)+ROUNDDOWN((K59-3500000)*45.945%,0),IF(AND(K59&gt;2250000,K59&lt;3500000),VLOOKUP(2250000,源泉DB!$B$260:$K$260,L59+3)+ROUNDDOWN((K59-2250000)*40.84%,0),IF(AND(K59&gt;2210000,K59&lt;2250000),VLOOKUP(2210000,源泉DB!$B$259:$K$259,L59+3)+ROUNDDOWN((K59-2210000)*40.84%,0),IF(AND(K59&gt;2170000,K59&lt;2210000),VLOOKUP(2170000,源泉DB!$B$258:$K$258,L59+3)+ROUNDDOWN((K59-2170000)*40.84%,0),IF(AND(K59&gt;1700000,K59&lt;2170000),VLOOKUP(1700000,源泉DB!$B$257:$K$257,L59+3)+ROUNDDOWN((K59-1700000)*40.84%,0),IF(AND(K59&gt;950000,K59&lt;1700000),VLOOKUP(950000,源泉DB!$B$256:$K$256,L59+3)+ROUNDDOWN((K59-950000)*33.693%,0),IF(AND(K59&gt;780000,K59&lt;950000),VLOOKUP(780000,源泉DB!$B$255:$K$255,L59+3)+ROUNDDOWN((K59-780000)*23.483%,0),IF(AND(K59&gt;740000,K59&lt;780000),VLOOKUP(740000,源泉DB!$B$254:$K$254,L59+3)+ROUNDDOWN((K59-740000)*20.42%,0),VLOOKUP(K59,源泉DB!$B$8:$K$299,L59+3))))))))),IF(F59="乙",IF(K59&gt;1700000,651900+(K59-1700000) *45.945%,IF(K59=1700000,651900,IF(AND(K59&gt;740000,K59&lt;1700000),259800+(K59-740000)*40.84%,IF(K59=740000,259800,IF(K59&lt;88000,ROUNDDOWN(K59*3.063%,9),VLOOKUP(K59,源泉DB!$B$8:$L$254,11)))))),"")),"")</f>
        <v/>
      </c>
      <c r="U59" s="165"/>
      <c r="V59" s="166"/>
      <c r="W59" s="166"/>
      <c r="X59" s="166"/>
      <c r="Y59" s="166"/>
      <c r="Z59" s="178">
        <f>ROUND(IFERROR(IF(($G59="加入"),VLOOKUP($I59,年金DB!$G$16:$P$65,6,TRUE),0),0)-0.1,0)</f>
        <v>0</v>
      </c>
      <c r="AA59" s="178">
        <f>ROUND(IFERROR(IF(AND($G59="加入",$D59&gt;=40,$D59&lt;=64),VLOOKUP($I59,年金DB!$G$16:$P$65,10,TRUE),0),0)-0.1,0)</f>
        <v>0</v>
      </c>
      <c r="AB59" s="178">
        <f>ROUND(IFERROR(IF(AND($G59="加入",$D59&lt;40),VLOOKUP($J59,年金DB!$G$16:$X$62,14,TRUE),IF(AND($G59="加入",$D59&gt;=40),VLOOKUP($J59,年金DB!$G$16:$X$62,14,TRUE),"0")),0)-0.1,0)</f>
        <v>0</v>
      </c>
      <c r="AC59" s="178">
        <f t="shared" si="3"/>
        <v>0</v>
      </c>
      <c r="AD59" s="21">
        <f t="shared" si="4"/>
        <v>0</v>
      </c>
      <c r="AE59" s="173">
        <f t="shared" si="5"/>
        <v>0</v>
      </c>
      <c r="AF59" s="14" t="str">
        <f t="shared" si="6"/>
        <v/>
      </c>
      <c r="AG59" s="14"/>
      <c r="AH59" s="14"/>
    </row>
    <row r="60" spans="1:34">
      <c r="A60" s="28"/>
      <c r="B60" s="180"/>
      <c r="C60" s="188"/>
      <c r="D60" s="161"/>
      <c r="E60" s="162"/>
      <c r="F60" s="162"/>
      <c r="G60" s="163"/>
      <c r="H60" s="285"/>
      <c r="I60" s="282"/>
      <c r="J60" s="16"/>
      <c r="K60" s="18">
        <f t="shared" si="0"/>
        <v>0</v>
      </c>
      <c r="L60" s="288">
        <v>0</v>
      </c>
      <c r="M60" s="291"/>
      <c r="N60" s="164"/>
      <c r="O60" s="164"/>
      <c r="P60" s="164"/>
      <c r="Q60" s="175">
        <f t="shared" si="1"/>
        <v>0</v>
      </c>
      <c r="R60" s="164"/>
      <c r="S60" s="197">
        <f t="shared" si="2"/>
        <v>0</v>
      </c>
      <c r="T60" s="201" t="str" cm="1">
        <f t="array" ref="T60">IFERROR(IF(F60="甲",IF(K60&gt;3500000,VLOOKUP(3500000,源泉DB!$B$261:$L$261,L60+3)+ROUNDDOWN((K60-3500000)*45.945%,0),IF(AND(K60&gt;2250000,K60&lt;3500000),VLOOKUP(2250000,源泉DB!$B$260:$K$260,L60+3)+ROUNDDOWN((K60-2250000)*40.84%,0),IF(AND(K60&gt;2210000,K60&lt;2250000),VLOOKUP(2210000,源泉DB!$B$259:$K$259,L60+3)+ROUNDDOWN((K60-2210000)*40.84%,0),IF(AND(K60&gt;2170000,K60&lt;2210000),VLOOKUP(2170000,源泉DB!$B$258:$K$258,L60+3)+ROUNDDOWN((K60-2170000)*40.84%,0),IF(AND(K60&gt;1700000,K60&lt;2170000),VLOOKUP(1700000,源泉DB!$B$257:$K$257,L60+3)+ROUNDDOWN((K60-1700000)*40.84%,0),IF(AND(K60&gt;950000,K60&lt;1700000),VLOOKUP(950000,源泉DB!$B$256:$K$256,L60+3)+ROUNDDOWN((K60-950000)*33.693%,0),IF(AND(K60&gt;780000,K60&lt;950000),VLOOKUP(780000,源泉DB!$B$255:$K$255,L60+3)+ROUNDDOWN((K60-780000)*23.483%,0),IF(AND(K60&gt;740000,K60&lt;780000),VLOOKUP(740000,源泉DB!$B$254:$K$254,L60+3)+ROUNDDOWN((K60-740000)*20.42%,0),VLOOKUP(K60,源泉DB!$B$8:$K$299,L60+3))))))))),IF(F60="乙",IF(K60&gt;1700000,651900+(K60-1700000) *45.945%,IF(K60=1700000,651900,IF(AND(K60&gt;740000,K60&lt;1700000),259800+(K60-740000)*40.84%,IF(K60=740000,259800,IF(K60&lt;88000,ROUNDDOWN(K60*3.063%,9),VLOOKUP(K60,源泉DB!$B$8:$L$254,11)))))),"")),"")</f>
        <v/>
      </c>
      <c r="U60" s="165"/>
      <c r="V60" s="166"/>
      <c r="W60" s="166"/>
      <c r="X60" s="166"/>
      <c r="Y60" s="166"/>
      <c r="Z60" s="178">
        <f>ROUND(IFERROR(IF(($G60="加入"),VLOOKUP($I60,年金DB!$G$16:$P$65,6,TRUE),0),0)-0.1,0)</f>
        <v>0</v>
      </c>
      <c r="AA60" s="178">
        <f>ROUND(IFERROR(IF(AND($G60="加入",$D60&gt;=40,$D60&lt;=64),VLOOKUP($I60,年金DB!$G$16:$P$65,10,TRUE),0),0)-0.1,0)</f>
        <v>0</v>
      </c>
      <c r="AB60" s="178">
        <f>ROUND(IFERROR(IF(AND($G60="加入",$D60&lt;40),VLOOKUP($J60,年金DB!$G$16:$X$62,14,TRUE),IF(AND($G60="加入",$D60&gt;=40),VLOOKUP($J60,年金DB!$G$16:$X$62,14,TRUE),"0")),0)-0.1,0)</f>
        <v>0</v>
      </c>
      <c r="AC60" s="178">
        <f t="shared" si="3"/>
        <v>0</v>
      </c>
      <c r="AD60" s="21">
        <f t="shared" si="4"/>
        <v>0</v>
      </c>
      <c r="AE60" s="173">
        <f t="shared" si="5"/>
        <v>0</v>
      </c>
      <c r="AF60" s="14" t="str">
        <f t="shared" si="6"/>
        <v/>
      </c>
      <c r="AG60" s="14"/>
      <c r="AH60" s="14"/>
    </row>
    <row r="61" spans="1:34">
      <c r="A61" s="28"/>
      <c r="B61" s="180"/>
      <c r="C61" s="188"/>
      <c r="D61" s="161"/>
      <c r="E61" s="162"/>
      <c r="F61" s="162"/>
      <c r="G61" s="163"/>
      <c r="H61" s="285"/>
      <c r="I61" s="282"/>
      <c r="J61" s="16"/>
      <c r="K61" s="18">
        <f t="shared" si="0"/>
        <v>0</v>
      </c>
      <c r="L61" s="288">
        <v>0</v>
      </c>
      <c r="M61" s="291"/>
      <c r="N61" s="164"/>
      <c r="O61" s="164"/>
      <c r="P61" s="164"/>
      <c r="Q61" s="175">
        <f t="shared" si="1"/>
        <v>0</v>
      </c>
      <c r="R61" s="164"/>
      <c r="S61" s="197">
        <f t="shared" si="2"/>
        <v>0</v>
      </c>
      <c r="T61" s="201" t="str" cm="1">
        <f t="array" ref="T61">IFERROR(IF(F61="甲",IF(K61&gt;3500000,VLOOKUP(3500000,源泉DB!$B$261:$L$261,L61+3)+ROUNDDOWN((K61-3500000)*45.945%,0),IF(AND(K61&gt;2250000,K61&lt;3500000),VLOOKUP(2250000,源泉DB!$B$260:$K$260,L61+3)+ROUNDDOWN((K61-2250000)*40.84%,0),IF(AND(K61&gt;2210000,K61&lt;2250000),VLOOKUP(2210000,源泉DB!$B$259:$K$259,L61+3)+ROUNDDOWN((K61-2210000)*40.84%,0),IF(AND(K61&gt;2170000,K61&lt;2210000),VLOOKUP(2170000,源泉DB!$B$258:$K$258,L61+3)+ROUNDDOWN((K61-2170000)*40.84%,0),IF(AND(K61&gt;1700000,K61&lt;2170000),VLOOKUP(1700000,源泉DB!$B$257:$K$257,L61+3)+ROUNDDOWN((K61-1700000)*40.84%,0),IF(AND(K61&gt;950000,K61&lt;1700000),VLOOKUP(950000,源泉DB!$B$256:$K$256,L61+3)+ROUNDDOWN((K61-950000)*33.693%,0),IF(AND(K61&gt;780000,K61&lt;950000),VLOOKUP(780000,源泉DB!$B$255:$K$255,L61+3)+ROUNDDOWN((K61-780000)*23.483%,0),IF(AND(K61&gt;740000,K61&lt;780000),VLOOKUP(740000,源泉DB!$B$254:$K$254,L61+3)+ROUNDDOWN((K61-740000)*20.42%,0),VLOOKUP(K61,源泉DB!$B$8:$K$299,L61+3))))))))),IF(F61="乙",IF(K61&gt;1700000,651900+(K61-1700000) *45.945%,IF(K61=1700000,651900,IF(AND(K61&gt;740000,K61&lt;1700000),259800+(K61-740000)*40.84%,IF(K61=740000,259800,IF(K61&lt;88000,ROUNDDOWN(K61*3.063%,9),VLOOKUP(K61,源泉DB!$B$8:$L$254,11)))))),"")),"")</f>
        <v/>
      </c>
      <c r="U61" s="165"/>
      <c r="V61" s="166"/>
      <c r="W61" s="166"/>
      <c r="X61" s="166"/>
      <c r="Y61" s="166"/>
      <c r="Z61" s="178">
        <f>ROUND(IFERROR(IF(($G61="加入"),VLOOKUP($I61,年金DB!$G$16:$P$65,6,TRUE),0),0)-0.1,0)</f>
        <v>0</v>
      </c>
      <c r="AA61" s="178">
        <f>ROUND(IFERROR(IF(AND($G61="加入",$D61&gt;=40,$D61&lt;=64),VLOOKUP($I61,年金DB!$G$16:$P$65,10,TRUE),0),0)-0.1,0)</f>
        <v>0</v>
      </c>
      <c r="AB61" s="178">
        <f>ROUND(IFERROR(IF(AND($G61="加入",$D61&lt;40),VLOOKUP($J61,年金DB!$G$16:$X$62,14,TRUE),IF(AND($G61="加入",$D61&gt;=40),VLOOKUP($J61,年金DB!$G$16:$X$62,14,TRUE),"0")),0)-0.1,0)</f>
        <v>0</v>
      </c>
      <c r="AC61" s="178">
        <f t="shared" si="3"/>
        <v>0</v>
      </c>
      <c r="AD61" s="21">
        <f t="shared" si="4"/>
        <v>0</v>
      </c>
      <c r="AE61" s="173">
        <f t="shared" si="5"/>
        <v>0</v>
      </c>
      <c r="AF61" s="14" t="str">
        <f t="shared" si="6"/>
        <v/>
      </c>
      <c r="AG61" s="14"/>
      <c r="AH61" s="14"/>
    </row>
    <row r="62" spans="1:34">
      <c r="A62" s="28"/>
      <c r="B62" s="180"/>
      <c r="C62" s="188"/>
      <c r="D62" s="161"/>
      <c r="E62" s="162"/>
      <c r="F62" s="162"/>
      <c r="G62" s="163"/>
      <c r="H62" s="285"/>
      <c r="I62" s="282"/>
      <c r="J62" s="16"/>
      <c r="K62" s="18">
        <f t="shared" si="0"/>
        <v>0</v>
      </c>
      <c r="L62" s="288">
        <v>0</v>
      </c>
      <c r="M62" s="291"/>
      <c r="N62" s="164"/>
      <c r="O62" s="164"/>
      <c r="P62" s="164"/>
      <c r="Q62" s="175">
        <f t="shared" si="1"/>
        <v>0</v>
      </c>
      <c r="R62" s="164"/>
      <c r="S62" s="197">
        <f t="shared" si="2"/>
        <v>0</v>
      </c>
      <c r="T62" s="201" t="str" cm="1">
        <f t="array" ref="T62">IFERROR(IF(F62="甲",IF(K62&gt;3500000,VLOOKUP(3500000,源泉DB!$B$261:$L$261,L62+3)+ROUNDDOWN((K62-3500000)*45.945%,0),IF(AND(K62&gt;2250000,K62&lt;3500000),VLOOKUP(2250000,源泉DB!$B$260:$K$260,L62+3)+ROUNDDOWN((K62-2250000)*40.84%,0),IF(AND(K62&gt;2210000,K62&lt;2250000),VLOOKUP(2210000,源泉DB!$B$259:$K$259,L62+3)+ROUNDDOWN((K62-2210000)*40.84%,0),IF(AND(K62&gt;2170000,K62&lt;2210000),VLOOKUP(2170000,源泉DB!$B$258:$K$258,L62+3)+ROUNDDOWN((K62-2170000)*40.84%,0),IF(AND(K62&gt;1700000,K62&lt;2170000),VLOOKUP(1700000,源泉DB!$B$257:$K$257,L62+3)+ROUNDDOWN((K62-1700000)*40.84%,0),IF(AND(K62&gt;950000,K62&lt;1700000),VLOOKUP(950000,源泉DB!$B$256:$K$256,L62+3)+ROUNDDOWN((K62-950000)*33.693%,0),IF(AND(K62&gt;780000,K62&lt;950000),VLOOKUP(780000,源泉DB!$B$255:$K$255,L62+3)+ROUNDDOWN((K62-780000)*23.483%,0),IF(AND(K62&gt;740000,K62&lt;780000),VLOOKUP(740000,源泉DB!$B$254:$K$254,L62+3)+ROUNDDOWN((K62-740000)*20.42%,0),VLOOKUP(K62,源泉DB!$B$8:$K$299,L62+3))))))))),IF(F62="乙",IF(K62&gt;1700000,651900+(K62-1700000) *45.945%,IF(K62=1700000,651900,IF(AND(K62&gt;740000,K62&lt;1700000),259800+(K62-740000)*40.84%,IF(K62=740000,259800,IF(K62&lt;88000,ROUNDDOWN(K62*3.063%,9),VLOOKUP(K62,源泉DB!$B$8:$L$254,11)))))),"")),"")</f>
        <v/>
      </c>
      <c r="U62" s="165"/>
      <c r="V62" s="166"/>
      <c r="W62" s="166"/>
      <c r="X62" s="166"/>
      <c r="Y62" s="166"/>
      <c r="Z62" s="178">
        <f>ROUND(IFERROR(IF(($G62="加入"),VLOOKUP($I62,年金DB!$G$16:$P$65,6,TRUE),0),0)-0.1,0)</f>
        <v>0</v>
      </c>
      <c r="AA62" s="178">
        <f>ROUND(IFERROR(IF(AND($G62="加入",$D62&gt;=40,$D62&lt;=64),VLOOKUP($I62,年金DB!$G$16:$P$65,10,TRUE),0),0)-0.1,0)</f>
        <v>0</v>
      </c>
      <c r="AB62" s="178">
        <f>ROUND(IFERROR(IF(AND($G62="加入",$D62&lt;40),VLOOKUP($J62,年金DB!$G$16:$X$62,14,TRUE),IF(AND($G62="加入",$D62&gt;=40),VLOOKUP($J62,年金DB!$G$16:$X$62,14,TRUE),"0")),0)-0.1,0)</f>
        <v>0</v>
      </c>
      <c r="AC62" s="178">
        <f t="shared" si="3"/>
        <v>0</v>
      </c>
      <c r="AD62" s="21">
        <f t="shared" si="4"/>
        <v>0</v>
      </c>
      <c r="AE62" s="173">
        <f t="shared" si="5"/>
        <v>0</v>
      </c>
      <c r="AF62" s="14" t="str">
        <f t="shared" si="6"/>
        <v/>
      </c>
      <c r="AG62" s="14"/>
      <c r="AH62" s="14"/>
    </row>
    <row r="63" spans="1:34">
      <c r="A63" s="28"/>
      <c r="B63" s="180"/>
      <c r="C63" s="188"/>
      <c r="D63" s="161"/>
      <c r="E63" s="162"/>
      <c r="F63" s="162"/>
      <c r="G63" s="163"/>
      <c r="H63" s="285"/>
      <c r="I63" s="282"/>
      <c r="J63" s="16"/>
      <c r="K63" s="18">
        <f t="shared" si="0"/>
        <v>0</v>
      </c>
      <c r="L63" s="288">
        <v>0</v>
      </c>
      <c r="M63" s="291"/>
      <c r="N63" s="164"/>
      <c r="O63" s="164"/>
      <c r="P63" s="164"/>
      <c r="Q63" s="175">
        <f t="shared" si="1"/>
        <v>0</v>
      </c>
      <c r="R63" s="164"/>
      <c r="S63" s="197">
        <f t="shared" si="2"/>
        <v>0</v>
      </c>
      <c r="T63" s="201" t="str" cm="1">
        <f t="array" ref="T63">IFERROR(IF(F63="甲",IF(K63&gt;3500000,VLOOKUP(3500000,源泉DB!$B$261:$L$261,L63+3)+ROUNDDOWN((K63-3500000)*45.945%,0),IF(AND(K63&gt;2250000,K63&lt;3500000),VLOOKUP(2250000,源泉DB!$B$260:$K$260,L63+3)+ROUNDDOWN((K63-2250000)*40.84%,0),IF(AND(K63&gt;2210000,K63&lt;2250000),VLOOKUP(2210000,源泉DB!$B$259:$K$259,L63+3)+ROUNDDOWN((K63-2210000)*40.84%,0),IF(AND(K63&gt;2170000,K63&lt;2210000),VLOOKUP(2170000,源泉DB!$B$258:$K$258,L63+3)+ROUNDDOWN((K63-2170000)*40.84%,0),IF(AND(K63&gt;1700000,K63&lt;2170000),VLOOKUP(1700000,源泉DB!$B$257:$K$257,L63+3)+ROUNDDOWN((K63-1700000)*40.84%,0),IF(AND(K63&gt;950000,K63&lt;1700000),VLOOKUP(950000,源泉DB!$B$256:$K$256,L63+3)+ROUNDDOWN((K63-950000)*33.693%,0),IF(AND(K63&gt;780000,K63&lt;950000),VLOOKUP(780000,源泉DB!$B$255:$K$255,L63+3)+ROUNDDOWN((K63-780000)*23.483%,0),IF(AND(K63&gt;740000,K63&lt;780000),VLOOKUP(740000,源泉DB!$B$254:$K$254,L63+3)+ROUNDDOWN((K63-740000)*20.42%,0),VLOOKUP(K63,源泉DB!$B$8:$K$299,L63+3))))))))),IF(F63="乙",IF(K63&gt;1700000,651900+(K63-1700000) *45.945%,IF(K63=1700000,651900,IF(AND(K63&gt;740000,K63&lt;1700000),259800+(K63-740000)*40.84%,IF(K63=740000,259800,IF(K63&lt;88000,ROUNDDOWN(K63*3.063%,9),VLOOKUP(K63,源泉DB!$B$8:$L$254,11)))))),"")),"")</f>
        <v/>
      </c>
      <c r="U63" s="165"/>
      <c r="V63" s="166"/>
      <c r="W63" s="166"/>
      <c r="X63" s="166"/>
      <c r="Y63" s="166"/>
      <c r="Z63" s="178">
        <f>ROUND(IFERROR(IF(($G63="加入"),VLOOKUP($I63,年金DB!$G$16:$P$65,6,TRUE),0),0)-0.1,0)</f>
        <v>0</v>
      </c>
      <c r="AA63" s="178">
        <f>ROUND(IFERROR(IF(AND($G63="加入",$D63&gt;=40,$D63&lt;=64),VLOOKUP($I63,年金DB!$G$16:$P$65,10,TRUE),0),0)-0.1,0)</f>
        <v>0</v>
      </c>
      <c r="AB63" s="178">
        <f>ROUND(IFERROR(IF(AND($G63="加入",$D63&lt;40),VLOOKUP($J63,年金DB!$G$16:$X$62,14,TRUE),IF(AND($G63="加入",$D63&gt;=40),VLOOKUP($J63,年金DB!$G$16:$X$62,14,TRUE),"0")),0)-0.1,0)</f>
        <v>0</v>
      </c>
      <c r="AC63" s="178">
        <f t="shared" si="3"/>
        <v>0</v>
      </c>
      <c r="AD63" s="21">
        <f t="shared" si="4"/>
        <v>0</v>
      </c>
      <c r="AE63" s="173">
        <f t="shared" si="5"/>
        <v>0</v>
      </c>
      <c r="AF63" s="14" t="str">
        <f t="shared" si="6"/>
        <v/>
      </c>
      <c r="AG63" s="14"/>
      <c r="AH63" s="14"/>
    </row>
    <row r="64" spans="1:34">
      <c r="A64" s="28"/>
      <c r="B64" s="180"/>
      <c r="C64" s="188"/>
      <c r="D64" s="161"/>
      <c r="E64" s="162"/>
      <c r="F64" s="162"/>
      <c r="G64" s="163"/>
      <c r="H64" s="285"/>
      <c r="I64" s="282"/>
      <c r="J64" s="16"/>
      <c r="K64" s="18">
        <f t="shared" si="0"/>
        <v>0</v>
      </c>
      <c r="L64" s="288">
        <v>0</v>
      </c>
      <c r="M64" s="291"/>
      <c r="N64" s="164"/>
      <c r="O64" s="164"/>
      <c r="P64" s="164"/>
      <c r="Q64" s="175">
        <f t="shared" si="1"/>
        <v>0</v>
      </c>
      <c r="R64" s="164"/>
      <c r="S64" s="197">
        <f t="shared" si="2"/>
        <v>0</v>
      </c>
      <c r="T64" s="201" t="str" cm="1">
        <f t="array" ref="T64">IFERROR(IF(F64="甲",IF(K64&gt;3500000,VLOOKUP(3500000,源泉DB!$B$261:$L$261,L64+3)+ROUNDDOWN((K64-3500000)*45.945%,0),IF(AND(K64&gt;2250000,K64&lt;3500000),VLOOKUP(2250000,源泉DB!$B$260:$K$260,L64+3)+ROUNDDOWN((K64-2250000)*40.84%,0),IF(AND(K64&gt;2210000,K64&lt;2250000),VLOOKUP(2210000,源泉DB!$B$259:$K$259,L64+3)+ROUNDDOWN((K64-2210000)*40.84%,0),IF(AND(K64&gt;2170000,K64&lt;2210000),VLOOKUP(2170000,源泉DB!$B$258:$K$258,L64+3)+ROUNDDOWN((K64-2170000)*40.84%,0),IF(AND(K64&gt;1700000,K64&lt;2170000),VLOOKUP(1700000,源泉DB!$B$257:$K$257,L64+3)+ROUNDDOWN((K64-1700000)*40.84%,0),IF(AND(K64&gt;950000,K64&lt;1700000),VLOOKUP(950000,源泉DB!$B$256:$K$256,L64+3)+ROUNDDOWN((K64-950000)*33.693%,0),IF(AND(K64&gt;780000,K64&lt;950000),VLOOKUP(780000,源泉DB!$B$255:$K$255,L64+3)+ROUNDDOWN((K64-780000)*23.483%,0),IF(AND(K64&gt;740000,K64&lt;780000),VLOOKUP(740000,源泉DB!$B$254:$K$254,L64+3)+ROUNDDOWN((K64-740000)*20.42%,0),VLOOKUP(K64,源泉DB!$B$8:$K$299,L64+3))))))))),IF(F64="乙",IF(K64&gt;1700000,651900+(K64-1700000) *45.945%,IF(K64=1700000,651900,IF(AND(K64&gt;740000,K64&lt;1700000),259800+(K64-740000)*40.84%,IF(K64=740000,259800,IF(K64&lt;88000,ROUNDDOWN(K64*3.063%,9),VLOOKUP(K64,源泉DB!$B$8:$L$254,11)))))),"")),"")</f>
        <v/>
      </c>
      <c r="U64" s="165"/>
      <c r="V64" s="166"/>
      <c r="W64" s="166"/>
      <c r="X64" s="166"/>
      <c r="Y64" s="166"/>
      <c r="Z64" s="178">
        <f>ROUND(IFERROR(IF(($G64="加入"),VLOOKUP($I64,年金DB!$G$16:$P$65,6,TRUE),0),0)-0.1,0)</f>
        <v>0</v>
      </c>
      <c r="AA64" s="178">
        <f>ROUND(IFERROR(IF(AND($G64="加入",$D64&gt;=40,$D64&lt;=64),VLOOKUP($I64,年金DB!$G$16:$P$65,10,TRUE),0),0)-0.1,0)</f>
        <v>0</v>
      </c>
      <c r="AB64" s="178">
        <f>ROUND(IFERROR(IF(AND($G64="加入",$D64&lt;40),VLOOKUP($J64,年金DB!$G$16:$X$62,14,TRUE),IF(AND($G64="加入",$D64&gt;=40),VLOOKUP($J64,年金DB!$G$16:$X$62,14,TRUE),"0")),0)-0.1,0)</f>
        <v>0</v>
      </c>
      <c r="AC64" s="178">
        <f t="shared" si="3"/>
        <v>0</v>
      </c>
      <c r="AD64" s="21">
        <f t="shared" si="4"/>
        <v>0</v>
      </c>
      <c r="AE64" s="173">
        <f t="shared" si="5"/>
        <v>0</v>
      </c>
      <c r="AF64" s="14" t="str">
        <f t="shared" si="6"/>
        <v/>
      </c>
      <c r="AG64" s="14"/>
      <c r="AH64" s="14"/>
    </row>
    <row r="65" spans="1:34">
      <c r="A65" s="28"/>
      <c r="B65" s="180"/>
      <c r="C65" s="188"/>
      <c r="D65" s="161"/>
      <c r="E65" s="162"/>
      <c r="F65" s="162"/>
      <c r="G65" s="163"/>
      <c r="H65" s="285"/>
      <c r="I65" s="282"/>
      <c r="J65" s="16"/>
      <c r="K65" s="18">
        <f t="shared" si="0"/>
        <v>0</v>
      </c>
      <c r="L65" s="288">
        <v>0</v>
      </c>
      <c r="M65" s="291"/>
      <c r="N65" s="164"/>
      <c r="O65" s="164"/>
      <c r="P65" s="164"/>
      <c r="Q65" s="175">
        <f t="shared" si="1"/>
        <v>0</v>
      </c>
      <c r="R65" s="164"/>
      <c r="S65" s="197">
        <f t="shared" si="2"/>
        <v>0</v>
      </c>
      <c r="T65" s="201" t="str" cm="1">
        <f t="array" ref="T65">IFERROR(IF(F65="甲",IF(K65&gt;3500000,VLOOKUP(3500000,源泉DB!$B$261:$L$261,L65+3)+ROUNDDOWN((K65-3500000)*45.945%,0),IF(AND(K65&gt;2250000,K65&lt;3500000),VLOOKUP(2250000,源泉DB!$B$260:$K$260,L65+3)+ROUNDDOWN((K65-2250000)*40.84%,0),IF(AND(K65&gt;2210000,K65&lt;2250000),VLOOKUP(2210000,源泉DB!$B$259:$K$259,L65+3)+ROUNDDOWN((K65-2210000)*40.84%,0),IF(AND(K65&gt;2170000,K65&lt;2210000),VLOOKUP(2170000,源泉DB!$B$258:$K$258,L65+3)+ROUNDDOWN((K65-2170000)*40.84%,0),IF(AND(K65&gt;1700000,K65&lt;2170000),VLOOKUP(1700000,源泉DB!$B$257:$K$257,L65+3)+ROUNDDOWN((K65-1700000)*40.84%,0),IF(AND(K65&gt;950000,K65&lt;1700000),VLOOKUP(950000,源泉DB!$B$256:$K$256,L65+3)+ROUNDDOWN((K65-950000)*33.693%,0),IF(AND(K65&gt;780000,K65&lt;950000),VLOOKUP(780000,源泉DB!$B$255:$K$255,L65+3)+ROUNDDOWN((K65-780000)*23.483%,0),IF(AND(K65&gt;740000,K65&lt;780000),VLOOKUP(740000,源泉DB!$B$254:$K$254,L65+3)+ROUNDDOWN((K65-740000)*20.42%,0),VLOOKUP(K65,源泉DB!$B$8:$K$299,L65+3))))))))),IF(F65="乙",IF(K65&gt;1700000,651900+(K65-1700000) *45.945%,IF(K65=1700000,651900,IF(AND(K65&gt;740000,K65&lt;1700000),259800+(K65-740000)*40.84%,IF(K65=740000,259800,IF(K65&lt;88000,ROUNDDOWN(K65*3.063%,9),VLOOKUP(K65,源泉DB!$B$8:$L$254,11)))))),"")),"")</f>
        <v/>
      </c>
      <c r="U65" s="165"/>
      <c r="V65" s="166"/>
      <c r="W65" s="166"/>
      <c r="X65" s="166"/>
      <c r="Y65" s="166"/>
      <c r="Z65" s="178">
        <f>ROUND(IFERROR(IF(($G65="加入"),VLOOKUP($I65,年金DB!$G$16:$P$65,6,TRUE),0),0)-0.1,0)</f>
        <v>0</v>
      </c>
      <c r="AA65" s="178">
        <f>ROUND(IFERROR(IF(AND($G65="加入",$D65&gt;=40,$D65&lt;=64),VLOOKUP($I65,年金DB!$G$16:$P$65,10,TRUE),0),0)-0.1,0)</f>
        <v>0</v>
      </c>
      <c r="AB65" s="178">
        <f>ROUND(IFERROR(IF(AND($G65="加入",$D65&lt;40),VLOOKUP($J65,年金DB!$G$16:$X$62,14,TRUE),IF(AND($G65="加入",$D65&gt;=40),VLOOKUP($J65,年金DB!$G$16:$X$62,14,TRUE),"0")),0)-0.1,0)</f>
        <v>0</v>
      </c>
      <c r="AC65" s="178">
        <f t="shared" si="3"/>
        <v>0</v>
      </c>
      <c r="AD65" s="21">
        <f t="shared" si="4"/>
        <v>0</v>
      </c>
      <c r="AE65" s="173">
        <f t="shared" si="5"/>
        <v>0</v>
      </c>
      <c r="AF65" s="14" t="str">
        <f t="shared" si="6"/>
        <v/>
      </c>
      <c r="AG65" s="14"/>
      <c r="AH65" s="14"/>
    </row>
    <row r="66" spans="1:34">
      <c r="A66" s="28"/>
      <c r="B66" s="180"/>
      <c r="C66" s="188"/>
      <c r="D66" s="161"/>
      <c r="E66" s="162"/>
      <c r="F66" s="162"/>
      <c r="G66" s="163"/>
      <c r="H66" s="285"/>
      <c r="I66" s="282"/>
      <c r="J66" s="16"/>
      <c r="K66" s="18">
        <f t="shared" si="0"/>
        <v>0</v>
      </c>
      <c r="L66" s="288">
        <v>0</v>
      </c>
      <c r="M66" s="291"/>
      <c r="N66" s="164"/>
      <c r="O66" s="164"/>
      <c r="P66" s="164"/>
      <c r="Q66" s="175">
        <f t="shared" si="1"/>
        <v>0</v>
      </c>
      <c r="R66" s="164"/>
      <c r="S66" s="197">
        <f t="shared" si="2"/>
        <v>0</v>
      </c>
      <c r="T66" s="201" t="str" cm="1">
        <f t="array" ref="T66">IFERROR(IF(F66="甲",IF(K66&gt;3500000,VLOOKUP(3500000,源泉DB!$B$261:$L$261,L66+3)+ROUNDDOWN((K66-3500000)*45.945%,0),IF(AND(K66&gt;2250000,K66&lt;3500000),VLOOKUP(2250000,源泉DB!$B$260:$K$260,L66+3)+ROUNDDOWN((K66-2250000)*40.84%,0),IF(AND(K66&gt;2210000,K66&lt;2250000),VLOOKUP(2210000,源泉DB!$B$259:$K$259,L66+3)+ROUNDDOWN((K66-2210000)*40.84%,0),IF(AND(K66&gt;2170000,K66&lt;2210000),VLOOKUP(2170000,源泉DB!$B$258:$K$258,L66+3)+ROUNDDOWN((K66-2170000)*40.84%,0),IF(AND(K66&gt;1700000,K66&lt;2170000),VLOOKUP(1700000,源泉DB!$B$257:$K$257,L66+3)+ROUNDDOWN((K66-1700000)*40.84%,0),IF(AND(K66&gt;950000,K66&lt;1700000),VLOOKUP(950000,源泉DB!$B$256:$K$256,L66+3)+ROUNDDOWN((K66-950000)*33.693%,0),IF(AND(K66&gt;780000,K66&lt;950000),VLOOKUP(780000,源泉DB!$B$255:$K$255,L66+3)+ROUNDDOWN((K66-780000)*23.483%,0),IF(AND(K66&gt;740000,K66&lt;780000),VLOOKUP(740000,源泉DB!$B$254:$K$254,L66+3)+ROUNDDOWN((K66-740000)*20.42%,0),VLOOKUP(K66,源泉DB!$B$8:$K$299,L66+3))))))))),IF(F66="乙",IF(K66&gt;1700000,651900+(K66-1700000) *45.945%,IF(K66=1700000,651900,IF(AND(K66&gt;740000,K66&lt;1700000),259800+(K66-740000)*40.84%,IF(K66=740000,259800,IF(K66&lt;88000,ROUNDDOWN(K66*3.063%,9),VLOOKUP(K66,源泉DB!$B$8:$L$254,11)))))),"")),"")</f>
        <v/>
      </c>
      <c r="U66" s="165"/>
      <c r="V66" s="166"/>
      <c r="W66" s="166"/>
      <c r="X66" s="166"/>
      <c r="Y66" s="166"/>
      <c r="Z66" s="178">
        <f>ROUND(IFERROR(IF(($G66="加入"),VLOOKUP($I66,年金DB!$G$16:$P$65,6,TRUE),0),0)-0.1,0)</f>
        <v>0</v>
      </c>
      <c r="AA66" s="178">
        <f>ROUND(IFERROR(IF(AND($G66="加入",$D66&gt;=40,$D66&lt;=64),VLOOKUP($I66,年金DB!$G$16:$P$65,10,TRUE),0),0)-0.1,0)</f>
        <v>0</v>
      </c>
      <c r="AB66" s="178">
        <f>ROUND(IFERROR(IF(AND($G66="加入",$D66&lt;40),VLOOKUP($J66,年金DB!$G$16:$X$62,14,TRUE),IF(AND($G66="加入",$D66&gt;=40),VLOOKUP($J66,年金DB!$G$16:$X$62,14,TRUE),"0")),0)-0.1,0)</f>
        <v>0</v>
      </c>
      <c r="AC66" s="178">
        <f t="shared" si="3"/>
        <v>0</v>
      </c>
      <c r="AD66" s="21">
        <f t="shared" si="4"/>
        <v>0</v>
      </c>
      <c r="AE66" s="173">
        <f t="shared" si="5"/>
        <v>0</v>
      </c>
      <c r="AF66" s="14" t="str">
        <f t="shared" si="6"/>
        <v/>
      </c>
      <c r="AG66" s="14"/>
      <c r="AH66" s="14"/>
    </row>
    <row r="67" spans="1:34">
      <c r="A67" s="28"/>
      <c r="B67" s="180"/>
      <c r="C67" s="188"/>
      <c r="D67" s="161"/>
      <c r="E67" s="162"/>
      <c r="F67" s="162"/>
      <c r="G67" s="163"/>
      <c r="H67" s="285"/>
      <c r="I67" s="282"/>
      <c r="J67" s="16"/>
      <c r="K67" s="18">
        <f t="shared" si="0"/>
        <v>0</v>
      </c>
      <c r="L67" s="288">
        <v>0</v>
      </c>
      <c r="M67" s="291"/>
      <c r="N67" s="164"/>
      <c r="O67" s="164"/>
      <c r="P67" s="164"/>
      <c r="Q67" s="175">
        <f t="shared" si="1"/>
        <v>0</v>
      </c>
      <c r="R67" s="164"/>
      <c r="S67" s="197">
        <f t="shared" si="2"/>
        <v>0</v>
      </c>
      <c r="T67" s="201" t="str" cm="1">
        <f t="array" ref="T67">IFERROR(IF(F67="甲",IF(K67&gt;3500000,VLOOKUP(3500000,源泉DB!$B$261:$L$261,L67+3)+ROUNDDOWN((K67-3500000)*45.945%,0),IF(AND(K67&gt;2250000,K67&lt;3500000),VLOOKUP(2250000,源泉DB!$B$260:$K$260,L67+3)+ROUNDDOWN((K67-2250000)*40.84%,0),IF(AND(K67&gt;2210000,K67&lt;2250000),VLOOKUP(2210000,源泉DB!$B$259:$K$259,L67+3)+ROUNDDOWN((K67-2210000)*40.84%,0),IF(AND(K67&gt;2170000,K67&lt;2210000),VLOOKUP(2170000,源泉DB!$B$258:$K$258,L67+3)+ROUNDDOWN((K67-2170000)*40.84%,0),IF(AND(K67&gt;1700000,K67&lt;2170000),VLOOKUP(1700000,源泉DB!$B$257:$K$257,L67+3)+ROUNDDOWN((K67-1700000)*40.84%,0),IF(AND(K67&gt;950000,K67&lt;1700000),VLOOKUP(950000,源泉DB!$B$256:$K$256,L67+3)+ROUNDDOWN((K67-950000)*33.693%,0),IF(AND(K67&gt;780000,K67&lt;950000),VLOOKUP(780000,源泉DB!$B$255:$K$255,L67+3)+ROUNDDOWN((K67-780000)*23.483%,0),IF(AND(K67&gt;740000,K67&lt;780000),VLOOKUP(740000,源泉DB!$B$254:$K$254,L67+3)+ROUNDDOWN((K67-740000)*20.42%,0),VLOOKUP(K67,源泉DB!$B$8:$K$299,L67+3))))))))),IF(F67="乙",IF(K67&gt;1700000,651900+(K67-1700000) *45.945%,IF(K67=1700000,651900,IF(AND(K67&gt;740000,K67&lt;1700000),259800+(K67-740000)*40.84%,IF(K67=740000,259800,IF(K67&lt;88000,ROUNDDOWN(K67*3.063%,9),VLOOKUP(K67,源泉DB!$B$8:$L$254,11)))))),"")),"")</f>
        <v/>
      </c>
      <c r="U67" s="165"/>
      <c r="V67" s="166"/>
      <c r="W67" s="166"/>
      <c r="X67" s="166"/>
      <c r="Y67" s="166"/>
      <c r="Z67" s="178">
        <f>ROUND(IFERROR(IF(($G67="加入"),VLOOKUP($I67,年金DB!$G$16:$P$65,6,TRUE),0),0)-0.1,0)</f>
        <v>0</v>
      </c>
      <c r="AA67" s="178">
        <f>ROUND(IFERROR(IF(AND($G67="加入",$D67&gt;=40,$D67&lt;=64),VLOOKUP($I67,年金DB!$G$16:$P$65,10,TRUE),0),0)-0.1,0)</f>
        <v>0</v>
      </c>
      <c r="AB67" s="178">
        <f>ROUND(IFERROR(IF(AND($G67="加入",$D67&lt;40),VLOOKUP($J67,年金DB!$G$16:$X$62,14,TRUE),IF(AND($G67="加入",$D67&gt;=40),VLOOKUP($J67,年金DB!$G$16:$X$62,14,TRUE),"0")),0)-0.1,0)</f>
        <v>0</v>
      </c>
      <c r="AC67" s="178">
        <f t="shared" si="3"/>
        <v>0</v>
      </c>
      <c r="AD67" s="21">
        <f t="shared" si="4"/>
        <v>0</v>
      </c>
      <c r="AE67" s="173">
        <f t="shared" si="5"/>
        <v>0</v>
      </c>
      <c r="AF67" s="14" t="str">
        <f t="shared" si="6"/>
        <v/>
      </c>
      <c r="AG67" s="14"/>
      <c r="AH67" s="14"/>
    </row>
    <row r="68" spans="1:34">
      <c r="A68" s="28"/>
      <c r="B68" s="180"/>
      <c r="C68" s="188"/>
      <c r="D68" s="161"/>
      <c r="E68" s="162"/>
      <c r="F68" s="162"/>
      <c r="G68" s="163"/>
      <c r="H68" s="285"/>
      <c r="I68" s="282"/>
      <c r="J68" s="16"/>
      <c r="K68" s="18">
        <f t="shared" si="0"/>
        <v>0</v>
      </c>
      <c r="L68" s="288">
        <v>0</v>
      </c>
      <c r="M68" s="291"/>
      <c r="N68" s="164"/>
      <c r="O68" s="164"/>
      <c r="P68" s="164"/>
      <c r="Q68" s="175">
        <f t="shared" si="1"/>
        <v>0</v>
      </c>
      <c r="R68" s="164"/>
      <c r="S68" s="197">
        <f t="shared" si="2"/>
        <v>0</v>
      </c>
      <c r="T68" s="201" t="str" cm="1">
        <f t="array" ref="T68">IFERROR(IF(F68="甲",IF(K68&gt;3500000,VLOOKUP(3500000,源泉DB!$B$261:$L$261,L68+3)+ROUNDDOWN((K68-3500000)*45.945%,0),IF(AND(K68&gt;2250000,K68&lt;3500000),VLOOKUP(2250000,源泉DB!$B$260:$K$260,L68+3)+ROUNDDOWN((K68-2250000)*40.84%,0),IF(AND(K68&gt;2210000,K68&lt;2250000),VLOOKUP(2210000,源泉DB!$B$259:$K$259,L68+3)+ROUNDDOWN((K68-2210000)*40.84%,0),IF(AND(K68&gt;2170000,K68&lt;2210000),VLOOKUP(2170000,源泉DB!$B$258:$K$258,L68+3)+ROUNDDOWN((K68-2170000)*40.84%,0),IF(AND(K68&gt;1700000,K68&lt;2170000),VLOOKUP(1700000,源泉DB!$B$257:$K$257,L68+3)+ROUNDDOWN((K68-1700000)*40.84%,0),IF(AND(K68&gt;950000,K68&lt;1700000),VLOOKUP(950000,源泉DB!$B$256:$K$256,L68+3)+ROUNDDOWN((K68-950000)*33.693%,0),IF(AND(K68&gt;780000,K68&lt;950000),VLOOKUP(780000,源泉DB!$B$255:$K$255,L68+3)+ROUNDDOWN((K68-780000)*23.483%,0),IF(AND(K68&gt;740000,K68&lt;780000),VLOOKUP(740000,源泉DB!$B$254:$K$254,L68+3)+ROUNDDOWN((K68-740000)*20.42%,0),VLOOKUP(K68,源泉DB!$B$8:$K$299,L68+3))))))))),IF(F68="乙",IF(K68&gt;1700000,651900+(K68-1700000) *45.945%,IF(K68=1700000,651900,IF(AND(K68&gt;740000,K68&lt;1700000),259800+(K68-740000)*40.84%,IF(K68=740000,259800,IF(K68&lt;88000,ROUNDDOWN(K68*3.063%,9),VLOOKUP(K68,源泉DB!$B$8:$L$254,11)))))),"")),"")</f>
        <v/>
      </c>
      <c r="U68" s="165"/>
      <c r="V68" s="166"/>
      <c r="W68" s="166"/>
      <c r="X68" s="166"/>
      <c r="Y68" s="166"/>
      <c r="Z68" s="178">
        <f>ROUND(IFERROR(IF(($G68="加入"),VLOOKUP($I68,年金DB!$G$16:$P$65,6,TRUE),0),0)-0.1,0)</f>
        <v>0</v>
      </c>
      <c r="AA68" s="178">
        <f>ROUND(IFERROR(IF(AND($G68="加入",$D68&gt;=40,$D68&lt;=64),VLOOKUP($I68,年金DB!$G$16:$P$65,10,TRUE),0),0)-0.1,0)</f>
        <v>0</v>
      </c>
      <c r="AB68" s="178">
        <f>ROUND(IFERROR(IF(AND($G68="加入",$D68&lt;40),VLOOKUP($J68,年金DB!$G$16:$X$62,14,TRUE),IF(AND($G68="加入",$D68&gt;=40),VLOOKUP($J68,年金DB!$G$16:$X$62,14,TRUE),"0")),0)-0.1,0)</f>
        <v>0</v>
      </c>
      <c r="AC68" s="178">
        <f t="shared" si="3"/>
        <v>0</v>
      </c>
      <c r="AD68" s="21">
        <f t="shared" si="4"/>
        <v>0</v>
      </c>
      <c r="AE68" s="173">
        <f t="shared" si="5"/>
        <v>0</v>
      </c>
      <c r="AF68" s="14" t="str">
        <f t="shared" si="6"/>
        <v/>
      </c>
      <c r="AG68" s="14"/>
      <c r="AH68" s="14"/>
    </row>
    <row r="69" spans="1:34">
      <c r="A69" s="28"/>
      <c r="B69" s="180"/>
      <c r="C69" s="188"/>
      <c r="D69" s="161"/>
      <c r="E69" s="162"/>
      <c r="F69" s="162"/>
      <c r="G69" s="163"/>
      <c r="H69" s="285"/>
      <c r="I69" s="282"/>
      <c r="J69" s="16"/>
      <c r="K69" s="18">
        <f t="shared" si="0"/>
        <v>0</v>
      </c>
      <c r="L69" s="288">
        <v>0</v>
      </c>
      <c r="M69" s="291"/>
      <c r="N69" s="164"/>
      <c r="O69" s="164"/>
      <c r="P69" s="164"/>
      <c r="Q69" s="175">
        <f t="shared" si="1"/>
        <v>0</v>
      </c>
      <c r="R69" s="164"/>
      <c r="S69" s="197">
        <f t="shared" si="2"/>
        <v>0</v>
      </c>
      <c r="T69" s="201" t="str" cm="1">
        <f t="array" ref="T69">IFERROR(IF(F69="甲",IF(K69&gt;3500000,VLOOKUP(3500000,源泉DB!$B$261:$L$261,L69+3)+ROUNDDOWN((K69-3500000)*45.945%,0),IF(AND(K69&gt;2250000,K69&lt;3500000),VLOOKUP(2250000,源泉DB!$B$260:$K$260,L69+3)+ROUNDDOWN((K69-2250000)*40.84%,0),IF(AND(K69&gt;2210000,K69&lt;2250000),VLOOKUP(2210000,源泉DB!$B$259:$K$259,L69+3)+ROUNDDOWN((K69-2210000)*40.84%,0),IF(AND(K69&gt;2170000,K69&lt;2210000),VLOOKUP(2170000,源泉DB!$B$258:$K$258,L69+3)+ROUNDDOWN((K69-2170000)*40.84%,0),IF(AND(K69&gt;1700000,K69&lt;2170000),VLOOKUP(1700000,源泉DB!$B$257:$K$257,L69+3)+ROUNDDOWN((K69-1700000)*40.84%,0),IF(AND(K69&gt;950000,K69&lt;1700000),VLOOKUP(950000,源泉DB!$B$256:$K$256,L69+3)+ROUNDDOWN((K69-950000)*33.693%,0),IF(AND(K69&gt;780000,K69&lt;950000),VLOOKUP(780000,源泉DB!$B$255:$K$255,L69+3)+ROUNDDOWN((K69-780000)*23.483%,0),IF(AND(K69&gt;740000,K69&lt;780000),VLOOKUP(740000,源泉DB!$B$254:$K$254,L69+3)+ROUNDDOWN((K69-740000)*20.42%,0),VLOOKUP(K69,源泉DB!$B$8:$K$299,L69+3))))))))),IF(F69="乙",IF(K69&gt;1700000,651900+(K69-1700000) *45.945%,IF(K69=1700000,651900,IF(AND(K69&gt;740000,K69&lt;1700000),259800+(K69-740000)*40.84%,IF(K69=740000,259800,IF(K69&lt;88000,ROUNDDOWN(K69*3.063%,9),VLOOKUP(K69,源泉DB!$B$8:$L$254,11)))))),"")),"")</f>
        <v/>
      </c>
      <c r="U69" s="165"/>
      <c r="V69" s="166"/>
      <c r="W69" s="166"/>
      <c r="X69" s="166"/>
      <c r="Y69" s="166"/>
      <c r="Z69" s="178">
        <f>ROUND(IFERROR(IF(($G69="加入"),VLOOKUP($I69,年金DB!$G$16:$P$65,6,TRUE),0),0)-0.1,0)</f>
        <v>0</v>
      </c>
      <c r="AA69" s="178">
        <f>ROUND(IFERROR(IF(AND($G69="加入",$D69&gt;=40,$D69&lt;=64),VLOOKUP($I69,年金DB!$G$16:$P$65,10,TRUE),0),0)-0.1,0)</f>
        <v>0</v>
      </c>
      <c r="AB69" s="178">
        <f>ROUND(IFERROR(IF(AND($G69="加入",$D69&lt;40),VLOOKUP($J69,年金DB!$G$16:$X$62,14,TRUE),IF(AND($G69="加入",$D69&gt;=40),VLOOKUP($J69,年金DB!$G$16:$X$62,14,TRUE),"0")),0)-0.1,0)</f>
        <v>0</v>
      </c>
      <c r="AC69" s="178">
        <f t="shared" si="3"/>
        <v>0</v>
      </c>
      <c r="AD69" s="21">
        <f t="shared" si="4"/>
        <v>0</v>
      </c>
      <c r="AE69" s="173">
        <f t="shared" si="5"/>
        <v>0</v>
      </c>
      <c r="AF69" s="14" t="str">
        <f t="shared" si="6"/>
        <v/>
      </c>
      <c r="AG69" s="14"/>
      <c r="AH69" s="14"/>
    </row>
    <row r="70" spans="1:34">
      <c r="A70" s="28"/>
      <c r="B70" s="180"/>
      <c r="C70" s="188"/>
      <c r="D70" s="161"/>
      <c r="E70" s="162"/>
      <c r="F70" s="162"/>
      <c r="G70" s="163"/>
      <c r="H70" s="285"/>
      <c r="I70" s="282"/>
      <c r="J70" s="16"/>
      <c r="K70" s="18">
        <f t="shared" si="0"/>
        <v>0</v>
      </c>
      <c r="L70" s="288">
        <v>0</v>
      </c>
      <c r="M70" s="291"/>
      <c r="N70" s="164"/>
      <c r="O70" s="164"/>
      <c r="P70" s="164"/>
      <c r="Q70" s="175">
        <f t="shared" si="1"/>
        <v>0</v>
      </c>
      <c r="R70" s="164"/>
      <c r="S70" s="197">
        <f t="shared" si="2"/>
        <v>0</v>
      </c>
      <c r="T70" s="201" t="str" cm="1">
        <f t="array" ref="T70">IFERROR(IF(F70="甲",IF(K70&gt;3500000,VLOOKUP(3500000,源泉DB!$B$261:$L$261,L70+3)+ROUNDDOWN((K70-3500000)*45.945%,0),IF(AND(K70&gt;2250000,K70&lt;3500000),VLOOKUP(2250000,源泉DB!$B$260:$K$260,L70+3)+ROUNDDOWN((K70-2250000)*40.84%,0),IF(AND(K70&gt;2210000,K70&lt;2250000),VLOOKUP(2210000,源泉DB!$B$259:$K$259,L70+3)+ROUNDDOWN((K70-2210000)*40.84%,0),IF(AND(K70&gt;2170000,K70&lt;2210000),VLOOKUP(2170000,源泉DB!$B$258:$K$258,L70+3)+ROUNDDOWN((K70-2170000)*40.84%,0),IF(AND(K70&gt;1700000,K70&lt;2170000),VLOOKUP(1700000,源泉DB!$B$257:$K$257,L70+3)+ROUNDDOWN((K70-1700000)*40.84%,0),IF(AND(K70&gt;950000,K70&lt;1700000),VLOOKUP(950000,源泉DB!$B$256:$K$256,L70+3)+ROUNDDOWN((K70-950000)*33.693%,0),IF(AND(K70&gt;780000,K70&lt;950000),VLOOKUP(780000,源泉DB!$B$255:$K$255,L70+3)+ROUNDDOWN((K70-780000)*23.483%,0),IF(AND(K70&gt;740000,K70&lt;780000),VLOOKUP(740000,源泉DB!$B$254:$K$254,L70+3)+ROUNDDOWN((K70-740000)*20.42%,0),VLOOKUP(K70,源泉DB!$B$8:$K$299,L70+3))))))))),IF(F70="乙",IF(K70&gt;1700000,651900+(K70-1700000) *45.945%,IF(K70=1700000,651900,IF(AND(K70&gt;740000,K70&lt;1700000),259800+(K70-740000)*40.84%,IF(K70=740000,259800,IF(K70&lt;88000,ROUNDDOWN(K70*3.063%,9),VLOOKUP(K70,源泉DB!$B$8:$L$254,11)))))),"")),"")</f>
        <v/>
      </c>
      <c r="U70" s="165"/>
      <c r="V70" s="166"/>
      <c r="W70" s="166"/>
      <c r="X70" s="166"/>
      <c r="Y70" s="166"/>
      <c r="Z70" s="178">
        <f>ROUND(IFERROR(IF(($G70="加入"),VLOOKUP($I70,年金DB!$G$16:$P$65,6,TRUE),0),0)-0.1,0)</f>
        <v>0</v>
      </c>
      <c r="AA70" s="178">
        <f>ROUND(IFERROR(IF(AND($G70="加入",$D70&gt;=40,$D70&lt;=64),VLOOKUP($I70,年金DB!$G$16:$P$65,10,TRUE),0),0)-0.1,0)</f>
        <v>0</v>
      </c>
      <c r="AB70" s="178">
        <f>ROUND(IFERROR(IF(AND($G70="加入",$D70&lt;40),VLOOKUP($J70,年金DB!$G$16:$X$62,14,TRUE),IF(AND($G70="加入",$D70&gt;=40),VLOOKUP($J70,年金DB!$G$16:$X$62,14,TRUE),"0")),0)-0.1,0)</f>
        <v>0</v>
      </c>
      <c r="AC70" s="178">
        <f t="shared" si="3"/>
        <v>0</v>
      </c>
      <c r="AD70" s="21">
        <f t="shared" si="4"/>
        <v>0</v>
      </c>
      <c r="AE70" s="173">
        <f t="shared" si="5"/>
        <v>0</v>
      </c>
      <c r="AF70" s="14" t="str">
        <f t="shared" si="6"/>
        <v/>
      </c>
      <c r="AG70" s="14"/>
      <c r="AH70" s="14"/>
    </row>
    <row r="71" spans="1:34">
      <c r="A71" s="28"/>
      <c r="B71" s="180"/>
      <c r="C71" s="188"/>
      <c r="D71" s="161"/>
      <c r="E71" s="162"/>
      <c r="F71" s="162"/>
      <c r="G71" s="163"/>
      <c r="H71" s="285"/>
      <c r="I71" s="282"/>
      <c r="J71" s="16"/>
      <c r="K71" s="18">
        <f t="shared" ref="K71:K134" si="7">IF((Q71-Z71-AA71-AB71-AC71)&lt;0,0,Q71-Z71-AA71-AB71-AC71)</f>
        <v>0</v>
      </c>
      <c r="L71" s="288">
        <v>0</v>
      </c>
      <c r="M71" s="291"/>
      <c r="N71" s="164"/>
      <c r="O71" s="164"/>
      <c r="P71" s="164"/>
      <c r="Q71" s="175">
        <f t="shared" ref="Q71:Q134" si="8">SUM(M71:P71)</f>
        <v>0</v>
      </c>
      <c r="R71" s="164"/>
      <c r="S71" s="197">
        <f t="shared" ref="S71:S134" si="9">SUM(Q71:R71)</f>
        <v>0</v>
      </c>
      <c r="T71" s="201" t="str" cm="1">
        <f t="array" ref="T71">IFERROR(IF(F71="甲",IF(K71&gt;3500000,VLOOKUP(3500000,源泉DB!$B$261:$L$261,L71+3)+ROUNDDOWN((K71-3500000)*45.945%,0),IF(AND(K71&gt;2250000,K71&lt;3500000),VLOOKUP(2250000,源泉DB!$B$260:$K$260,L71+3)+ROUNDDOWN((K71-2250000)*40.84%,0),IF(AND(K71&gt;2210000,K71&lt;2250000),VLOOKUP(2210000,源泉DB!$B$259:$K$259,L71+3)+ROUNDDOWN((K71-2210000)*40.84%,0),IF(AND(K71&gt;2170000,K71&lt;2210000),VLOOKUP(2170000,源泉DB!$B$258:$K$258,L71+3)+ROUNDDOWN((K71-2170000)*40.84%,0),IF(AND(K71&gt;1700000,K71&lt;2170000),VLOOKUP(1700000,源泉DB!$B$257:$K$257,L71+3)+ROUNDDOWN((K71-1700000)*40.84%,0),IF(AND(K71&gt;950000,K71&lt;1700000),VLOOKUP(950000,源泉DB!$B$256:$K$256,L71+3)+ROUNDDOWN((K71-950000)*33.693%,0),IF(AND(K71&gt;780000,K71&lt;950000),VLOOKUP(780000,源泉DB!$B$255:$K$255,L71+3)+ROUNDDOWN((K71-780000)*23.483%,0),IF(AND(K71&gt;740000,K71&lt;780000),VLOOKUP(740000,源泉DB!$B$254:$K$254,L71+3)+ROUNDDOWN((K71-740000)*20.42%,0),VLOOKUP(K71,源泉DB!$B$8:$K$299,L71+3))))))))),IF(F71="乙",IF(K71&gt;1700000,651900+(K71-1700000) *45.945%,IF(K71=1700000,651900,IF(AND(K71&gt;740000,K71&lt;1700000),259800+(K71-740000)*40.84%,IF(K71=740000,259800,IF(K71&lt;88000,ROUNDDOWN(K71*3.063%,9),VLOOKUP(K71,源泉DB!$B$8:$L$254,11)))))),"")),"")</f>
        <v/>
      </c>
      <c r="U71" s="165"/>
      <c r="V71" s="166"/>
      <c r="W71" s="166"/>
      <c r="X71" s="166"/>
      <c r="Y71" s="166"/>
      <c r="Z71" s="178">
        <f>ROUND(IFERROR(IF(($G71="加入"),VLOOKUP($I71,年金DB!$G$16:$P$65,6,TRUE),0),0)-0.1,0)</f>
        <v>0</v>
      </c>
      <c r="AA71" s="178">
        <f>ROUND(IFERROR(IF(AND($G71="加入",$D71&gt;=40,$D71&lt;=64),VLOOKUP($I71,年金DB!$G$16:$P$65,10,TRUE),0),0)-0.1,0)</f>
        <v>0</v>
      </c>
      <c r="AB71" s="178">
        <f>ROUND(IFERROR(IF(AND($G71="加入",$D71&lt;40),VLOOKUP($J71,年金DB!$G$16:$X$62,14,TRUE),IF(AND($G71="加入",$D71&gt;=40),VLOOKUP($J71,年金DB!$G$16:$X$62,14,TRUE),"0")),0)-0.1,0)</f>
        <v>0</v>
      </c>
      <c r="AC71" s="178">
        <f t="shared" ref="AC71:AC134" si="10">IF(OR(H71="非加入",H71=""),0,ROUNDUP(IFERROR(IF(H71="加入",(Q71+R71)*3/1000,0),0)-0.5,0))</f>
        <v>0</v>
      </c>
      <c r="AD71" s="21">
        <f t="shared" ref="AD71:AD134" si="11">SUM(T71:AC71)</f>
        <v>0</v>
      </c>
      <c r="AE71" s="173">
        <f t="shared" ref="AE71:AE134" si="12">S71-AD71</f>
        <v>0</v>
      </c>
      <c r="AF71" s="14" t="str">
        <f t="shared" ref="AF71:AF134" si="13">IF(AE71&gt;0,"←同額をお振込みください","")</f>
        <v/>
      </c>
      <c r="AG71" s="14"/>
      <c r="AH71" s="14"/>
    </row>
    <row r="72" spans="1:34">
      <c r="A72" s="28"/>
      <c r="B72" s="180"/>
      <c r="C72" s="188"/>
      <c r="D72" s="161"/>
      <c r="E72" s="162"/>
      <c r="F72" s="162"/>
      <c r="G72" s="163"/>
      <c r="H72" s="285"/>
      <c r="I72" s="282"/>
      <c r="J72" s="16"/>
      <c r="K72" s="18">
        <f t="shared" si="7"/>
        <v>0</v>
      </c>
      <c r="L72" s="288">
        <v>0</v>
      </c>
      <c r="M72" s="291"/>
      <c r="N72" s="164"/>
      <c r="O72" s="164"/>
      <c r="P72" s="164"/>
      <c r="Q72" s="175">
        <f t="shared" si="8"/>
        <v>0</v>
      </c>
      <c r="R72" s="164"/>
      <c r="S72" s="197">
        <f t="shared" si="9"/>
        <v>0</v>
      </c>
      <c r="T72" s="201" t="str" cm="1">
        <f t="array" ref="T72">IFERROR(IF(F72="甲",IF(K72&gt;3500000,VLOOKUP(3500000,源泉DB!$B$261:$L$261,L72+3)+ROUNDDOWN((K72-3500000)*45.945%,0),IF(AND(K72&gt;2250000,K72&lt;3500000),VLOOKUP(2250000,源泉DB!$B$260:$K$260,L72+3)+ROUNDDOWN((K72-2250000)*40.84%,0),IF(AND(K72&gt;2210000,K72&lt;2250000),VLOOKUP(2210000,源泉DB!$B$259:$K$259,L72+3)+ROUNDDOWN((K72-2210000)*40.84%,0),IF(AND(K72&gt;2170000,K72&lt;2210000),VLOOKUP(2170000,源泉DB!$B$258:$K$258,L72+3)+ROUNDDOWN((K72-2170000)*40.84%,0),IF(AND(K72&gt;1700000,K72&lt;2170000),VLOOKUP(1700000,源泉DB!$B$257:$K$257,L72+3)+ROUNDDOWN((K72-1700000)*40.84%,0),IF(AND(K72&gt;950000,K72&lt;1700000),VLOOKUP(950000,源泉DB!$B$256:$K$256,L72+3)+ROUNDDOWN((K72-950000)*33.693%,0),IF(AND(K72&gt;780000,K72&lt;950000),VLOOKUP(780000,源泉DB!$B$255:$K$255,L72+3)+ROUNDDOWN((K72-780000)*23.483%,0),IF(AND(K72&gt;740000,K72&lt;780000),VLOOKUP(740000,源泉DB!$B$254:$K$254,L72+3)+ROUNDDOWN((K72-740000)*20.42%,0),VLOOKUP(K72,源泉DB!$B$8:$K$299,L72+3))))))))),IF(F72="乙",IF(K72&gt;1700000,651900+(K72-1700000) *45.945%,IF(K72=1700000,651900,IF(AND(K72&gt;740000,K72&lt;1700000),259800+(K72-740000)*40.84%,IF(K72=740000,259800,IF(K72&lt;88000,ROUNDDOWN(K72*3.063%,9),VLOOKUP(K72,源泉DB!$B$8:$L$254,11)))))),"")),"")</f>
        <v/>
      </c>
      <c r="U72" s="165"/>
      <c r="V72" s="166"/>
      <c r="W72" s="166"/>
      <c r="X72" s="166"/>
      <c r="Y72" s="166"/>
      <c r="Z72" s="178">
        <f>ROUND(IFERROR(IF(($G72="加入"),VLOOKUP($I72,年金DB!$G$16:$P$65,6,TRUE),0),0)-0.1,0)</f>
        <v>0</v>
      </c>
      <c r="AA72" s="178">
        <f>ROUND(IFERROR(IF(AND($G72="加入",$D72&gt;=40,$D72&lt;=64),VLOOKUP($I72,年金DB!$G$16:$P$65,10,TRUE),0),0)-0.1,0)</f>
        <v>0</v>
      </c>
      <c r="AB72" s="178">
        <f>ROUND(IFERROR(IF(AND($G72="加入",$D72&lt;40),VLOOKUP($J72,年金DB!$G$16:$X$62,14,TRUE),IF(AND($G72="加入",$D72&gt;=40),VLOOKUP($J72,年金DB!$G$16:$X$62,14,TRUE),"0")),0)-0.1,0)</f>
        <v>0</v>
      </c>
      <c r="AC72" s="178">
        <f t="shared" si="10"/>
        <v>0</v>
      </c>
      <c r="AD72" s="21">
        <f t="shared" si="11"/>
        <v>0</v>
      </c>
      <c r="AE72" s="173">
        <f t="shared" si="12"/>
        <v>0</v>
      </c>
      <c r="AF72" s="14" t="str">
        <f t="shared" si="13"/>
        <v/>
      </c>
      <c r="AG72" s="14"/>
      <c r="AH72" s="14"/>
    </row>
    <row r="73" spans="1:34">
      <c r="A73" s="28"/>
      <c r="B73" s="180"/>
      <c r="C73" s="188"/>
      <c r="D73" s="161"/>
      <c r="E73" s="162"/>
      <c r="F73" s="162"/>
      <c r="G73" s="163"/>
      <c r="H73" s="285"/>
      <c r="I73" s="282"/>
      <c r="J73" s="16"/>
      <c r="K73" s="18">
        <f t="shared" si="7"/>
        <v>0</v>
      </c>
      <c r="L73" s="288">
        <v>0</v>
      </c>
      <c r="M73" s="291"/>
      <c r="N73" s="164"/>
      <c r="O73" s="164"/>
      <c r="P73" s="164"/>
      <c r="Q73" s="175">
        <f t="shared" si="8"/>
        <v>0</v>
      </c>
      <c r="R73" s="164"/>
      <c r="S73" s="197">
        <f t="shared" si="9"/>
        <v>0</v>
      </c>
      <c r="T73" s="201" t="str" cm="1">
        <f t="array" ref="T73">IFERROR(IF(F73="甲",IF(K73&gt;3500000,VLOOKUP(3500000,源泉DB!$B$261:$L$261,L73+3)+ROUNDDOWN((K73-3500000)*45.945%,0),IF(AND(K73&gt;2250000,K73&lt;3500000),VLOOKUP(2250000,源泉DB!$B$260:$K$260,L73+3)+ROUNDDOWN((K73-2250000)*40.84%,0),IF(AND(K73&gt;2210000,K73&lt;2250000),VLOOKUP(2210000,源泉DB!$B$259:$K$259,L73+3)+ROUNDDOWN((K73-2210000)*40.84%,0),IF(AND(K73&gt;2170000,K73&lt;2210000),VLOOKUP(2170000,源泉DB!$B$258:$K$258,L73+3)+ROUNDDOWN((K73-2170000)*40.84%,0),IF(AND(K73&gt;1700000,K73&lt;2170000),VLOOKUP(1700000,源泉DB!$B$257:$K$257,L73+3)+ROUNDDOWN((K73-1700000)*40.84%,0),IF(AND(K73&gt;950000,K73&lt;1700000),VLOOKUP(950000,源泉DB!$B$256:$K$256,L73+3)+ROUNDDOWN((K73-950000)*33.693%,0),IF(AND(K73&gt;780000,K73&lt;950000),VLOOKUP(780000,源泉DB!$B$255:$K$255,L73+3)+ROUNDDOWN((K73-780000)*23.483%,0),IF(AND(K73&gt;740000,K73&lt;780000),VLOOKUP(740000,源泉DB!$B$254:$K$254,L73+3)+ROUNDDOWN((K73-740000)*20.42%,0),VLOOKUP(K73,源泉DB!$B$8:$K$299,L73+3))))))))),IF(F73="乙",IF(K73&gt;1700000,651900+(K73-1700000) *45.945%,IF(K73=1700000,651900,IF(AND(K73&gt;740000,K73&lt;1700000),259800+(K73-740000)*40.84%,IF(K73=740000,259800,IF(K73&lt;88000,ROUNDDOWN(K73*3.063%,9),VLOOKUP(K73,源泉DB!$B$8:$L$254,11)))))),"")),"")</f>
        <v/>
      </c>
      <c r="U73" s="165"/>
      <c r="V73" s="166"/>
      <c r="W73" s="166"/>
      <c r="X73" s="166"/>
      <c r="Y73" s="166"/>
      <c r="Z73" s="178">
        <f>ROUND(IFERROR(IF(($G73="加入"),VLOOKUP($I73,年金DB!$G$16:$P$65,6,TRUE),0),0)-0.1,0)</f>
        <v>0</v>
      </c>
      <c r="AA73" s="178">
        <f>ROUND(IFERROR(IF(AND($G73="加入",$D73&gt;=40,$D73&lt;=64),VLOOKUP($I73,年金DB!$G$16:$P$65,10,TRUE),0),0)-0.1,0)</f>
        <v>0</v>
      </c>
      <c r="AB73" s="178">
        <f>ROUND(IFERROR(IF(AND($G73="加入",$D73&lt;40),VLOOKUP($J73,年金DB!$G$16:$X$62,14,TRUE),IF(AND($G73="加入",$D73&gt;=40),VLOOKUP($J73,年金DB!$G$16:$X$62,14,TRUE),"0")),0)-0.1,0)</f>
        <v>0</v>
      </c>
      <c r="AC73" s="178">
        <f t="shared" si="10"/>
        <v>0</v>
      </c>
      <c r="AD73" s="21">
        <f t="shared" si="11"/>
        <v>0</v>
      </c>
      <c r="AE73" s="173">
        <f t="shared" si="12"/>
        <v>0</v>
      </c>
      <c r="AF73" s="14" t="str">
        <f t="shared" si="13"/>
        <v/>
      </c>
      <c r="AG73" s="14"/>
      <c r="AH73" s="14"/>
    </row>
    <row r="74" spans="1:34">
      <c r="A74" s="28"/>
      <c r="B74" s="180"/>
      <c r="C74" s="188"/>
      <c r="D74" s="161"/>
      <c r="E74" s="162"/>
      <c r="F74" s="162"/>
      <c r="G74" s="163"/>
      <c r="H74" s="285"/>
      <c r="I74" s="282"/>
      <c r="J74" s="16"/>
      <c r="K74" s="18">
        <f t="shared" si="7"/>
        <v>0</v>
      </c>
      <c r="L74" s="288">
        <v>0</v>
      </c>
      <c r="M74" s="291"/>
      <c r="N74" s="164"/>
      <c r="O74" s="164"/>
      <c r="P74" s="164"/>
      <c r="Q74" s="175">
        <f t="shared" si="8"/>
        <v>0</v>
      </c>
      <c r="R74" s="164"/>
      <c r="S74" s="197">
        <f t="shared" si="9"/>
        <v>0</v>
      </c>
      <c r="T74" s="201" t="str" cm="1">
        <f t="array" ref="T74">IFERROR(IF(F74="甲",IF(K74&gt;3500000,VLOOKUP(3500000,源泉DB!$B$261:$L$261,L74+3)+ROUNDDOWN((K74-3500000)*45.945%,0),IF(AND(K74&gt;2250000,K74&lt;3500000),VLOOKUP(2250000,源泉DB!$B$260:$K$260,L74+3)+ROUNDDOWN((K74-2250000)*40.84%,0),IF(AND(K74&gt;2210000,K74&lt;2250000),VLOOKUP(2210000,源泉DB!$B$259:$K$259,L74+3)+ROUNDDOWN((K74-2210000)*40.84%,0),IF(AND(K74&gt;2170000,K74&lt;2210000),VLOOKUP(2170000,源泉DB!$B$258:$K$258,L74+3)+ROUNDDOWN((K74-2170000)*40.84%,0),IF(AND(K74&gt;1700000,K74&lt;2170000),VLOOKUP(1700000,源泉DB!$B$257:$K$257,L74+3)+ROUNDDOWN((K74-1700000)*40.84%,0),IF(AND(K74&gt;950000,K74&lt;1700000),VLOOKUP(950000,源泉DB!$B$256:$K$256,L74+3)+ROUNDDOWN((K74-950000)*33.693%,0),IF(AND(K74&gt;780000,K74&lt;950000),VLOOKUP(780000,源泉DB!$B$255:$K$255,L74+3)+ROUNDDOWN((K74-780000)*23.483%,0),IF(AND(K74&gt;740000,K74&lt;780000),VLOOKUP(740000,源泉DB!$B$254:$K$254,L74+3)+ROUNDDOWN((K74-740000)*20.42%,0),VLOOKUP(K74,源泉DB!$B$8:$K$299,L74+3))))))))),IF(F74="乙",IF(K74&gt;1700000,651900+(K74-1700000) *45.945%,IF(K74=1700000,651900,IF(AND(K74&gt;740000,K74&lt;1700000),259800+(K74-740000)*40.84%,IF(K74=740000,259800,IF(K74&lt;88000,ROUNDDOWN(K74*3.063%,9),VLOOKUP(K74,源泉DB!$B$8:$L$254,11)))))),"")),"")</f>
        <v/>
      </c>
      <c r="U74" s="165"/>
      <c r="V74" s="166"/>
      <c r="W74" s="166"/>
      <c r="X74" s="166"/>
      <c r="Y74" s="166"/>
      <c r="Z74" s="178">
        <f>ROUND(IFERROR(IF(($G74="加入"),VLOOKUP($I74,年金DB!$G$16:$P$65,6,TRUE),0),0)-0.1,0)</f>
        <v>0</v>
      </c>
      <c r="AA74" s="178">
        <f>ROUND(IFERROR(IF(AND($G74="加入",$D74&gt;=40,$D74&lt;=64),VLOOKUP($I74,年金DB!$G$16:$P$65,10,TRUE),0),0)-0.1,0)</f>
        <v>0</v>
      </c>
      <c r="AB74" s="178">
        <f>ROUND(IFERROR(IF(AND($G74="加入",$D74&lt;40),VLOOKUP($J74,年金DB!$G$16:$X$62,14,TRUE),IF(AND($G74="加入",$D74&gt;=40),VLOOKUP($J74,年金DB!$G$16:$X$62,14,TRUE),"0")),0)-0.1,0)</f>
        <v>0</v>
      </c>
      <c r="AC74" s="178">
        <f t="shared" si="10"/>
        <v>0</v>
      </c>
      <c r="AD74" s="21">
        <f t="shared" si="11"/>
        <v>0</v>
      </c>
      <c r="AE74" s="173">
        <f t="shared" si="12"/>
        <v>0</v>
      </c>
      <c r="AF74" s="14" t="str">
        <f t="shared" si="13"/>
        <v/>
      </c>
      <c r="AG74" s="14"/>
      <c r="AH74" s="14"/>
    </row>
    <row r="75" spans="1:34">
      <c r="A75" s="28"/>
      <c r="B75" s="180"/>
      <c r="C75" s="188"/>
      <c r="D75" s="161"/>
      <c r="E75" s="162"/>
      <c r="F75" s="162"/>
      <c r="G75" s="163"/>
      <c r="H75" s="285"/>
      <c r="I75" s="282"/>
      <c r="J75" s="16"/>
      <c r="K75" s="18">
        <f t="shared" si="7"/>
        <v>0</v>
      </c>
      <c r="L75" s="288">
        <v>0</v>
      </c>
      <c r="M75" s="291"/>
      <c r="N75" s="164"/>
      <c r="O75" s="164"/>
      <c r="P75" s="164"/>
      <c r="Q75" s="175">
        <f t="shared" si="8"/>
        <v>0</v>
      </c>
      <c r="R75" s="164"/>
      <c r="S75" s="197">
        <f t="shared" si="9"/>
        <v>0</v>
      </c>
      <c r="T75" s="201" t="str" cm="1">
        <f t="array" ref="T75">IFERROR(IF(F75="甲",IF(K75&gt;3500000,VLOOKUP(3500000,源泉DB!$B$261:$L$261,L75+3)+ROUNDDOWN((K75-3500000)*45.945%,0),IF(AND(K75&gt;2250000,K75&lt;3500000),VLOOKUP(2250000,源泉DB!$B$260:$K$260,L75+3)+ROUNDDOWN((K75-2250000)*40.84%,0),IF(AND(K75&gt;2210000,K75&lt;2250000),VLOOKUP(2210000,源泉DB!$B$259:$K$259,L75+3)+ROUNDDOWN((K75-2210000)*40.84%,0),IF(AND(K75&gt;2170000,K75&lt;2210000),VLOOKUP(2170000,源泉DB!$B$258:$K$258,L75+3)+ROUNDDOWN((K75-2170000)*40.84%,0),IF(AND(K75&gt;1700000,K75&lt;2170000),VLOOKUP(1700000,源泉DB!$B$257:$K$257,L75+3)+ROUNDDOWN((K75-1700000)*40.84%,0),IF(AND(K75&gt;950000,K75&lt;1700000),VLOOKUP(950000,源泉DB!$B$256:$K$256,L75+3)+ROUNDDOWN((K75-950000)*33.693%,0),IF(AND(K75&gt;780000,K75&lt;950000),VLOOKUP(780000,源泉DB!$B$255:$K$255,L75+3)+ROUNDDOWN((K75-780000)*23.483%,0),IF(AND(K75&gt;740000,K75&lt;780000),VLOOKUP(740000,源泉DB!$B$254:$K$254,L75+3)+ROUNDDOWN((K75-740000)*20.42%,0),VLOOKUP(K75,源泉DB!$B$8:$K$299,L75+3))))))))),IF(F75="乙",IF(K75&gt;1700000,651900+(K75-1700000) *45.945%,IF(K75=1700000,651900,IF(AND(K75&gt;740000,K75&lt;1700000),259800+(K75-740000)*40.84%,IF(K75=740000,259800,IF(K75&lt;88000,ROUNDDOWN(K75*3.063%,9),VLOOKUP(K75,源泉DB!$B$8:$L$254,11)))))),"")),"")</f>
        <v/>
      </c>
      <c r="U75" s="165"/>
      <c r="V75" s="166"/>
      <c r="W75" s="166"/>
      <c r="X75" s="166"/>
      <c r="Y75" s="166"/>
      <c r="Z75" s="178">
        <f>ROUND(IFERROR(IF(($G75="加入"),VLOOKUP($I75,年金DB!$G$16:$P$65,6,TRUE),0),0)-0.1,0)</f>
        <v>0</v>
      </c>
      <c r="AA75" s="178">
        <f>ROUND(IFERROR(IF(AND($G75="加入",$D75&gt;=40,$D75&lt;=64),VLOOKUP($I75,年金DB!$G$16:$P$65,10,TRUE),0),0)-0.1,0)</f>
        <v>0</v>
      </c>
      <c r="AB75" s="178">
        <f>ROUND(IFERROR(IF(AND($G75="加入",$D75&lt;40),VLOOKUP($J75,年金DB!$G$16:$X$62,14,TRUE),IF(AND($G75="加入",$D75&gt;=40),VLOOKUP($J75,年金DB!$G$16:$X$62,14,TRUE),"0")),0)-0.1,0)</f>
        <v>0</v>
      </c>
      <c r="AC75" s="178">
        <f t="shared" si="10"/>
        <v>0</v>
      </c>
      <c r="AD75" s="21">
        <f t="shared" si="11"/>
        <v>0</v>
      </c>
      <c r="AE75" s="173">
        <f t="shared" si="12"/>
        <v>0</v>
      </c>
      <c r="AF75" s="14" t="str">
        <f t="shared" si="13"/>
        <v/>
      </c>
      <c r="AG75" s="14"/>
      <c r="AH75" s="14"/>
    </row>
    <row r="76" spans="1:34">
      <c r="A76" s="28"/>
      <c r="B76" s="180"/>
      <c r="C76" s="188"/>
      <c r="D76" s="161"/>
      <c r="E76" s="162"/>
      <c r="F76" s="162"/>
      <c r="G76" s="163"/>
      <c r="H76" s="285"/>
      <c r="I76" s="282"/>
      <c r="J76" s="16"/>
      <c r="K76" s="18">
        <f t="shared" si="7"/>
        <v>0</v>
      </c>
      <c r="L76" s="288">
        <v>0</v>
      </c>
      <c r="M76" s="291"/>
      <c r="N76" s="164"/>
      <c r="O76" s="164"/>
      <c r="P76" s="164"/>
      <c r="Q76" s="175">
        <f t="shared" si="8"/>
        <v>0</v>
      </c>
      <c r="R76" s="164"/>
      <c r="S76" s="197">
        <f t="shared" si="9"/>
        <v>0</v>
      </c>
      <c r="T76" s="201" t="str" cm="1">
        <f t="array" ref="T76">IFERROR(IF(F76="甲",IF(K76&gt;3500000,VLOOKUP(3500000,源泉DB!$B$261:$L$261,L76+3)+ROUNDDOWN((K76-3500000)*45.945%,0),IF(AND(K76&gt;2250000,K76&lt;3500000),VLOOKUP(2250000,源泉DB!$B$260:$K$260,L76+3)+ROUNDDOWN((K76-2250000)*40.84%,0),IF(AND(K76&gt;2210000,K76&lt;2250000),VLOOKUP(2210000,源泉DB!$B$259:$K$259,L76+3)+ROUNDDOWN((K76-2210000)*40.84%,0),IF(AND(K76&gt;2170000,K76&lt;2210000),VLOOKUP(2170000,源泉DB!$B$258:$K$258,L76+3)+ROUNDDOWN((K76-2170000)*40.84%,0),IF(AND(K76&gt;1700000,K76&lt;2170000),VLOOKUP(1700000,源泉DB!$B$257:$K$257,L76+3)+ROUNDDOWN((K76-1700000)*40.84%,0),IF(AND(K76&gt;950000,K76&lt;1700000),VLOOKUP(950000,源泉DB!$B$256:$K$256,L76+3)+ROUNDDOWN((K76-950000)*33.693%,0),IF(AND(K76&gt;780000,K76&lt;950000),VLOOKUP(780000,源泉DB!$B$255:$K$255,L76+3)+ROUNDDOWN((K76-780000)*23.483%,0),IF(AND(K76&gt;740000,K76&lt;780000),VLOOKUP(740000,源泉DB!$B$254:$K$254,L76+3)+ROUNDDOWN((K76-740000)*20.42%,0),VLOOKUP(K76,源泉DB!$B$8:$K$299,L76+3))))))))),IF(F76="乙",IF(K76&gt;1700000,651900+(K76-1700000) *45.945%,IF(K76=1700000,651900,IF(AND(K76&gt;740000,K76&lt;1700000),259800+(K76-740000)*40.84%,IF(K76=740000,259800,IF(K76&lt;88000,ROUNDDOWN(K76*3.063%,9),VLOOKUP(K76,源泉DB!$B$8:$L$254,11)))))),"")),"")</f>
        <v/>
      </c>
      <c r="U76" s="165"/>
      <c r="V76" s="166"/>
      <c r="W76" s="166"/>
      <c r="X76" s="166"/>
      <c r="Y76" s="166"/>
      <c r="Z76" s="178">
        <f>ROUND(IFERROR(IF(($G76="加入"),VLOOKUP($I76,年金DB!$G$16:$P$65,6,TRUE),0),0)-0.1,0)</f>
        <v>0</v>
      </c>
      <c r="AA76" s="178">
        <f>ROUND(IFERROR(IF(AND($G76="加入",$D76&gt;=40,$D76&lt;=64),VLOOKUP($I76,年金DB!$G$16:$P$65,10,TRUE),0),0)-0.1,0)</f>
        <v>0</v>
      </c>
      <c r="AB76" s="178">
        <f>ROUND(IFERROR(IF(AND($G76="加入",$D76&lt;40),VLOOKUP($J76,年金DB!$G$16:$X$62,14,TRUE),IF(AND($G76="加入",$D76&gt;=40),VLOOKUP($J76,年金DB!$G$16:$X$62,14,TRUE),"0")),0)-0.1,0)</f>
        <v>0</v>
      </c>
      <c r="AC76" s="178">
        <f t="shared" si="10"/>
        <v>0</v>
      </c>
      <c r="AD76" s="21">
        <f t="shared" si="11"/>
        <v>0</v>
      </c>
      <c r="AE76" s="173">
        <f t="shared" si="12"/>
        <v>0</v>
      </c>
      <c r="AF76" s="14" t="str">
        <f t="shared" si="13"/>
        <v/>
      </c>
      <c r="AG76" s="14"/>
      <c r="AH76" s="14"/>
    </row>
    <row r="77" spans="1:34">
      <c r="A77" s="28"/>
      <c r="B77" s="180"/>
      <c r="C77" s="188"/>
      <c r="D77" s="161"/>
      <c r="E77" s="162"/>
      <c r="F77" s="162"/>
      <c r="G77" s="163"/>
      <c r="H77" s="285"/>
      <c r="I77" s="282"/>
      <c r="J77" s="16"/>
      <c r="K77" s="18">
        <f t="shared" si="7"/>
        <v>0</v>
      </c>
      <c r="L77" s="288">
        <v>0</v>
      </c>
      <c r="M77" s="291"/>
      <c r="N77" s="164"/>
      <c r="O77" s="164"/>
      <c r="P77" s="164"/>
      <c r="Q77" s="175">
        <f t="shared" si="8"/>
        <v>0</v>
      </c>
      <c r="R77" s="164"/>
      <c r="S77" s="197">
        <f t="shared" si="9"/>
        <v>0</v>
      </c>
      <c r="T77" s="201" t="str" cm="1">
        <f t="array" ref="T77">IFERROR(IF(F77="甲",IF(K77&gt;3500000,VLOOKUP(3500000,源泉DB!$B$261:$L$261,L77+3)+ROUNDDOWN((K77-3500000)*45.945%,0),IF(AND(K77&gt;2250000,K77&lt;3500000),VLOOKUP(2250000,源泉DB!$B$260:$K$260,L77+3)+ROUNDDOWN((K77-2250000)*40.84%,0),IF(AND(K77&gt;2210000,K77&lt;2250000),VLOOKUP(2210000,源泉DB!$B$259:$K$259,L77+3)+ROUNDDOWN((K77-2210000)*40.84%,0),IF(AND(K77&gt;2170000,K77&lt;2210000),VLOOKUP(2170000,源泉DB!$B$258:$K$258,L77+3)+ROUNDDOWN((K77-2170000)*40.84%,0),IF(AND(K77&gt;1700000,K77&lt;2170000),VLOOKUP(1700000,源泉DB!$B$257:$K$257,L77+3)+ROUNDDOWN((K77-1700000)*40.84%,0),IF(AND(K77&gt;950000,K77&lt;1700000),VLOOKUP(950000,源泉DB!$B$256:$K$256,L77+3)+ROUNDDOWN((K77-950000)*33.693%,0),IF(AND(K77&gt;780000,K77&lt;950000),VLOOKUP(780000,源泉DB!$B$255:$K$255,L77+3)+ROUNDDOWN((K77-780000)*23.483%,0),IF(AND(K77&gt;740000,K77&lt;780000),VLOOKUP(740000,源泉DB!$B$254:$K$254,L77+3)+ROUNDDOWN((K77-740000)*20.42%,0),VLOOKUP(K77,源泉DB!$B$8:$K$299,L77+3))))))))),IF(F77="乙",IF(K77&gt;1700000,651900+(K77-1700000) *45.945%,IF(K77=1700000,651900,IF(AND(K77&gt;740000,K77&lt;1700000),259800+(K77-740000)*40.84%,IF(K77=740000,259800,IF(K77&lt;88000,ROUNDDOWN(K77*3.063%,9),VLOOKUP(K77,源泉DB!$B$8:$L$254,11)))))),"")),"")</f>
        <v/>
      </c>
      <c r="U77" s="165"/>
      <c r="V77" s="166"/>
      <c r="W77" s="166"/>
      <c r="X77" s="166"/>
      <c r="Y77" s="166"/>
      <c r="Z77" s="178">
        <f>ROUND(IFERROR(IF(($G77="加入"),VLOOKUP($I77,年金DB!$G$16:$P$65,6,TRUE),0),0)-0.1,0)</f>
        <v>0</v>
      </c>
      <c r="AA77" s="178">
        <f>ROUND(IFERROR(IF(AND($G77="加入",$D77&gt;=40,$D77&lt;=64),VLOOKUP($I77,年金DB!$G$16:$P$65,10,TRUE),0),0)-0.1,0)</f>
        <v>0</v>
      </c>
      <c r="AB77" s="178">
        <f>ROUND(IFERROR(IF(AND($G77="加入",$D77&lt;40),VLOOKUP($J77,年金DB!$G$16:$X$62,14,TRUE),IF(AND($G77="加入",$D77&gt;=40),VLOOKUP($J77,年金DB!$G$16:$X$62,14,TRUE),"0")),0)-0.1,0)</f>
        <v>0</v>
      </c>
      <c r="AC77" s="178">
        <f t="shared" si="10"/>
        <v>0</v>
      </c>
      <c r="AD77" s="21">
        <f t="shared" si="11"/>
        <v>0</v>
      </c>
      <c r="AE77" s="173">
        <f t="shared" si="12"/>
        <v>0</v>
      </c>
      <c r="AF77" s="14" t="str">
        <f t="shared" si="13"/>
        <v/>
      </c>
      <c r="AG77" s="14"/>
      <c r="AH77" s="14"/>
    </row>
    <row r="78" spans="1:34">
      <c r="A78" s="28"/>
      <c r="B78" s="180"/>
      <c r="C78" s="188"/>
      <c r="D78" s="161"/>
      <c r="E78" s="162"/>
      <c r="F78" s="162"/>
      <c r="G78" s="163"/>
      <c r="H78" s="285"/>
      <c r="I78" s="282"/>
      <c r="J78" s="16"/>
      <c r="K78" s="18">
        <f t="shared" si="7"/>
        <v>0</v>
      </c>
      <c r="L78" s="288">
        <v>0</v>
      </c>
      <c r="M78" s="291"/>
      <c r="N78" s="164"/>
      <c r="O78" s="164"/>
      <c r="P78" s="164"/>
      <c r="Q78" s="175">
        <f t="shared" si="8"/>
        <v>0</v>
      </c>
      <c r="R78" s="164"/>
      <c r="S78" s="197">
        <f t="shared" si="9"/>
        <v>0</v>
      </c>
      <c r="T78" s="201" t="str" cm="1">
        <f t="array" ref="T78">IFERROR(IF(F78="甲",IF(K78&gt;3500000,VLOOKUP(3500000,源泉DB!$B$261:$L$261,L78+3)+ROUNDDOWN((K78-3500000)*45.945%,0),IF(AND(K78&gt;2250000,K78&lt;3500000),VLOOKUP(2250000,源泉DB!$B$260:$K$260,L78+3)+ROUNDDOWN((K78-2250000)*40.84%,0),IF(AND(K78&gt;2210000,K78&lt;2250000),VLOOKUP(2210000,源泉DB!$B$259:$K$259,L78+3)+ROUNDDOWN((K78-2210000)*40.84%,0),IF(AND(K78&gt;2170000,K78&lt;2210000),VLOOKUP(2170000,源泉DB!$B$258:$K$258,L78+3)+ROUNDDOWN((K78-2170000)*40.84%,0),IF(AND(K78&gt;1700000,K78&lt;2170000),VLOOKUP(1700000,源泉DB!$B$257:$K$257,L78+3)+ROUNDDOWN((K78-1700000)*40.84%,0),IF(AND(K78&gt;950000,K78&lt;1700000),VLOOKUP(950000,源泉DB!$B$256:$K$256,L78+3)+ROUNDDOWN((K78-950000)*33.693%,0),IF(AND(K78&gt;780000,K78&lt;950000),VLOOKUP(780000,源泉DB!$B$255:$K$255,L78+3)+ROUNDDOWN((K78-780000)*23.483%,0),IF(AND(K78&gt;740000,K78&lt;780000),VLOOKUP(740000,源泉DB!$B$254:$K$254,L78+3)+ROUNDDOWN((K78-740000)*20.42%,0),VLOOKUP(K78,源泉DB!$B$8:$K$299,L78+3))))))))),IF(F78="乙",IF(K78&gt;1700000,651900+(K78-1700000) *45.945%,IF(K78=1700000,651900,IF(AND(K78&gt;740000,K78&lt;1700000),259800+(K78-740000)*40.84%,IF(K78=740000,259800,IF(K78&lt;88000,ROUNDDOWN(K78*3.063%,9),VLOOKUP(K78,源泉DB!$B$8:$L$254,11)))))),"")),"")</f>
        <v/>
      </c>
      <c r="U78" s="165"/>
      <c r="V78" s="166"/>
      <c r="W78" s="166"/>
      <c r="X78" s="166"/>
      <c r="Y78" s="166"/>
      <c r="Z78" s="178">
        <f>ROUND(IFERROR(IF(($G78="加入"),VLOOKUP($I78,年金DB!$G$16:$P$65,6,TRUE),0),0)-0.1,0)</f>
        <v>0</v>
      </c>
      <c r="AA78" s="178">
        <f>ROUND(IFERROR(IF(AND($G78="加入",$D78&gt;=40,$D78&lt;=64),VLOOKUP($I78,年金DB!$G$16:$P$65,10,TRUE),0),0)-0.1,0)</f>
        <v>0</v>
      </c>
      <c r="AB78" s="178">
        <f>ROUND(IFERROR(IF(AND($G78="加入",$D78&lt;40),VLOOKUP($J78,年金DB!$G$16:$X$62,14,TRUE),IF(AND($G78="加入",$D78&gt;=40),VLOOKUP($J78,年金DB!$G$16:$X$62,14,TRUE),"0")),0)-0.1,0)</f>
        <v>0</v>
      </c>
      <c r="AC78" s="178">
        <f t="shared" si="10"/>
        <v>0</v>
      </c>
      <c r="AD78" s="21">
        <f t="shared" si="11"/>
        <v>0</v>
      </c>
      <c r="AE78" s="173">
        <f t="shared" si="12"/>
        <v>0</v>
      </c>
      <c r="AF78" s="14" t="str">
        <f t="shared" si="13"/>
        <v/>
      </c>
      <c r="AG78" s="14"/>
      <c r="AH78" s="14"/>
    </row>
    <row r="79" spans="1:34">
      <c r="A79" s="28"/>
      <c r="B79" s="180"/>
      <c r="C79" s="188"/>
      <c r="D79" s="161"/>
      <c r="E79" s="162"/>
      <c r="F79" s="162"/>
      <c r="G79" s="163"/>
      <c r="H79" s="285"/>
      <c r="I79" s="282"/>
      <c r="J79" s="16"/>
      <c r="K79" s="18">
        <f t="shared" si="7"/>
        <v>0</v>
      </c>
      <c r="L79" s="288">
        <v>0</v>
      </c>
      <c r="M79" s="291"/>
      <c r="N79" s="164"/>
      <c r="O79" s="164"/>
      <c r="P79" s="164"/>
      <c r="Q79" s="175">
        <f t="shared" si="8"/>
        <v>0</v>
      </c>
      <c r="R79" s="164"/>
      <c r="S79" s="197">
        <f t="shared" si="9"/>
        <v>0</v>
      </c>
      <c r="T79" s="201" t="str" cm="1">
        <f t="array" ref="T79">IFERROR(IF(F79="甲",IF(K79&gt;3500000,VLOOKUP(3500000,源泉DB!$B$261:$L$261,L79+3)+ROUNDDOWN((K79-3500000)*45.945%,0),IF(AND(K79&gt;2250000,K79&lt;3500000),VLOOKUP(2250000,源泉DB!$B$260:$K$260,L79+3)+ROUNDDOWN((K79-2250000)*40.84%,0),IF(AND(K79&gt;2210000,K79&lt;2250000),VLOOKUP(2210000,源泉DB!$B$259:$K$259,L79+3)+ROUNDDOWN((K79-2210000)*40.84%,0),IF(AND(K79&gt;2170000,K79&lt;2210000),VLOOKUP(2170000,源泉DB!$B$258:$K$258,L79+3)+ROUNDDOWN((K79-2170000)*40.84%,0),IF(AND(K79&gt;1700000,K79&lt;2170000),VLOOKUP(1700000,源泉DB!$B$257:$K$257,L79+3)+ROUNDDOWN((K79-1700000)*40.84%,0),IF(AND(K79&gt;950000,K79&lt;1700000),VLOOKUP(950000,源泉DB!$B$256:$K$256,L79+3)+ROUNDDOWN((K79-950000)*33.693%,0),IF(AND(K79&gt;780000,K79&lt;950000),VLOOKUP(780000,源泉DB!$B$255:$K$255,L79+3)+ROUNDDOWN((K79-780000)*23.483%,0),IF(AND(K79&gt;740000,K79&lt;780000),VLOOKUP(740000,源泉DB!$B$254:$K$254,L79+3)+ROUNDDOWN((K79-740000)*20.42%,0),VLOOKUP(K79,源泉DB!$B$8:$K$299,L79+3))))))))),IF(F79="乙",IF(K79&gt;1700000,651900+(K79-1700000) *45.945%,IF(K79=1700000,651900,IF(AND(K79&gt;740000,K79&lt;1700000),259800+(K79-740000)*40.84%,IF(K79=740000,259800,IF(K79&lt;88000,ROUNDDOWN(K79*3.063%,9),VLOOKUP(K79,源泉DB!$B$8:$L$254,11)))))),"")),"")</f>
        <v/>
      </c>
      <c r="U79" s="165"/>
      <c r="V79" s="166"/>
      <c r="W79" s="166"/>
      <c r="X79" s="166"/>
      <c r="Y79" s="166"/>
      <c r="Z79" s="178">
        <f>ROUND(IFERROR(IF(($G79="加入"),VLOOKUP($I79,年金DB!$G$16:$P$65,6,TRUE),0),0)-0.1,0)</f>
        <v>0</v>
      </c>
      <c r="AA79" s="178">
        <f>ROUND(IFERROR(IF(AND($G79="加入",$D79&gt;=40,$D79&lt;=64),VLOOKUP($I79,年金DB!$G$16:$P$65,10,TRUE),0),0)-0.1,0)</f>
        <v>0</v>
      </c>
      <c r="AB79" s="178">
        <f>ROUND(IFERROR(IF(AND($G79="加入",$D79&lt;40),VLOOKUP($J79,年金DB!$G$16:$X$62,14,TRUE),IF(AND($G79="加入",$D79&gt;=40),VLOOKUP($J79,年金DB!$G$16:$X$62,14,TRUE),"0")),0)-0.1,0)</f>
        <v>0</v>
      </c>
      <c r="AC79" s="178">
        <f t="shared" si="10"/>
        <v>0</v>
      </c>
      <c r="AD79" s="21">
        <f t="shared" si="11"/>
        <v>0</v>
      </c>
      <c r="AE79" s="173">
        <f t="shared" si="12"/>
        <v>0</v>
      </c>
      <c r="AF79" s="14" t="str">
        <f t="shared" si="13"/>
        <v/>
      </c>
      <c r="AG79" s="14"/>
      <c r="AH79" s="14"/>
    </row>
    <row r="80" spans="1:34">
      <c r="A80" s="28"/>
      <c r="B80" s="180"/>
      <c r="C80" s="188"/>
      <c r="D80" s="161"/>
      <c r="E80" s="162"/>
      <c r="F80" s="162"/>
      <c r="G80" s="163"/>
      <c r="H80" s="285"/>
      <c r="I80" s="282"/>
      <c r="J80" s="16"/>
      <c r="K80" s="18">
        <f t="shared" si="7"/>
        <v>0</v>
      </c>
      <c r="L80" s="288">
        <v>0</v>
      </c>
      <c r="M80" s="291"/>
      <c r="N80" s="164"/>
      <c r="O80" s="164"/>
      <c r="P80" s="164"/>
      <c r="Q80" s="175">
        <f t="shared" si="8"/>
        <v>0</v>
      </c>
      <c r="R80" s="164"/>
      <c r="S80" s="197">
        <f t="shared" si="9"/>
        <v>0</v>
      </c>
      <c r="T80" s="201" t="str" cm="1">
        <f t="array" ref="T80">IFERROR(IF(F80="甲",IF(K80&gt;3500000,VLOOKUP(3500000,源泉DB!$B$261:$L$261,L80+3)+ROUNDDOWN((K80-3500000)*45.945%,0),IF(AND(K80&gt;2250000,K80&lt;3500000),VLOOKUP(2250000,源泉DB!$B$260:$K$260,L80+3)+ROUNDDOWN((K80-2250000)*40.84%,0),IF(AND(K80&gt;2210000,K80&lt;2250000),VLOOKUP(2210000,源泉DB!$B$259:$K$259,L80+3)+ROUNDDOWN((K80-2210000)*40.84%,0),IF(AND(K80&gt;2170000,K80&lt;2210000),VLOOKUP(2170000,源泉DB!$B$258:$K$258,L80+3)+ROUNDDOWN((K80-2170000)*40.84%,0),IF(AND(K80&gt;1700000,K80&lt;2170000),VLOOKUP(1700000,源泉DB!$B$257:$K$257,L80+3)+ROUNDDOWN((K80-1700000)*40.84%,0),IF(AND(K80&gt;950000,K80&lt;1700000),VLOOKUP(950000,源泉DB!$B$256:$K$256,L80+3)+ROUNDDOWN((K80-950000)*33.693%,0),IF(AND(K80&gt;780000,K80&lt;950000),VLOOKUP(780000,源泉DB!$B$255:$K$255,L80+3)+ROUNDDOWN((K80-780000)*23.483%,0),IF(AND(K80&gt;740000,K80&lt;780000),VLOOKUP(740000,源泉DB!$B$254:$K$254,L80+3)+ROUNDDOWN((K80-740000)*20.42%,0),VLOOKUP(K80,源泉DB!$B$8:$K$299,L80+3))))))))),IF(F80="乙",IF(K80&gt;1700000,651900+(K80-1700000) *45.945%,IF(K80=1700000,651900,IF(AND(K80&gt;740000,K80&lt;1700000),259800+(K80-740000)*40.84%,IF(K80=740000,259800,IF(K80&lt;88000,ROUNDDOWN(K80*3.063%,9),VLOOKUP(K80,源泉DB!$B$8:$L$254,11)))))),"")),"")</f>
        <v/>
      </c>
      <c r="U80" s="165"/>
      <c r="V80" s="166"/>
      <c r="W80" s="166"/>
      <c r="X80" s="166"/>
      <c r="Y80" s="166"/>
      <c r="Z80" s="178">
        <f>ROUND(IFERROR(IF(($G80="加入"),VLOOKUP($I80,年金DB!$G$16:$P$65,6,TRUE),0),0)-0.1,0)</f>
        <v>0</v>
      </c>
      <c r="AA80" s="178">
        <f>ROUND(IFERROR(IF(AND($G80="加入",$D80&gt;=40,$D80&lt;=64),VLOOKUP($I80,年金DB!$G$16:$P$65,10,TRUE),0),0)-0.1,0)</f>
        <v>0</v>
      </c>
      <c r="AB80" s="178">
        <f>ROUND(IFERROR(IF(AND($G80="加入",$D80&lt;40),VLOOKUP($J80,年金DB!$G$16:$X$62,14,TRUE),IF(AND($G80="加入",$D80&gt;=40),VLOOKUP($J80,年金DB!$G$16:$X$62,14,TRUE),"0")),0)-0.1,0)</f>
        <v>0</v>
      </c>
      <c r="AC80" s="178">
        <f t="shared" si="10"/>
        <v>0</v>
      </c>
      <c r="AD80" s="21">
        <f t="shared" si="11"/>
        <v>0</v>
      </c>
      <c r="AE80" s="173">
        <f t="shared" si="12"/>
        <v>0</v>
      </c>
      <c r="AF80" s="14" t="str">
        <f t="shared" si="13"/>
        <v/>
      </c>
      <c r="AG80" s="14"/>
      <c r="AH80" s="14"/>
    </row>
    <row r="81" spans="1:34">
      <c r="A81" s="28"/>
      <c r="B81" s="180"/>
      <c r="C81" s="188"/>
      <c r="D81" s="161"/>
      <c r="E81" s="162"/>
      <c r="F81" s="162"/>
      <c r="G81" s="163"/>
      <c r="H81" s="285"/>
      <c r="I81" s="282"/>
      <c r="J81" s="16"/>
      <c r="K81" s="18">
        <f t="shared" si="7"/>
        <v>0</v>
      </c>
      <c r="L81" s="288">
        <v>0</v>
      </c>
      <c r="M81" s="291"/>
      <c r="N81" s="164"/>
      <c r="O81" s="164"/>
      <c r="P81" s="164"/>
      <c r="Q81" s="175">
        <f t="shared" si="8"/>
        <v>0</v>
      </c>
      <c r="R81" s="164"/>
      <c r="S81" s="197">
        <f t="shared" si="9"/>
        <v>0</v>
      </c>
      <c r="T81" s="201" t="str" cm="1">
        <f t="array" ref="T81">IFERROR(IF(F81="甲",IF(K81&gt;3500000,VLOOKUP(3500000,源泉DB!$B$261:$L$261,L81+3)+ROUNDDOWN((K81-3500000)*45.945%,0),IF(AND(K81&gt;2250000,K81&lt;3500000),VLOOKUP(2250000,源泉DB!$B$260:$K$260,L81+3)+ROUNDDOWN((K81-2250000)*40.84%,0),IF(AND(K81&gt;2210000,K81&lt;2250000),VLOOKUP(2210000,源泉DB!$B$259:$K$259,L81+3)+ROUNDDOWN((K81-2210000)*40.84%,0),IF(AND(K81&gt;2170000,K81&lt;2210000),VLOOKUP(2170000,源泉DB!$B$258:$K$258,L81+3)+ROUNDDOWN((K81-2170000)*40.84%,0),IF(AND(K81&gt;1700000,K81&lt;2170000),VLOOKUP(1700000,源泉DB!$B$257:$K$257,L81+3)+ROUNDDOWN((K81-1700000)*40.84%,0),IF(AND(K81&gt;950000,K81&lt;1700000),VLOOKUP(950000,源泉DB!$B$256:$K$256,L81+3)+ROUNDDOWN((K81-950000)*33.693%,0),IF(AND(K81&gt;780000,K81&lt;950000),VLOOKUP(780000,源泉DB!$B$255:$K$255,L81+3)+ROUNDDOWN((K81-780000)*23.483%,0),IF(AND(K81&gt;740000,K81&lt;780000),VLOOKUP(740000,源泉DB!$B$254:$K$254,L81+3)+ROUNDDOWN((K81-740000)*20.42%,0),VLOOKUP(K81,源泉DB!$B$8:$K$299,L81+3))))))))),IF(F81="乙",IF(K81&gt;1700000,651900+(K81-1700000) *45.945%,IF(K81=1700000,651900,IF(AND(K81&gt;740000,K81&lt;1700000),259800+(K81-740000)*40.84%,IF(K81=740000,259800,IF(K81&lt;88000,ROUNDDOWN(K81*3.063%,9),VLOOKUP(K81,源泉DB!$B$8:$L$254,11)))))),"")),"")</f>
        <v/>
      </c>
      <c r="U81" s="165"/>
      <c r="V81" s="166"/>
      <c r="W81" s="166"/>
      <c r="X81" s="166"/>
      <c r="Y81" s="166"/>
      <c r="Z81" s="178">
        <f>ROUND(IFERROR(IF(($G81="加入"),VLOOKUP($I81,年金DB!$G$16:$P$65,6,TRUE),0),0)-0.1,0)</f>
        <v>0</v>
      </c>
      <c r="AA81" s="178">
        <f>ROUND(IFERROR(IF(AND($G81="加入",$D81&gt;=40,$D81&lt;=64),VLOOKUP($I81,年金DB!$G$16:$P$65,10,TRUE),0),0)-0.1,0)</f>
        <v>0</v>
      </c>
      <c r="AB81" s="178">
        <f>ROUND(IFERROR(IF(AND($G81="加入",$D81&lt;40),VLOOKUP($J81,年金DB!$G$16:$X$62,14,TRUE),IF(AND($G81="加入",$D81&gt;=40),VLOOKUP($J81,年金DB!$G$16:$X$62,14,TRUE),"0")),0)-0.1,0)</f>
        <v>0</v>
      </c>
      <c r="AC81" s="178">
        <f t="shared" si="10"/>
        <v>0</v>
      </c>
      <c r="AD81" s="21">
        <f t="shared" si="11"/>
        <v>0</v>
      </c>
      <c r="AE81" s="173">
        <f t="shared" si="12"/>
        <v>0</v>
      </c>
      <c r="AF81" s="14" t="str">
        <f t="shared" si="13"/>
        <v/>
      </c>
      <c r="AG81" s="14"/>
      <c r="AH81" s="14"/>
    </row>
    <row r="82" spans="1:34">
      <c r="A82" s="28"/>
      <c r="B82" s="180"/>
      <c r="C82" s="188"/>
      <c r="D82" s="161"/>
      <c r="E82" s="162"/>
      <c r="F82" s="162"/>
      <c r="G82" s="163"/>
      <c r="H82" s="285"/>
      <c r="I82" s="282"/>
      <c r="J82" s="16"/>
      <c r="K82" s="18">
        <f t="shared" si="7"/>
        <v>0</v>
      </c>
      <c r="L82" s="288">
        <v>0</v>
      </c>
      <c r="M82" s="291"/>
      <c r="N82" s="164"/>
      <c r="O82" s="164"/>
      <c r="P82" s="164"/>
      <c r="Q82" s="175">
        <f t="shared" si="8"/>
        <v>0</v>
      </c>
      <c r="R82" s="164"/>
      <c r="S82" s="197">
        <f t="shared" si="9"/>
        <v>0</v>
      </c>
      <c r="T82" s="201" t="str" cm="1">
        <f t="array" ref="T82">IFERROR(IF(F82="甲",IF(K82&gt;3500000,VLOOKUP(3500000,源泉DB!$B$261:$L$261,L82+3)+ROUNDDOWN((K82-3500000)*45.945%,0),IF(AND(K82&gt;2250000,K82&lt;3500000),VLOOKUP(2250000,源泉DB!$B$260:$K$260,L82+3)+ROUNDDOWN((K82-2250000)*40.84%,0),IF(AND(K82&gt;2210000,K82&lt;2250000),VLOOKUP(2210000,源泉DB!$B$259:$K$259,L82+3)+ROUNDDOWN((K82-2210000)*40.84%,0),IF(AND(K82&gt;2170000,K82&lt;2210000),VLOOKUP(2170000,源泉DB!$B$258:$K$258,L82+3)+ROUNDDOWN((K82-2170000)*40.84%,0),IF(AND(K82&gt;1700000,K82&lt;2170000),VLOOKUP(1700000,源泉DB!$B$257:$K$257,L82+3)+ROUNDDOWN((K82-1700000)*40.84%,0),IF(AND(K82&gt;950000,K82&lt;1700000),VLOOKUP(950000,源泉DB!$B$256:$K$256,L82+3)+ROUNDDOWN((K82-950000)*33.693%,0),IF(AND(K82&gt;780000,K82&lt;950000),VLOOKUP(780000,源泉DB!$B$255:$K$255,L82+3)+ROUNDDOWN((K82-780000)*23.483%,0),IF(AND(K82&gt;740000,K82&lt;780000),VLOOKUP(740000,源泉DB!$B$254:$K$254,L82+3)+ROUNDDOWN((K82-740000)*20.42%,0),VLOOKUP(K82,源泉DB!$B$8:$K$299,L82+3))))))))),IF(F82="乙",IF(K82&gt;1700000,651900+(K82-1700000) *45.945%,IF(K82=1700000,651900,IF(AND(K82&gt;740000,K82&lt;1700000),259800+(K82-740000)*40.84%,IF(K82=740000,259800,IF(K82&lt;88000,ROUNDDOWN(K82*3.063%,9),VLOOKUP(K82,源泉DB!$B$8:$L$254,11)))))),"")),"")</f>
        <v/>
      </c>
      <c r="U82" s="165"/>
      <c r="V82" s="166"/>
      <c r="W82" s="166"/>
      <c r="X82" s="166"/>
      <c r="Y82" s="166"/>
      <c r="Z82" s="178">
        <f>ROUND(IFERROR(IF(($G82="加入"),VLOOKUP($I82,年金DB!$G$16:$P$65,6,TRUE),0),0)-0.1,0)</f>
        <v>0</v>
      </c>
      <c r="AA82" s="178">
        <f>ROUND(IFERROR(IF(AND($G82="加入",$D82&gt;=40,$D82&lt;=64),VLOOKUP($I82,年金DB!$G$16:$P$65,10,TRUE),0),0)-0.1,0)</f>
        <v>0</v>
      </c>
      <c r="AB82" s="178">
        <f>ROUND(IFERROR(IF(AND($G82="加入",$D82&lt;40),VLOOKUP($J82,年金DB!$G$16:$X$62,14,TRUE),IF(AND($G82="加入",$D82&gt;=40),VLOOKUP($J82,年金DB!$G$16:$X$62,14,TRUE),"0")),0)-0.1,0)</f>
        <v>0</v>
      </c>
      <c r="AC82" s="178">
        <f t="shared" si="10"/>
        <v>0</v>
      </c>
      <c r="AD82" s="21">
        <f t="shared" si="11"/>
        <v>0</v>
      </c>
      <c r="AE82" s="173">
        <f t="shared" si="12"/>
        <v>0</v>
      </c>
      <c r="AF82" s="14" t="str">
        <f t="shared" si="13"/>
        <v/>
      </c>
      <c r="AG82" s="14"/>
      <c r="AH82" s="14"/>
    </row>
    <row r="83" spans="1:34">
      <c r="A83" s="28"/>
      <c r="B83" s="180"/>
      <c r="C83" s="188"/>
      <c r="D83" s="161"/>
      <c r="E83" s="162"/>
      <c r="F83" s="162"/>
      <c r="G83" s="163"/>
      <c r="H83" s="285"/>
      <c r="I83" s="282"/>
      <c r="J83" s="16"/>
      <c r="K83" s="18">
        <f t="shared" si="7"/>
        <v>0</v>
      </c>
      <c r="L83" s="288">
        <v>0</v>
      </c>
      <c r="M83" s="291"/>
      <c r="N83" s="164"/>
      <c r="O83" s="164"/>
      <c r="P83" s="164"/>
      <c r="Q83" s="175">
        <f t="shared" si="8"/>
        <v>0</v>
      </c>
      <c r="R83" s="164"/>
      <c r="S83" s="197">
        <f t="shared" si="9"/>
        <v>0</v>
      </c>
      <c r="T83" s="201" t="str" cm="1">
        <f t="array" ref="T83">IFERROR(IF(F83="甲",IF(K83&gt;3500000,VLOOKUP(3500000,源泉DB!$B$261:$L$261,L83+3)+ROUNDDOWN((K83-3500000)*45.945%,0),IF(AND(K83&gt;2250000,K83&lt;3500000),VLOOKUP(2250000,源泉DB!$B$260:$K$260,L83+3)+ROUNDDOWN((K83-2250000)*40.84%,0),IF(AND(K83&gt;2210000,K83&lt;2250000),VLOOKUP(2210000,源泉DB!$B$259:$K$259,L83+3)+ROUNDDOWN((K83-2210000)*40.84%,0),IF(AND(K83&gt;2170000,K83&lt;2210000),VLOOKUP(2170000,源泉DB!$B$258:$K$258,L83+3)+ROUNDDOWN((K83-2170000)*40.84%,0),IF(AND(K83&gt;1700000,K83&lt;2170000),VLOOKUP(1700000,源泉DB!$B$257:$K$257,L83+3)+ROUNDDOWN((K83-1700000)*40.84%,0),IF(AND(K83&gt;950000,K83&lt;1700000),VLOOKUP(950000,源泉DB!$B$256:$K$256,L83+3)+ROUNDDOWN((K83-950000)*33.693%,0),IF(AND(K83&gt;780000,K83&lt;950000),VLOOKUP(780000,源泉DB!$B$255:$K$255,L83+3)+ROUNDDOWN((K83-780000)*23.483%,0),IF(AND(K83&gt;740000,K83&lt;780000),VLOOKUP(740000,源泉DB!$B$254:$K$254,L83+3)+ROUNDDOWN((K83-740000)*20.42%,0),VLOOKUP(K83,源泉DB!$B$8:$K$299,L83+3))))))))),IF(F83="乙",IF(K83&gt;1700000,651900+(K83-1700000) *45.945%,IF(K83=1700000,651900,IF(AND(K83&gt;740000,K83&lt;1700000),259800+(K83-740000)*40.84%,IF(K83=740000,259800,IF(K83&lt;88000,ROUNDDOWN(K83*3.063%,9),VLOOKUP(K83,源泉DB!$B$8:$L$254,11)))))),"")),"")</f>
        <v/>
      </c>
      <c r="U83" s="165"/>
      <c r="V83" s="166"/>
      <c r="W83" s="166"/>
      <c r="X83" s="166"/>
      <c r="Y83" s="166"/>
      <c r="Z83" s="178">
        <f>ROUND(IFERROR(IF(($G83="加入"),VLOOKUP($I83,年金DB!$G$16:$P$65,6,TRUE),0),0)-0.1,0)</f>
        <v>0</v>
      </c>
      <c r="AA83" s="178">
        <f>ROUND(IFERROR(IF(AND($G83="加入",$D83&gt;=40,$D83&lt;=64),VLOOKUP($I83,年金DB!$G$16:$P$65,10,TRUE),0),0)-0.1,0)</f>
        <v>0</v>
      </c>
      <c r="AB83" s="178">
        <f>ROUND(IFERROR(IF(AND($G83="加入",$D83&lt;40),VLOOKUP($J83,年金DB!$G$16:$X$62,14,TRUE),IF(AND($G83="加入",$D83&gt;=40),VLOOKUP($J83,年金DB!$G$16:$X$62,14,TRUE),"0")),0)-0.1,0)</f>
        <v>0</v>
      </c>
      <c r="AC83" s="178">
        <f t="shared" si="10"/>
        <v>0</v>
      </c>
      <c r="AD83" s="21">
        <f t="shared" si="11"/>
        <v>0</v>
      </c>
      <c r="AE83" s="173">
        <f t="shared" si="12"/>
        <v>0</v>
      </c>
      <c r="AF83" s="14" t="str">
        <f t="shared" si="13"/>
        <v/>
      </c>
      <c r="AG83" s="14"/>
      <c r="AH83" s="14"/>
    </row>
    <row r="84" spans="1:34">
      <c r="A84" s="28"/>
      <c r="B84" s="180"/>
      <c r="C84" s="188"/>
      <c r="D84" s="161"/>
      <c r="E84" s="162"/>
      <c r="F84" s="162"/>
      <c r="G84" s="163"/>
      <c r="H84" s="285"/>
      <c r="I84" s="282"/>
      <c r="J84" s="16"/>
      <c r="K84" s="18">
        <f t="shared" si="7"/>
        <v>0</v>
      </c>
      <c r="L84" s="288">
        <v>0</v>
      </c>
      <c r="M84" s="291"/>
      <c r="N84" s="164"/>
      <c r="O84" s="164"/>
      <c r="P84" s="164"/>
      <c r="Q84" s="175">
        <f t="shared" si="8"/>
        <v>0</v>
      </c>
      <c r="R84" s="164"/>
      <c r="S84" s="197">
        <f t="shared" si="9"/>
        <v>0</v>
      </c>
      <c r="T84" s="201" t="str" cm="1">
        <f t="array" ref="T84">IFERROR(IF(F84="甲",IF(K84&gt;3500000,VLOOKUP(3500000,源泉DB!$B$261:$L$261,L84+3)+ROUNDDOWN((K84-3500000)*45.945%,0),IF(AND(K84&gt;2250000,K84&lt;3500000),VLOOKUP(2250000,源泉DB!$B$260:$K$260,L84+3)+ROUNDDOWN((K84-2250000)*40.84%,0),IF(AND(K84&gt;2210000,K84&lt;2250000),VLOOKUP(2210000,源泉DB!$B$259:$K$259,L84+3)+ROUNDDOWN((K84-2210000)*40.84%,0),IF(AND(K84&gt;2170000,K84&lt;2210000),VLOOKUP(2170000,源泉DB!$B$258:$K$258,L84+3)+ROUNDDOWN((K84-2170000)*40.84%,0),IF(AND(K84&gt;1700000,K84&lt;2170000),VLOOKUP(1700000,源泉DB!$B$257:$K$257,L84+3)+ROUNDDOWN((K84-1700000)*40.84%,0),IF(AND(K84&gt;950000,K84&lt;1700000),VLOOKUP(950000,源泉DB!$B$256:$K$256,L84+3)+ROUNDDOWN((K84-950000)*33.693%,0),IF(AND(K84&gt;780000,K84&lt;950000),VLOOKUP(780000,源泉DB!$B$255:$K$255,L84+3)+ROUNDDOWN((K84-780000)*23.483%,0),IF(AND(K84&gt;740000,K84&lt;780000),VLOOKUP(740000,源泉DB!$B$254:$K$254,L84+3)+ROUNDDOWN((K84-740000)*20.42%,0),VLOOKUP(K84,源泉DB!$B$8:$K$299,L84+3))))))))),IF(F84="乙",IF(K84&gt;1700000,651900+(K84-1700000) *45.945%,IF(K84=1700000,651900,IF(AND(K84&gt;740000,K84&lt;1700000),259800+(K84-740000)*40.84%,IF(K84=740000,259800,IF(K84&lt;88000,ROUNDDOWN(K84*3.063%,9),VLOOKUP(K84,源泉DB!$B$8:$L$254,11)))))),"")),"")</f>
        <v/>
      </c>
      <c r="U84" s="165"/>
      <c r="V84" s="166"/>
      <c r="W84" s="166"/>
      <c r="X84" s="166"/>
      <c r="Y84" s="166"/>
      <c r="Z84" s="178">
        <f>ROUND(IFERROR(IF(($G84="加入"),VLOOKUP($I84,年金DB!$G$16:$P$65,6,TRUE),0),0)-0.1,0)</f>
        <v>0</v>
      </c>
      <c r="AA84" s="178">
        <f>ROUND(IFERROR(IF(AND($G84="加入",$D84&gt;=40,$D84&lt;=64),VLOOKUP($I84,年金DB!$G$16:$P$65,10,TRUE),0),0)-0.1,0)</f>
        <v>0</v>
      </c>
      <c r="AB84" s="178">
        <f>ROUND(IFERROR(IF(AND($G84="加入",$D84&lt;40),VLOOKUP($J84,年金DB!$G$16:$X$62,14,TRUE),IF(AND($G84="加入",$D84&gt;=40),VLOOKUP($J84,年金DB!$G$16:$X$62,14,TRUE),"0")),0)-0.1,0)</f>
        <v>0</v>
      </c>
      <c r="AC84" s="178">
        <f t="shared" si="10"/>
        <v>0</v>
      </c>
      <c r="AD84" s="21">
        <f t="shared" si="11"/>
        <v>0</v>
      </c>
      <c r="AE84" s="173">
        <f t="shared" si="12"/>
        <v>0</v>
      </c>
      <c r="AF84" s="14" t="str">
        <f t="shared" si="13"/>
        <v/>
      </c>
      <c r="AG84" s="14"/>
      <c r="AH84" s="14"/>
    </row>
    <row r="85" spans="1:34">
      <c r="A85" s="28"/>
      <c r="B85" s="180"/>
      <c r="C85" s="188"/>
      <c r="D85" s="161"/>
      <c r="E85" s="162"/>
      <c r="F85" s="162"/>
      <c r="G85" s="163"/>
      <c r="H85" s="285"/>
      <c r="I85" s="282"/>
      <c r="J85" s="16"/>
      <c r="K85" s="18">
        <f t="shared" si="7"/>
        <v>0</v>
      </c>
      <c r="L85" s="288">
        <v>0</v>
      </c>
      <c r="M85" s="291"/>
      <c r="N85" s="164"/>
      <c r="O85" s="164"/>
      <c r="P85" s="164"/>
      <c r="Q85" s="175">
        <f t="shared" si="8"/>
        <v>0</v>
      </c>
      <c r="R85" s="164"/>
      <c r="S85" s="197">
        <f t="shared" si="9"/>
        <v>0</v>
      </c>
      <c r="T85" s="201" t="str" cm="1">
        <f t="array" ref="T85">IFERROR(IF(F85="甲",IF(K85&gt;3500000,VLOOKUP(3500000,源泉DB!$B$261:$L$261,L85+3)+ROUNDDOWN((K85-3500000)*45.945%,0),IF(AND(K85&gt;2250000,K85&lt;3500000),VLOOKUP(2250000,源泉DB!$B$260:$K$260,L85+3)+ROUNDDOWN((K85-2250000)*40.84%,0),IF(AND(K85&gt;2210000,K85&lt;2250000),VLOOKUP(2210000,源泉DB!$B$259:$K$259,L85+3)+ROUNDDOWN((K85-2210000)*40.84%,0),IF(AND(K85&gt;2170000,K85&lt;2210000),VLOOKUP(2170000,源泉DB!$B$258:$K$258,L85+3)+ROUNDDOWN((K85-2170000)*40.84%,0),IF(AND(K85&gt;1700000,K85&lt;2170000),VLOOKUP(1700000,源泉DB!$B$257:$K$257,L85+3)+ROUNDDOWN((K85-1700000)*40.84%,0),IF(AND(K85&gt;950000,K85&lt;1700000),VLOOKUP(950000,源泉DB!$B$256:$K$256,L85+3)+ROUNDDOWN((K85-950000)*33.693%,0),IF(AND(K85&gt;780000,K85&lt;950000),VLOOKUP(780000,源泉DB!$B$255:$K$255,L85+3)+ROUNDDOWN((K85-780000)*23.483%,0),IF(AND(K85&gt;740000,K85&lt;780000),VLOOKUP(740000,源泉DB!$B$254:$K$254,L85+3)+ROUNDDOWN((K85-740000)*20.42%,0),VLOOKUP(K85,源泉DB!$B$8:$K$299,L85+3))))))))),IF(F85="乙",IF(K85&gt;1700000,651900+(K85-1700000) *45.945%,IF(K85=1700000,651900,IF(AND(K85&gt;740000,K85&lt;1700000),259800+(K85-740000)*40.84%,IF(K85=740000,259800,IF(K85&lt;88000,ROUNDDOWN(K85*3.063%,9),VLOOKUP(K85,源泉DB!$B$8:$L$254,11)))))),"")),"")</f>
        <v/>
      </c>
      <c r="U85" s="165"/>
      <c r="V85" s="166"/>
      <c r="W85" s="166"/>
      <c r="X85" s="166"/>
      <c r="Y85" s="166"/>
      <c r="Z85" s="178">
        <f>ROUND(IFERROR(IF(($G85="加入"),VLOOKUP($I85,年金DB!$G$16:$P$65,6,TRUE),0),0)-0.1,0)</f>
        <v>0</v>
      </c>
      <c r="AA85" s="178">
        <f>ROUND(IFERROR(IF(AND($G85="加入",$D85&gt;=40,$D85&lt;=64),VLOOKUP($I85,年金DB!$G$16:$P$65,10,TRUE),0),0)-0.1,0)</f>
        <v>0</v>
      </c>
      <c r="AB85" s="178">
        <f>ROUND(IFERROR(IF(AND($G85="加入",$D85&lt;40),VLOOKUP($J85,年金DB!$G$16:$X$62,14,TRUE),IF(AND($G85="加入",$D85&gt;=40),VLOOKUP($J85,年金DB!$G$16:$X$62,14,TRUE),"0")),0)-0.1,0)</f>
        <v>0</v>
      </c>
      <c r="AC85" s="178">
        <f t="shared" si="10"/>
        <v>0</v>
      </c>
      <c r="AD85" s="21">
        <f t="shared" si="11"/>
        <v>0</v>
      </c>
      <c r="AE85" s="173">
        <f t="shared" si="12"/>
        <v>0</v>
      </c>
      <c r="AF85" s="14" t="str">
        <f t="shared" si="13"/>
        <v/>
      </c>
      <c r="AG85" s="14"/>
      <c r="AH85" s="14"/>
    </row>
    <row r="86" spans="1:34">
      <c r="A86" s="28"/>
      <c r="B86" s="180"/>
      <c r="C86" s="188"/>
      <c r="D86" s="161"/>
      <c r="E86" s="162"/>
      <c r="F86" s="162"/>
      <c r="G86" s="163"/>
      <c r="H86" s="285"/>
      <c r="I86" s="282"/>
      <c r="J86" s="16"/>
      <c r="K86" s="18">
        <f t="shared" si="7"/>
        <v>0</v>
      </c>
      <c r="L86" s="288">
        <v>0</v>
      </c>
      <c r="M86" s="291"/>
      <c r="N86" s="164"/>
      <c r="O86" s="164"/>
      <c r="P86" s="164"/>
      <c r="Q86" s="175">
        <f t="shared" si="8"/>
        <v>0</v>
      </c>
      <c r="R86" s="164"/>
      <c r="S86" s="197">
        <f t="shared" si="9"/>
        <v>0</v>
      </c>
      <c r="T86" s="201" t="str" cm="1">
        <f t="array" ref="T86">IFERROR(IF(F86="甲",IF(K86&gt;3500000,VLOOKUP(3500000,源泉DB!$B$261:$L$261,L86+3)+ROUNDDOWN((K86-3500000)*45.945%,0),IF(AND(K86&gt;2250000,K86&lt;3500000),VLOOKUP(2250000,源泉DB!$B$260:$K$260,L86+3)+ROUNDDOWN((K86-2250000)*40.84%,0),IF(AND(K86&gt;2210000,K86&lt;2250000),VLOOKUP(2210000,源泉DB!$B$259:$K$259,L86+3)+ROUNDDOWN((K86-2210000)*40.84%,0),IF(AND(K86&gt;2170000,K86&lt;2210000),VLOOKUP(2170000,源泉DB!$B$258:$K$258,L86+3)+ROUNDDOWN((K86-2170000)*40.84%,0),IF(AND(K86&gt;1700000,K86&lt;2170000),VLOOKUP(1700000,源泉DB!$B$257:$K$257,L86+3)+ROUNDDOWN((K86-1700000)*40.84%,0),IF(AND(K86&gt;950000,K86&lt;1700000),VLOOKUP(950000,源泉DB!$B$256:$K$256,L86+3)+ROUNDDOWN((K86-950000)*33.693%,0),IF(AND(K86&gt;780000,K86&lt;950000),VLOOKUP(780000,源泉DB!$B$255:$K$255,L86+3)+ROUNDDOWN((K86-780000)*23.483%,0),IF(AND(K86&gt;740000,K86&lt;780000),VLOOKUP(740000,源泉DB!$B$254:$K$254,L86+3)+ROUNDDOWN((K86-740000)*20.42%,0),VLOOKUP(K86,源泉DB!$B$8:$K$299,L86+3))))))))),IF(F86="乙",IF(K86&gt;1700000,651900+(K86-1700000) *45.945%,IF(K86=1700000,651900,IF(AND(K86&gt;740000,K86&lt;1700000),259800+(K86-740000)*40.84%,IF(K86=740000,259800,IF(K86&lt;88000,ROUNDDOWN(K86*3.063%,9),VLOOKUP(K86,源泉DB!$B$8:$L$254,11)))))),"")),"")</f>
        <v/>
      </c>
      <c r="U86" s="165"/>
      <c r="V86" s="166"/>
      <c r="W86" s="166"/>
      <c r="X86" s="166"/>
      <c r="Y86" s="166"/>
      <c r="Z86" s="178">
        <f>ROUND(IFERROR(IF(($G86="加入"),VLOOKUP($I86,年金DB!$G$16:$P$65,6,TRUE),0),0)-0.1,0)</f>
        <v>0</v>
      </c>
      <c r="AA86" s="178">
        <f>ROUND(IFERROR(IF(AND($G86="加入",$D86&gt;=40,$D86&lt;=64),VLOOKUP($I86,年金DB!$G$16:$P$65,10,TRUE),0),0)-0.1,0)</f>
        <v>0</v>
      </c>
      <c r="AB86" s="178">
        <f>ROUND(IFERROR(IF(AND($G86="加入",$D86&lt;40),VLOOKUP($J86,年金DB!$G$16:$X$62,14,TRUE),IF(AND($G86="加入",$D86&gt;=40),VLOOKUP($J86,年金DB!$G$16:$X$62,14,TRUE),"0")),0)-0.1,0)</f>
        <v>0</v>
      </c>
      <c r="AC86" s="178">
        <f t="shared" si="10"/>
        <v>0</v>
      </c>
      <c r="AD86" s="21">
        <f t="shared" si="11"/>
        <v>0</v>
      </c>
      <c r="AE86" s="173">
        <f t="shared" si="12"/>
        <v>0</v>
      </c>
      <c r="AF86" s="14" t="str">
        <f t="shared" si="13"/>
        <v/>
      </c>
      <c r="AG86" s="14"/>
      <c r="AH86" s="14"/>
    </row>
    <row r="87" spans="1:34">
      <c r="A87" s="28"/>
      <c r="B87" s="180"/>
      <c r="C87" s="188"/>
      <c r="D87" s="161"/>
      <c r="E87" s="162"/>
      <c r="F87" s="162"/>
      <c r="G87" s="163"/>
      <c r="H87" s="285"/>
      <c r="I87" s="282"/>
      <c r="J87" s="16"/>
      <c r="K87" s="18">
        <f t="shared" si="7"/>
        <v>0</v>
      </c>
      <c r="L87" s="288">
        <v>0</v>
      </c>
      <c r="M87" s="291"/>
      <c r="N87" s="164"/>
      <c r="O87" s="164"/>
      <c r="P87" s="164"/>
      <c r="Q87" s="175">
        <f t="shared" si="8"/>
        <v>0</v>
      </c>
      <c r="R87" s="164"/>
      <c r="S87" s="197">
        <f t="shared" si="9"/>
        <v>0</v>
      </c>
      <c r="T87" s="201" t="str" cm="1">
        <f t="array" ref="T87">IFERROR(IF(F87="甲",IF(K87&gt;3500000,VLOOKUP(3500000,源泉DB!$B$261:$L$261,L87+3)+ROUNDDOWN((K87-3500000)*45.945%,0),IF(AND(K87&gt;2250000,K87&lt;3500000),VLOOKUP(2250000,源泉DB!$B$260:$K$260,L87+3)+ROUNDDOWN((K87-2250000)*40.84%,0),IF(AND(K87&gt;2210000,K87&lt;2250000),VLOOKUP(2210000,源泉DB!$B$259:$K$259,L87+3)+ROUNDDOWN((K87-2210000)*40.84%,0),IF(AND(K87&gt;2170000,K87&lt;2210000),VLOOKUP(2170000,源泉DB!$B$258:$K$258,L87+3)+ROUNDDOWN((K87-2170000)*40.84%,0),IF(AND(K87&gt;1700000,K87&lt;2170000),VLOOKUP(1700000,源泉DB!$B$257:$K$257,L87+3)+ROUNDDOWN((K87-1700000)*40.84%,0),IF(AND(K87&gt;950000,K87&lt;1700000),VLOOKUP(950000,源泉DB!$B$256:$K$256,L87+3)+ROUNDDOWN((K87-950000)*33.693%,0),IF(AND(K87&gt;780000,K87&lt;950000),VLOOKUP(780000,源泉DB!$B$255:$K$255,L87+3)+ROUNDDOWN((K87-780000)*23.483%,0),IF(AND(K87&gt;740000,K87&lt;780000),VLOOKUP(740000,源泉DB!$B$254:$K$254,L87+3)+ROUNDDOWN((K87-740000)*20.42%,0),VLOOKUP(K87,源泉DB!$B$8:$K$299,L87+3))))))))),IF(F87="乙",IF(K87&gt;1700000,651900+(K87-1700000) *45.945%,IF(K87=1700000,651900,IF(AND(K87&gt;740000,K87&lt;1700000),259800+(K87-740000)*40.84%,IF(K87=740000,259800,IF(K87&lt;88000,ROUNDDOWN(K87*3.063%,9),VLOOKUP(K87,源泉DB!$B$8:$L$254,11)))))),"")),"")</f>
        <v/>
      </c>
      <c r="U87" s="165"/>
      <c r="V87" s="166"/>
      <c r="W87" s="166"/>
      <c r="X87" s="166"/>
      <c r="Y87" s="166"/>
      <c r="Z87" s="178">
        <f>ROUND(IFERROR(IF(($G87="加入"),VLOOKUP($I87,年金DB!$G$16:$P$65,6,TRUE),0),0)-0.1,0)</f>
        <v>0</v>
      </c>
      <c r="AA87" s="178">
        <f>ROUND(IFERROR(IF(AND($G87="加入",$D87&gt;=40,$D87&lt;=64),VLOOKUP($I87,年金DB!$G$16:$P$65,10,TRUE),0),0)-0.1,0)</f>
        <v>0</v>
      </c>
      <c r="AB87" s="178">
        <f>ROUND(IFERROR(IF(AND($G87="加入",$D87&lt;40),VLOOKUP($J87,年金DB!$G$16:$X$62,14,TRUE),IF(AND($G87="加入",$D87&gt;=40),VLOOKUP($J87,年金DB!$G$16:$X$62,14,TRUE),"0")),0)-0.1,0)</f>
        <v>0</v>
      </c>
      <c r="AC87" s="178">
        <f t="shared" si="10"/>
        <v>0</v>
      </c>
      <c r="AD87" s="21">
        <f t="shared" si="11"/>
        <v>0</v>
      </c>
      <c r="AE87" s="173">
        <f t="shared" si="12"/>
        <v>0</v>
      </c>
      <c r="AF87" s="14" t="str">
        <f t="shared" si="13"/>
        <v/>
      </c>
      <c r="AG87" s="14"/>
      <c r="AH87" s="14"/>
    </row>
    <row r="88" spans="1:34">
      <c r="A88" s="28"/>
      <c r="B88" s="180"/>
      <c r="C88" s="188"/>
      <c r="D88" s="161"/>
      <c r="E88" s="162"/>
      <c r="F88" s="162"/>
      <c r="G88" s="163"/>
      <c r="H88" s="285"/>
      <c r="I88" s="282"/>
      <c r="J88" s="16"/>
      <c r="K88" s="18">
        <f t="shared" si="7"/>
        <v>0</v>
      </c>
      <c r="L88" s="288">
        <v>0</v>
      </c>
      <c r="M88" s="291"/>
      <c r="N88" s="164"/>
      <c r="O88" s="164"/>
      <c r="P88" s="164"/>
      <c r="Q88" s="175">
        <f t="shared" si="8"/>
        <v>0</v>
      </c>
      <c r="R88" s="164"/>
      <c r="S88" s="197">
        <f t="shared" si="9"/>
        <v>0</v>
      </c>
      <c r="T88" s="201" t="str" cm="1">
        <f t="array" ref="T88">IFERROR(IF(F88="甲",IF(K88&gt;3500000,VLOOKUP(3500000,源泉DB!$B$261:$L$261,L88+3)+ROUNDDOWN((K88-3500000)*45.945%,0),IF(AND(K88&gt;2250000,K88&lt;3500000),VLOOKUP(2250000,源泉DB!$B$260:$K$260,L88+3)+ROUNDDOWN((K88-2250000)*40.84%,0),IF(AND(K88&gt;2210000,K88&lt;2250000),VLOOKUP(2210000,源泉DB!$B$259:$K$259,L88+3)+ROUNDDOWN((K88-2210000)*40.84%,0),IF(AND(K88&gt;2170000,K88&lt;2210000),VLOOKUP(2170000,源泉DB!$B$258:$K$258,L88+3)+ROUNDDOWN((K88-2170000)*40.84%,0),IF(AND(K88&gt;1700000,K88&lt;2170000),VLOOKUP(1700000,源泉DB!$B$257:$K$257,L88+3)+ROUNDDOWN((K88-1700000)*40.84%,0),IF(AND(K88&gt;950000,K88&lt;1700000),VLOOKUP(950000,源泉DB!$B$256:$K$256,L88+3)+ROUNDDOWN((K88-950000)*33.693%,0),IF(AND(K88&gt;780000,K88&lt;950000),VLOOKUP(780000,源泉DB!$B$255:$K$255,L88+3)+ROUNDDOWN((K88-780000)*23.483%,0),IF(AND(K88&gt;740000,K88&lt;780000),VLOOKUP(740000,源泉DB!$B$254:$K$254,L88+3)+ROUNDDOWN((K88-740000)*20.42%,0),VLOOKUP(K88,源泉DB!$B$8:$K$299,L88+3))))))))),IF(F88="乙",IF(K88&gt;1700000,651900+(K88-1700000) *45.945%,IF(K88=1700000,651900,IF(AND(K88&gt;740000,K88&lt;1700000),259800+(K88-740000)*40.84%,IF(K88=740000,259800,IF(K88&lt;88000,ROUNDDOWN(K88*3.063%,9),VLOOKUP(K88,源泉DB!$B$8:$L$254,11)))))),"")),"")</f>
        <v/>
      </c>
      <c r="U88" s="165"/>
      <c r="V88" s="166"/>
      <c r="W88" s="166"/>
      <c r="X88" s="166"/>
      <c r="Y88" s="166"/>
      <c r="Z88" s="178">
        <f>ROUND(IFERROR(IF(($G88="加入"),VLOOKUP($I88,年金DB!$G$16:$P$65,6,TRUE),0),0)-0.1,0)</f>
        <v>0</v>
      </c>
      <c r="AA88" s="178">
        <f>ROUND(IFERROR(IF(AND($G88="加入",$D88&gt;=40,$D88&lt;=64),VLOOKUP($I88,年金DB!$G$16:$P$65,10,TRUE),0),0)-0.1,0)</f>
        <v>0</v>
      </c>
      <c r="AB88" s="178">
        <f>ROUND(IFERROR(IF(AND($G88="加入",$D88&lt;40),VLOOKUP($J88,年金DB!$G$16:$X$62,14,TRUE),IF(AND($G88="加入",$D88&gt;=40),VLOOKUP($J88,年金DB!$G$16:$X$62,14,TRUE),"0")),0)-0.1,0)</f>
        <v>0</v>
      </c>
      <c r="AC88" s="178">
        <f t="shared" si="10"/>
        <v>0</v>
      </c>
      <c r="AD88" s="21">
        <f t="shared" si="11"/>
        <v>0</v>
      </c>
      <c r="AE88" s="173">
        <f t="shared" si="12"/>
        <v>0</v>
      </c>
      <c r="AF88" s="14" t="str">
        <f t="shared" si="13"/>
        <v/>
      </c>
      <c r="AG88" s="14"/>
      <c r="AH88" s="14"/>
    </row>
    <row r="89" spans="1:34">
      <c r="A89" s="28"/>
      <c r="B89" s="180"/>
      <c r="C89" s="188"/>
      <c r="D89" s="161"/>
      <c r="E89" s="162"/>
      <c r="F89" s="162"/>
      <c r="G89" s="163"/>
      <c r="H89" s="285"/>
      <c r="I89" s="282"/>
      <c r="J89" s="16"/>
      <c r="K89" s="18">
        <f t="shared" si="7"/>
        <v>0</v>
      </c>
      <c r="L89" s="288">
        <v>0</v>
      </c>
      <c r="M89" s="291"/>
      <c r="N89" s="164"/>
      <c r="O89" s="164"/>
      <c r="P89" s="164"/>
      <c r="Q89" s="175">
        <f t="shared" si="8"/>
        <v>0</v>
      </c>
      <c r="R89" s="164"/>
      <c r="S89" s="197">
        <f t="shared" si="9"/>
        <v>0</v>
      </c>
      <c r="T89" s="201" t="str" cm="1">
        <f t="array" ref="T89">IFERROR(IF(F89="甲",IF(K89&gt;3500000,VLOOKUP(3500000,源泉DB!$B$261:$L$261,L89+3)+ROUNDDOWN((K89-3500000)*45.945%,0),IF(AND(K89&gt;2250000,K89&lt;3500000),VLOOKUP(2250000,源泉DB!$B$260:$K$260,L89+3)+ROUNDDOWN((K89-2250000)*40.84%,0),IF(AND(K89&gt;2210000,K89&lt;2250000),VLOOKUP(2210000,源泉DB!$B$259:$K$259,L89+3)+ROUNDDOWN((K89-2210000)*40.84%,0),IF(AND(K89&gt;2170000,K89&lt;2210000),VLOOKUP(2170000,源泉DB!$B$258:$K$258,L89+3)+ROUNDDOWN((K89-2170000)*40.84%,0),IF(AND(K89&gt;1700000,K89&lt;2170000),VLOOKUP(1700000,源泉DB!$B$257:$K$257,L89+3)+ROUNDDOWN((K89-1700000)*40.84%,0),IF(AND(K89&gt;950000,K89&lt;1700000),VLOOKUP(950000,源泉DB!$B$256:$K$256,L89+3)+ROUNDDOWN((K89-950000)*33.693%,0),IF(AND(K89&gt;780000,K89&lt;950000),VLOOKUP(780000,源泉DB!$B$255:$K$255,L89+3)+ROUNDDOWN((K89-780000)*23.483%,0),IF(AND(K89&gt;740000,K89&lt;780000),VLOOKUP(740000,源泉DB!$B$254:$K$254,L89+3)+ROUNDDOWN((K89-740000)*20.42%,0),VLOOKUP(K89,源泉DB!$B$8:$K$299,L89+3))))))))),IF(F89="乙",IF(K89&gt;1700000,651900+(K89-1700000) *45.945%,IF(K89=1700000,651900,IF(AND(K89&gt;740000,K89&lt;1700000),259800+(K89-740000)*40.84%,IF(K89=740000,259800,IF(K89&lt;88000,ROUNDDOWN(K89*3.063%,9),VLOOKUP(K89,源泉DB!$B$8:$L$254,11)))))),"")),"")</f>
        <v/>
      </c>
      <c r="U89" s="165"/>
      <c r="V89" s="166"/>
      <c r="W89" s="166"/>
      <c r="X89" s="166"/>
      <c r="Y89" s="166"/>
      <c r="Z89" s="178">
        <f>ROUND(IFERROR(IF(($G89="加入"),VLOOKUP($I89,年金DB!$G$16:$P$65,6,TRUE),0),0)-0.1,0)</f>
        <v>0</v>
      </c>
      <c r="AA89" s="178">
        <f>ROUND(IFERROR(IF(AND($G89="加入",$D89&gt;=40,$D89&lt;=64),VLOOKUP($I89,年金DB!$G$16:$P$65,10,TRUE),0),0)-0.1,0)</f>
        <v>0</v>
      </c>
      <c r="AB89" s="178">
        <f>ROUND(IFERROR(IF(AND($G89="加入",$D89&lt;40),VLOOKUP($J89,年金DB!$G$16:$X$62,14,TRUE),IF(AND($G89="加入",$D89&gt;=40),VLOOKUP($J89,年金DB!$G$16:$X$62,14,TRUE),"0")),0)-0.1,0)</f>
        <v>0</v>
      </c>
      <c r="AC89" s="178">
        <f t="shared" si="10"/>
        <v>0</v>
      </c>
      <c r="AD89" s="21">
        <f t="shared" si="11"/>
        <v>0</v>
      </c>
      <c r="AE89" s="173">
        <f t="shared" si="12"/>
        <v>0</v>
      </c>
      <c r="AF89" s="14" t="str">
        <f t="shared" si="13"/>
        <v/>
      </c>
      <c r="AG89" s="14"/>
      <c r="AH89" s="14"/>
    </row>
    <row r="90" spans="1:34">
      <c r="A90" s="28"/>
      <c r="B90" s="180"/>
      <c r="C90" s="188"/>
      <c r="D90" s="161"/>
      <c r="E90" s="162"/>
      <c r="F90" s="162"/>
      <c r="G90" s="163"/>
      <c r="H90" s="285"/>
      <c r="I90" s="282"/>
      <c r="J90" s="16"/>
      <c r="K90" s="18">
        <f t="shared" si="7"/>
        <v>0</v>
      </c>
      <c r="L90" s="288">
        <v>0</v>
      </c>
      <c r="M90" s="291"/>
      <c r="N90" s="164"/>
      <c r="O90" s="164"/>
      <c r="P90" s="164"/>
      <c r="Q90" s="175">
        <f t="shared" si="8"/>
        <v>0</v>
      </c>
      <c r="R90" s="164"/>
      <c r="S90" s="197">
        <f t="shared" si="9"/>
        <v>0</v>
      </c>
      <c r="T90" s="201" t="str" cm="1">
        <f t="array" ref="T90">IFERROR(IF(F90="甲",IF(K90&gt;3500000,VLOOKUP(3500000,源泉DB!$B$261:$L$261,L90+3)+ROUNDDOWN((K90-3500000)*45.945%,0),IF(AND(K90&gt;2250000,K90&lt;3500000),VLOOKUP(2250000,源泉DB!$B$260:$K$260,L90+3)+ROUNDDOWN((K90-2250000)*40.84%,0),IF(AND(K90&gt;2210000,K90&lt;2250000),VLOOKUP(2210000,源泉DB!$B$259:$K$259,L90+3)+ROUNDDOWN((K90-2210000)*40.84%,0),IF(AND(K90&gt;2170000,K90&lt;2210000),VLOOKUP(2170000,源泉DB!$B$258:$K$258,L90+3)+ROUNDDOWN((K90-2170000)*40.84%,0),IF(AND(K90&gt;1700000,K90&lt;2170000),VLOOKUP(1700000,源泉DB!$B$257:$K$257,L90+3)+ROUNDDOWN((K90-1700000)*40.84%,0),IF(AND(K90&gt;950000,K90&lt;1700000),VLOOKUP(950000,源泉DB!$B$256:$K$256,L90+3)+ROUNDDOWN((K90-950000)*33.693%,0),IF(AND(K90&gt;780000,K90&lt;950000),VLOOKUP(780000,源泉DB!$B$255:$K$255,L90+3)+ROUNDDOWN((K90-780000)*23.483%,0),IF(AND(K90&gt;740000,K90&lt;780000),VLOOKUP(740000,源泉DB!$B$254:$K$254,L90+3)+ROUNDDOWN((K90-740000)*20.42%,0),VLOOKUP(K90,源泉DB!$B$8:$K$299,L90+3))))))))),IF(F90="乙",IF(K90&gt;1700000,651900+(K90-1700000) *45.945%,IF(K90=1700000,651900,IF(AND(K90&gt;740000,K90&lt;1700000),259800+(K90-740000)*40.84%,IF(K90=740000,259800,IF(K90&lt;88000,ROUNDDOWN(K90*3.063%,9),VLOOKUP(K90,源泉DB!$B$8:$L$254,11)))))),"")),"")</f>
        <v/>
      </c>
      <c r="U90" s="165"/>
      <c r="V90" s="166"/>
      <c r="W90" s="166"/>
      <c r="X90" s="166"/>
      <c r="Y90" s="166"/>
      <c r="Z90" s="178">
        <f>ROUND(IFERROR(IF(($G90="加入"),VLOOKUP($I90,年金DB!$G$16:$P$65,6,TRUE),0),0)-0.1,0)</f>
        <v>0</v>
      </c>
      <c r="AA90" s="178">
        <f>ROUND(IFERROR(IF(AND($G90="加入",$D90&gt;=40,$D90&lt;=64),VLOOKUP($I90,年金DB!$G$16:$P$65,10,TRUE),0),0)-0.1,0)</f>
        <v>0</v>
      </c>
      <c r="AB90" s="178">
        <f>ROUND(IFERROR(IF(AND($G90="加入",$D90&lt;40),VLOOKUP($J90,年金DB!$G$16:$X$62,14,TRUE),IF(AND($G90="加入",$D90&gt;=40),VLOOKUP($J90,年金DB!$G$16:$X$62,14,TRUE),"0")),0)-0.1,0)</f>
        <v>0</v>
      </c>
      <c r="AC90" s="178">
        <f t="shared" si="10"/>
        <v>0</v>
      </c>
      <c r="AD90" s="21">
        <f t="shared" si="11"/>
        <v>0</v>
      </c>
      <c r="AE90" s="173">
        <f t="shared" si="12"/>
        <v>0</v>
      </c>
      <c r="AF90" s="14" t="str">
        <f t="shared" si="13"/>
        <v/>
      </c>
      <c r="AG90" s="14"/>
      <c r="AH90" s="14"/>
    </row>
    <row r="91" spans="1:34">
      <c r="A91" s="28"/>
      <c r="B91" s="180"/>
      <c r="C91" s="188"/>
      <c r="D91" s="161"/>
      <c r="E91" s="162"/>
      <c r="F91" s="162"/>
      <c r="G91" s="163"/>
      <c r="H91" s="285"/>
      <c r="I91" s="282"/>
      <c r="J91" s="16"/>
      <c r="K91" s="18">
        <f t="shared" si="7"/>
        <v>0</v>
      </c>
      <c r="L91" s="288">
        <v>0</v>
      </c>
      <c r="M91" s="291"/>
      <c r="N91" s="164"/>
      <c r="O91" s="164"/>
      <c r="P91" s="164"/>
      <c r="Q91" s="175">
        <f t="shared" si="8"/>
        <v>0</v>
      </c>
      <c r="R91" s="164"/>
      <c r="S91" s="197">
        <f t="shared" si="9"/>
        <v>0</v>
      </c>
      <c r="T91" s="201" t="str" cm="1">
        <f t="array" ref="T91">IFERROR(IF(F91="甲",IF(K91&gt;3500000,VLOOKUP(3500000,源泉DB!$B$261:$L$261,L91+3)+ROUNDDOWN((K91-3500000)*45.945%,0),IF(AND(K91&gt;2250000,K91&lt;3500000),VLOOKUP(2250000,源泉DB!$B$260:$K$260,L91+3)+ROUNDDOWN((K91-2250000)*40.84%,0),IF(AND(K91&gt;2210000,K91&lt;2250000),VLOOKUP(2210000,源泉DB!$B$259:$K$259,L91+3)+ROUNDDOWN((K91-2210000)*40.84%,0),IF(AND(K91&gt;2170000,K91&lt;2210000),VLOOKUP(2170000,源泉DB!$B$258:$K$258,L91+3)+ROUNDDOWN((K91-2170000)*40.84%,0),IF(AND(K91&gt;1700000,K91&lt;2170000),VLOOKUP(1700000,源泉DB!$B$257:$K$257,L91+3)+ROUNDDOWN((K91-1700000)*40.84%,0),IF(AND(K91&gt;950000,K91&lt;1700000),VLOOKUP(950000,源泉DB!$B$256:$K$256,L91+3)+ROUNDDOWN((K91-950000)*33.693%,0),IF(AND(K91&gt;780000,K91&lt;950000),VLOOKUP(780000,源泉DB!$B$255:$K$255,L91+3)+ROUNDDOWN((K91-780000)*23.483%,0),IF(AND(K91&gt;740000,K91&lt;780000),VLOOKUP(740000,源泉DB!$B$254:$K$254,L91+3)+ROUNDDOWN((K91-740000)*20.42%,0),VLOOKUP(K91,源泉DB!$B$8:$K$299,L91+3))))))))),IF(F91="乙",IF(K91&gt;1700000,651900+(K91-1700000) *45.945%,IF(K91=1700000,651900,IF(AND(K91&gt;740000,K91&lt;1700000),259800+(K91-740000)*40.84%,IF(K91=740000,259800,IF(K91&lt;88000,ROUNDDOWN(K91*3.063%,9),VLOOKUP(K91,源泉DB!$B$8:$L$254,11)))))),"")),"")</f>
        <v/>
      </c>
      <c r="U91" s="165"/>
      <c r="V91" s="166"/>
      <c r="W91" s="166"/>
      <c r="X91" s="166"/>
      <c r="Y91" s="166"/>
      <c r="Z91" s="178">
        <f>ROUND(IFERROR(IF(($G91="加入"),VLOOKUP($I91,年金DB!$G$16:$P$65,6,TRUE),0),0)-0.1,0)</f>
        <v>0</v>
      </c>
      <c r="AA91" s="178">
        <f>ROUND(IFERROR(IF(AND($G91="加入",$D91&gt;=40,$D91&lt;=64),VLOOKUP($I91,年金DB!$G$16:$P$65,10,TRUE),0),0)-0.1,0)</f>
        <v>0</v>
      </c>
      <c r="AB91" s="178">
        <f>ROUND(IFERROR(IF(AND($G91="加入",$D91&lt;40),VLOOKUP($J91,年金DB!$G$16:$X$62,14,TRUE),IF(AND($G91="加入",$D91&gt;=40),VLOOKUP($J91,年金DB!$G$16:$X$62,14,TRUE),"0")),0)-0.1,0)</f>
        <v>0</v>
      </c>
      <c r="AC91" s="178">
        <f t="shared" si="10"/>
        <v>0</v>
      </c>
      <c r="AD91" s="21">
        <f t="shared" si="11"/>
        <v>0</v>
      </c>
      <c r="AE91" s="173">
        <f t="shared" si="12"/>
        <v>0</v>
      </c>
      <c r="AF91" s="14" t="str">
        <f t="shared" si="13"/>
        <v/>
      </c>
      <c r="AG91" s="14"/>
      <c r="AH91" s="14"/>
    </row>
    <row r="92" spans="1:34">
      <c r="A92" s="28"/>
      <c r="B92" s="180"/>
      <c r="C92" s="188"/>
      <c r="D92" s="161"/>
      <c r="E92" s="162"/>
      <c r="F92" s="162"/>
      <c r="G92" s="163"/>
      <c r="H92" s="285"/>
      <c r="I92" s="282"/>
      <c r="J92" s="16"/>
      <c r="K92" s="18">
        <f t="shared" si="7"/>
        <v>0</v>
      </c>
      <c r="L92" s="288">
        <v>0</v>
      </c>
      <c r="M92" s="291"/>
      <c r="N92" s="164"/>
      <c r="O92" s="164"/>
      <c r="P92" s="164"/>
      <c r="Q92" s="175">
        <f t="shared" si="8"/>
        <v>0</v>
      </c>
      <c r="R92" s="164"/>
      <c r="S92" s="197">
        <f t="shared" si="9"/>
        <v>0</v>
      </c>
      <c r="T92" s="201" t="str" cm="1">
        <f t="array" ref="T92">IFERROR(IF(F92="甲",IF(K92&gt;3500000,VLOOKUP(3500000,源泉DB!$B$261:$L$261,L92+3)+ROUNDDOWN((K92-3500000)*45.945%,0),IF(AND(K92&gt;2250000,K92&lt;3500000),VLOOKUP(2250000,源泉DB!$B$260:$K$260,L92+3)+ROUNDDOWN((K92-2250000)*40.84%,0),IF(AND(K92&gt;2210000,K92&lt;2250000),VLOOKUP(2210000,源泉DB!$B$259:$K$259,L92+3)+ROUNDDOWN((K92-2210000)*40.84%,0),IF(AND(K92&gt;2170000,K92&lt;2210000),VLOOKUP(2170000,源泉DB!$B$258:$K$258,L92+3)+ROUNDDOWN((K92-2170000)*40.84%,0),IF(AND(K92&gt;1700000,K92&lt;2170000),VLOOKUP(1700000,源泉DB!$B$257:$K$257,L92+3)+ROUNDDOWN((K92-1700000)*40.84%,0),IF(AND(K92&gt;950000,K92&lt;1700000),VLOOKUP(950000,源泉DB!$B$256:$K$256,L92+3)+ROUNDDOWN((K92-950000)*33.693%,0),IF(AND(K92&gt;780000,K92&lt;950000),VLOOKUP(780000,源泉DB!$B$255:$K$255,L92+3)+ROUNDDOWN((K92-780000)*23.483%,0),IF(AND(K92&gt;740000,K92&lt;780000),VLOOKUP(740000,源泉DB!$B$254:$K$254,L92+3)+ROUNDDOWN((K92-740000)*20.42%,0),VLOOKUP(K92,源泉DB!$B$8:$K$299,L92+3))))))))),IF(F92="乙",IF(K92&gt;1700000,651900+(K92-1700000) *45.945%,IF(K92=1700000,651900,IF(AND(K92&gt;740000,K92&lt;1700000),259800+(K92-740000)*40.84%,IF(K92=740000,259800,IF(K92&lt;88000,ROUNDDOWN(K92*3.063%,9),VLOOKUP(K92,源泉DB!$B$8:$L$254,11)))))),"")),"")</f>
        <v/>
      </c>
      <c r="U92" s="165"/>
      <c r="V92" s="166"/>
      <c r="W92" s="166"/>
      <c r="X92" s="166"/>
      <c r="Y92" s="166"/>
      <c r="Z92" s="178">
        <f>ROUND(IFERROR(IF(($G92="加入"),VLOOKUP($I92,年金DB!$G$16:$P$65,6,TRUE),0),0)-0.1,0)</f>
        <v>0</v>
      </c>
      <c r="AA92" s="178">
        <f>ROUND(IFERROR(IF(AND($G92="加入",$D92&gt;=40,$D92&lt;=64),VLOOKUP($I92,年金DB!$G$16:$P$65,10,TRUE),0),0)-0.1,0)</f>
        <v>0</v>
      </c>
      <c r="AB92" s="178">
        <f>ROUND(IFERROR(IF(AND($G92="加入",$D92&lt;40),VLOOKUP($J92,年金DB!$G$16:$X$62,14,TRUE),IF(AND($G92="加入",$D92&gt;=40),VLOOKUP($J92,年金DB!$G$16:$X$62,14,TRUE),"0")),0)-0.1,0)</f>
        <v>0</v>
      </c>
      <c r="AC92" s="178">
        <f t="shared" si="10"/>
        <v>0</v>
      </c>
      <c r="AD92" s="21">
        <f t="shared" si="11"/>
        <v>0</v>
      </c>
      <c r="AE92" s="173">
        <f t="shared" si="12"/>
        <v>0</v>
      </c>
      <c r="AF92" s="14" t="str">
        <f t="shared" si="13"/>
        <v/>
      </c>
      <c r="AG92" s="14"/>
      <c r="AH92" s="14"/>
    </row>
    <row r="93" spans="1:34">
      <c r="A93" s="28"/>
      <c r="B93" s="180"/>
      <c r="C93" s="188"/>
      <c r="D93" s="161"/>
      <c r="E93" s="162"/>
      <c r="F93" s="162"/>
      <c r="G93" s="163"/>
      <c r="H93" s="285"/>
      <c r="I93" s="282"/>
      <c r="J93" s="16"/>
      <c r="K93" s="18">
        <f t="shared" si="7"/>
        <v>0</v>
      </c>
      <c r="L93" s="288">
        <v>0</v>
      </c>
      <c r="M93" s="291"/>
      <c r="N93" s="164"/>
      <c r="O93" s="164"/>
      <c r="P93" s="164"/>
      <c r="Q93" s="175">
        <f t="shared" si="8"/>
        <v>0</v>
      </c>
      <c r="R93" s="164"/>
      <c r="S93" s="197">
        <f t="shared" si="9"/>
        <v>0</v>
      </c>
      <c r="T93" s="201" t="str" cm="1">
        <f t="array" ref="T93">IFERROR(IF(F93="甲",IF(K93&gt;3500000,VLOOKUP(3500000,源泉DB!$B$261:$L$261,L93+3)+ROUNDDOWN((K93-3500000)*45.945%,0),IF(AND(K93&gt;2250000,K93&lt;3500000),VLOOKUP(2250000,源泉DB!$B$260:$K$260,L93+3)+ROUNDDOWN((K93-2250000)*40.84%,0),IF(AND(K93&gt;2210000,K93&lt;2250000),VLOOKUP(2210000,源泉DB!$B$259:$K$259,L93+3)+ROUNDDOWN((K93-2210000)*40.84%,0),IF(AND(K93&gt;2170000,K93&lt;2210000),VLOOKUP(2170000,源泉DB!$B$258:$K$258,L93+3)+ROUNDDOWN((K93-2170000)*40.84%,0),IF(AND(K93&gt;1700000,K93&lt;2170000),VLOOKUP(1700000,源泉DB!$B$257:$K$257,L93+3)+ROUNDDOWN((K93-1700000)*40.84%,0),IF(AND(K93&gt;950000,K93&lt;1700000),VLOOKUP(950000,源泉DB!$B$256:$K$256,L93+3)+ROUNDDOWN((K93-950000)*33.693%,0),IF(AND(K93&gt;780000,K93&lt;950000),VLOOKUP(780000,源泉DB!$B$255:$K$255,L93+3)+ROUNDDOWN((K93-780000)*23.483%,0),IF(AND(K93&gt;740000,K93&lt;780000),VLOOKUP(740000,源泉DB!$B$254:$K$254,L93+3)+ROUNDDOWN((K93-740000)*20.42%,0),VLOOKUP(K93,源泉DB!$B$8:$K$299,L93+3))))))))),IF(F93="乙",IF(K93&gt;1700000,651900+(K93-1700000) *45.945%,IF(K93=1700000,651900,IF(AND(K93&gt;740000,K93&lt;1700000),259800+(K93-740000)*40.84%,IF(K93=740000,259800,IF(K93&lt;88000,ROUNDDOWN(K93*3.063%,9),VLOOKUP(K93,源泉DB!$B$8:$L$254,11)))))),"")),"")</f>
        <v/>
      </c>
      <c r="U93" s="165"/>
      <c r="V93" s="166"/>
      <c r="W93" s="166"/>
      <c r="X93" s="166"/>
      <c r="Y93" s="166"/>
      <c r="Z93" s="178">
        <f>ROUND(IFERROR(IF(($G93="加入"),VLOOKUP($I93,年金DB!$G$16:$P$65,6,TRUE),0),0)-0.1,0)</f>
        <v>0</v>
      </c>
      <c r="AA93" s="178">
        <f>ROUND(IFERROR(IF(AND($G93="加入",$D93&gt;=40,$D93&lt;=64),VLOOKUP($I93,年金DB!$G$16:$P$65,10,TRUE),0),0)-0.1,0)</f>
        <v>0</v>
      </c>
      <c r="AB93" s="178">
        <f>ROUND(IFERROR(IF(AND($G93="加入",$D93&lt;40),VLOOKUP($J93,年金DB!$G$16:$X$62,14,TRUE),IF(AND($G93="加入",$D93&gt;=40),VLOOKUP($J93,年金DB!$G$16:$X$62,14,TRUE),"0")),0)-0.1,0)</f>
        <v>0</v>
      </c>
      <c r="AC93" s="178">
        <f t="shared" si="10"/>
        <v>0</v>
      </c>
      <c r="AD93" s="21">
        <f t="shared" si="11"/>
        <v>0</v>
      </c>
      <c r="AE93" s="173">
        <f t="shared" si="12"/>
        <v>0</v>
      </c>
      <c r="AF93" s="14" t="str">
        <f t="shared" si="13"/>
        <v/>
      </c>
      <c r="AG93" s="14"/>
      <c r="AH93" s="14"/>
    </row>
    <row r="94" spans="1:34">
      <c r="A94" s="28"/>
      <c r="B94" s="180"/>
      <c r="C94" s="188"/>
      <c r="D94" s="161"/>
      <c r="E94" s="162"/>
      <c r="F94" s="162"/>
      <c r="G94" s="163"/>
      <c r="H94" s="285"/>
      <c r="I94" s="282"/>
      <c r="J94" s="16"/>
      <c r="K94" s="18">
        <f t="shared" si="7"/>
        <v>0</v>
      </c>
      <c r="L94" s="288">
        <v>0</v>
      </c>
      <c r="M94" s="291"/>
      <c r="N94" s="164"/>
      <c r="O94" s="164"/>
      <c r="P94" s="164"/>
      <c r="Q94" s="175">
        <f t="shared" si="8"/>
        <v>0</v>
      </c>
      <c r="R94" s="164"/>
      <c r="S94" s="197">
        <f t="shared" si="9"/>
        <v>0</v>
      </c>
      <c r="T94" s="201" t="str" cm="1">
        <f t="array" ref="T94">IFERROR(IF(F94="甲",IF(K94&gt;3500000,VLOOKUP(3500000,源泉DB!$B$261:$L$261,L94+3)+ROUNDDOWN((K94-3500000)*45.945%,0),IF(AND(K94&gt;2250000,K94&lt;3500000),VLOOKUP(2250000,源泉DB!$B$260:$K$260,L94+3)+ROUNDDOWN((K94-2250000)*40.84%,0),IF(AND(K94&gt;2210000,K94&lt;2250000),VLOOKUP(2210000,源泉DB!$B$259:$K$259,L94+3)+ROUNDDOWN((K94-2210000)*40.84%,0),IF(AND(K94&gt;2170000,K94&lt;2210000),VLOOKUP(2170000,源泉DB!$B$258:$K$258,L94+3)+ROUNDDOWN((K94-2170000)*40.84%,0),IF(AND(K94&gt;1700000,K94&lt;2170000),VLOOKUP(1700000,源泉DB!$B$257:$K$257,L94+3)+ROUNDDOWN((K94-1700000)*40.84%,0),IF(AND(K94&gt;950000,K94&lt;1700000),VLOOKUP(950000,源泉DB!$B$256:$K$256,L94+3)+ROUNDDOWN((K94-950000)*33.693%,0),IF(AND(K94&gt;780000,K94&lt;950000),VLOOKUP(780000,源泉DB!$B$255:$K$255,L94+3)+ROUNDDOWN((K94-780000)*23.483%,0),IF(AND(K94&gt;740000,K94&lt;780000),VLOOKUP(740000,源泉DB!$B$254:$K$254,L94+3)+ROUNDDOWN((K94-740000)*20.42%,0),VLOOKUP(K94,源泉DB!$B$8:$K$299,L94+3))))))))),IF(F94="乙",IF(K94&gt;1700000,651900+(K94-1700000) *45.945%,IF(K94=1700000,651900,IF(AND(K94&gt;740000,K94&lt;1700000),259800+(K94-740000)*40.84%,IF(K94=740000,259800,IF(K94&lt;88000,ROUNDDOWN(K94*3.063%,9),VLOOKUP(K94,源泉DB!$B$8:$L$254,11)))))),"")),"")</f>
        <v/>
      </c>
      <c r="U94" s="165"/>
      <c r="V94" s="166"/>
      <c r="W94" s="166"/>
      <c r="X94" s="166"/>
      <c r="Y94" s="166"/>
      <c r="Z94" s="178">
        <f>ROUND(IFERROR(IF(($G94="加入"),VLOOKUP($I94,年金DB!$G$16:$P$65,6,TRUE),0),0)-0.1,0)</f>
        <v>0</v>
      </c>
      <c r="AA94" s="178">
        <f>ROUND(IFERROR(IF(AND($G94="加入",$D94&gt;=40,$D94&lt;=64),VLOOKUP($I94,年金DB!$G$16:$P$65,10,TRUE),0),0)-0.1,0)</f>
        <v>0</v>
      </c>
      <c r="AB94" s="178">
        <f>ROUND(IFERROR(IF(AND($G94="加入",$D94&lt;40),VLOOKUP($J94,年金DB!$G$16:$X$62,14,TRUE),IF(AND($G94="加入",$D94&gt;=40),VLOOKUP($J94,年金DB!$G$16:$X$62,14,TRUE),"0")),0)-0.1,0)</f>
        <v>0</v>
      </c>
      <c r="AC94" s="178">
        <f t="shared" si="10"/>
        <v>0</v>
      </c>
      <c r="AD94" s="21">
        <f t="shared" si="11"/>
        <v>0</v>
      </c>
      <c r="AE94" s="173">
        <f t="shared" si="12"/>
        <v>0</v>
      </c>
      <c r="AF94" s="14" t="str">
        <f t="shared" si="13"/>
        <v/>
      </c>
      <c r="AG94" s="14"/>
      <c r="AH94" s="14"/>
    </row>
    <row r="95" spans="1:34">
      <c r="A95" s="28"/>
      <c r="B95" s="180"/>
      <c r="C95" s="188"/>
      <c r="D95" s="161"/>
      <c r="E95" s="162"/>
      <c r="F95" s="162"/>
      <c r="G95" s="163"/>
      <c r="H95" s="285"/>
      <c r="I95" s="282"/>
      <c r="J95" s="16"/>
      <c r="K95" s="18">
        <f t="shared" si="7"/>
        <v>0</v>
      </c>
      <c r="L95" s="288">
        <v>0</v>
      </c>
      <c r="M95" s="291"/>
      <c r="N95" s="164"/>
      <c r="O95" s="164"/>
      <c r="P95" s="164"/>
      <c r="Q95" s="175">
        <f t="shared" si="8"/>
        <v>0</v>
      </c>
      <c r="R95" s="164"/>
      <c r="S95" s="197">
        <f t="shared" si="9"/>
        <v>0</v>
      </c>
      <c r="T95" s="201" t="str" cm="1">
        <f t="array" ref="T95">IFERROR(IF(F95="甲",IF(K95&gt;3500000,VLOOKUP(3500000,源泉DB!$B$261:$L$261,L95+3)+ROUNDDOWN((K95-3500000)*45.945%,0),IF(AND(K95&gt;2250000,K95&lt;3500000),VLOOKUP(2250000,源泉DB!$B$260:$K$260,L95+3)+ROUNDDOWN((K95-2250000)*40.84%,0),IF(AND(K95&gt;2210000,K95&lt;2250000),VLOOKUP(2210000,源泉DB!$B$259:$K$259,L95+3)+ROUNDDOWN((K95-2210000)*40.84%,0),IF(AND(K95&gt;2170000,K95&lt;2210000),VLOOKUP(2170000,源泉DB!$B$258:$K$258,L95+3)+ROUNDDOWN((K95-2170000)*40.84%,0),IF(AND(K95&gt;1700000,K95&lt;2170000),VLOOKUP(1700000,源泉DB!$B$257:$K$257,L95+3)+ROUNDDOWN((K95-1700000)*40.84%,0),IF(AND(K95&gt;950000,K95&lt;1700000),VLOOKUP(950000,源泉DB!$B$256:$K$256,L95+3)+ROUNDDOWN((K95-950000)*33.693%,0),IF(AND(K95&gt;780000,K95&lt;950000),VLOOKUP(780000,源泉DB!$B$255:$K$255,L95+3)+ROUNDDOWN((K95-780000)*23.483%,0),IF(AND(K95&gt;740000,K95&lt;780000),VLOOKUP(740000,源泉DB!$B$254:$K$254,L95+3)+ROUNDDOWN((K95-740000)*20.42%,0),VLOOKUP(K95,源泉DB!$B$8:$K$299,L95+3))))))))),IF(F95="乙",IF(K95&gt;1700000,651900+(K95-1700000) *45.945%,IF(K95=1700000,651900,IF(AND(K95&gt;740000,K95&lt;1700000),259800+(K95-740000)*40.84%,IF(K95=740000,259800,IF(K95&lt;88000,ROUNDDOWN(K95*3.063%,9),VLOOKUP(K95,源泉DB!$B$8:$L$254,11)))))),"")),"")</f>
        <v/>
      </c>
      <c r="U95" s="165"/>
      <c r="V95" s="166"/>
      <c r="W95" s="166"/>
      <c r="X95" s="166"/>
      <c r="Y95" s="166"/>
      <c r="Z95" s="178">
        <f>ROUND(IFERROR(IF(($G95="加入"),VLOOKUP($I95,年金DB!$G$16:$P$65,6,TRUE),0),0)-0.1,0)</f>
        <v>0</v>
      </c>
      <c r="AA95" s="178">
        <f>ROUND(IFERROR(IF(AND($G95="加入",$D95&gt;=40,$D95&lt;=64),VLOOKUP($I95,年金DB!$G$16:$P$65,10,TRUE),0),0)-0.1,0)</f>
        <v>0</v>
      </c>
      <c r="AB95" s="178">
        <f>ROUND(IFERROR(IF(AND($G95="加入",$D95&lt;40),VLOOKUP($J95,年金DB!$G$16:$X$62,14,TRUE),IF(AND($G95="加入",$D95&gt;=40),VLOOKUP($J95,年金DB!$G$16:$X$62,14,TRUE),"0")),0)-0.1,0)</f>
        <v>0</v>
      </c>
      <c r="AC95" s="178">
        <f t="shared" si="10"/>
        <v>0</v>
      </c>
      <c r="AD95" s="21">
        <f t="shared" si="11"/>
        <v>0</v>
      </c>
      <c r="AE95" s="173">
        <f t="shared" si="12"/>
        <v>0</v>
      </c>
      <c r="AF95" s="14" t="str">
        <f t="shared" si="13"/>
        <v/>
      </c>
      <c r="AG95" s="14"/>
      <c r="AH95" s="14"/>
    </row>
    <row r="96" spans="1:34">
      <c r="A96" s="28"/>
      <c r="B96" s="180"/>
      <c r="C96" s="188"/>
      <c r="D96" s="161"/>
      <c r="E96" s="162"/>
      <c r="F96" s="162"/>
      <c r="G96" s="163"/>
      <c r="H96" s="285"/>
      <c r="I96" s="282"/>
      <c r="J96" s="16"/>
      <c r="K96" s="18">
        <f t="shared" si="7"/>
        <v>0</v>
      </c>
      <c r="L96" s="288">
        <v>0</v>
      </c>
      <c r="M96" s="291"/>
      <c r="N96" s="164"/>
      <c r="O96" s="164"/>
      <c r="P96" s="164"/>
      <c r="Q96" s="175">
        <f t="shared" si="8"/>
        <v>0</v>
      </c>
      <c r="R96" s="164"/>
      <c r="S96" s="197">
        <f t="shared" si="9"/>
        <v>0</v>
      </c>
      <c r="T96" s="201" t="str" cm="1">
        <f t="array" ref="T96">IFERROR(IF(F96="甲",IF(K96&gt;3500000,VLOOKUP(3500000,源泉DB!$B$261:$L$261,L96+3)+ROUNDDOWN((K96-3500000)*45.945%,0),IF(AND(K96&gt;2250000,K96&lt;3500000),VLOOKUP(2250000,源泉DB!$B$260:$K$260,L96+3)+ROUNDDOWN((K96-2250000)*40.84%,0),IF(AND(K96&gt;2210000,K96&lt;2250000),VLOOKUP(2210000,源泉DB!$B$259:$K$259,L96+3)+ROUNDDOWN((K96-2210000)*40.84%,0),IF(AND(K96&gt;2170000,K96&lt;2210000),VLOOKUP(2170000,源泉DB!$B$258:$K$258,L96+3)+ROUNDDOWN((K96-2170000)*40.84%,0),IF(AND(K96&gt;1700000,K96&lt;2170000),VLOOKUP(1700000,源泉DB!$B$257:$K$257,L96+3)+ROUNDDOWN((K96-1700000)*40.84%,0),IF(AND(K96&gt;950000,K96&lt;1700000),VLOOKUP(950000,源泉DB!$B$256:$K$256,L96+3)+ROUNDDOWN((K96-950000)*33.693%,0),IF(AND(K96&gt;780000,K96&lt;950000),VLOOKUP(780000,源泉DB!$B$255:$K$255,L96+3)+ROUNDDOWN((K96-780000)*23.483%,0),IF(AND(K96&gt;740000,K96&lt;780000),VLOOKUP(740000,源泉DB!$B$254:$K$254,L96+3)+ROUNDDOWN((K96-740000)*20.42%,0),VLOOKUP(K96,源泉DB!$B$8:$K$299,L96+3))))))))),IF(F96="乙",IF(K96&gt;1700000,651900+(K96-1700000) *45.945%,IF(K96=1700000,651900,IF(AND(K96&gt;740000,K96&lt;1700000),259800+(K96-740000)*40.84%,IF(K96=740000,259800,IF(K96&lt;88000,ROUNDDOWN(K96*3.063%,9),VLOOKUP(K96,源泉DB!$B$8:$L$254,11)))))),"")),"")</f>
        <v/>
      </c>
      <c r="U96" s="165"/>
      <c r="V96" s="166"/>
      <c r="W96" s="166"/>
      <c r="X96" s="166"/>
      <c r="Y96" s="166"/>
      <c r="Z96" s="178">
        <f>ROUND(IFERROR(IF(($G96="加入"),VLOOKUP($I96,年金DB!$G$16:$P$65,6,TRUE),0),0)-0.1,0)</f>
        <v>0</v>
      </c>
      <c r="AA96" s="178">
        <f>ROUND(IFERROR(IF(AND($G96="加入",$D96&gt;=40,$D96&lt;=64),VLOOKUP($I96,年金DB!$G$16:$P$65,10,TRUE),0),0)-0.1,0)</f>
        <v>0</v>
      </c>
      <c r="AB96" s="178">
        <f>ROUND(IFERROR(IF(AND($G96="加入",$D96&lt;40),VLOOKUP($J96,年金DB!$G$16:$X$62,14,TRUE),IF(AND($G96="加入",$D96&gt;=40),VLOOKUP($J96,年金DB!$G$16:$X$62,14,TRUE),"0")),0)-0.1,0)</f>
        <v>0</v>
      </c>
      <c r="AC96" s="178">
        <f t="shared" si="10"/>
        <v>0</v>
      </c>
      <c r="AD96" s="21">
        <f t="shared" si="11"/>
        <v>0</v>
      </c>
      <c r="AE96" s="173">
        <f t="shared" si="12"/>
        <v>0</v>
      </c>
      <c r="AF96" s="14" t="str">
        <f t="shared" si="13"/>
        <v/>
      </c>
      <c r="AG96" s="14"/>
      <c r="AH96" s="14"/>
    </row>
    <row r="97" spans="1:34">
      <c r="A97" s="28"/>
      <c r="B97" s="180"/>
      <c r="C97" s="188"/>
      <c r="D97" s="161"/>
      <c r="E97" s="162"/>
      <c r="F97" s="162"/>
      <c r="G97" s="163"/>
      <c r="H97" s="285"/>
      <c r="I97" s="282"/>
      <c r="J97" s="16"/>
      <c r="K97" s="18">
        <f t="shared" si="7"/>
        <v>0</v>
      </c>
      <c r="L97" s="288">
        <v>0</v>
      </c>
      <c r="M97" s="291"/>
      <c r="N97" s="164"/>
      <c r="O97" s="164"/>
      <c r="P97" s="164"/>
      <c r="Q97" s="175">
        <f t="shared" si="8"/>
        <v>0</v>
      </c>
      <c r="R97" s="164"/>
      <c r="S97" s="197">
        <f t="shared" si="9"/>
        <v>0</v>
      </c>
      <c r="T97" s="201" t="str" cm="1">
        <f t="array" ref="T97">IFERROR(IF(F97="甲",IF(K97&gt;3500000,VLOOKUP(3500000,源泉DB!$B$261:$L$261,L97+3)+ROUNDDOWN((K97-3500000)*45.945%,0),IF(AND(K97&gt;2250000,K97&lt;3500000),VLOOKUP(2250000,源泉DB!$B$260:$K$260,L97+3)+ROUNDDOWN((K97-2250000)*40.84%,0),IF(AND(K97&gt;2210000,K97&lt;2250000),VLOOKUP(2210000,源泉DB!$B$259:$K$259,L97+3)+ROUNDDOWN((K97-2210000)*40.84%,0),IF(AND(K97&gt;2170000,K97&lt;2210000),VLOOKUP(2170000,源泉DB!$B$258:$K$258,L97+3)+ROUNDDOWN((K97-2170000)*40.84%,0),IF(AND(K97&gt;1700000,K97&lt;2170000),VLOOKUP(1700000,源泉DB!$B$257:$K$257,L97+3)+ROUNDDOWN((K97-1700000)*40.84%,0),IF(AND(K97&gt;950000,K97&lt;1700000),VLOOKUP(950000,源泉DB!$B$256:$K$256,L97+3)+ROUNDDOWN((K97-950000)*33.693%,0),IF(AND(K97&gt;780000,K97&lt;950000),VLOOKUP(780000,源泉DB!$B$255:$K$255,L97+3)+ROUNDDOWN((K97-780000)*23.483%,0),IF(AND(K97&gt;740000,K97&lt;780000),VLOOKUP(740000,源泉DB!$B$254:$K$254,L97+3)+ROUNDDOWN((K97-740000)*20.42%,0),VLOOKUP(K97,源泉DB!$B$8:$K$299,L97+3))))))))),IF(F97="乙",IF(K97&gt;1700000,651900+(K97-1700000) *45.945%,IF(K97=1700000,651900,IF(AND(K97&gt;740000,K97&lt;1700000),259800+(K97-740000)*40.84%,IF(K97=740000,259800,IF(K97&lt;88000,ROUNDDOWN(K97*3.063%,9),VLOOKUP(K97,源泉DB!$B$8:$L$254,11)))))),"")),"")</f>
        <v/>
      </c>
      <c r="U97" s="165"/>
      <c r="V97" s="166"/>
      <c r="W97" s="166"/>
      <c r="X97" s="166"/>
      <c r="Y97" s="166"/>
      <c r="Z97" s="178">
        <f>ROUND(IFERROR(IF(($G97="加入"),VLOOKUP($I97,年金DB!$G$16:$P$65,6,TRUE),0),0)-0.1,0)</f>
        <v>0</v>
      </c>
      <c r="AA97" s="178">
        <f>ROUND(IFERROR(IF(AND($G97="加入",$D97&gt;=40,$D97&lt;=64),VLOOKUP($I97,年金DB!$G$16:$P$65,10,TRUE),0),0)-0.1,0)</f>
        <v>0</v>
      </c>
      <c r="AB97" s="178">
        <f>ROUND(IFERROR(IF(AND($G97="加入",$D97&lt;40),VLOOKUP($J97,年金DB!$G$16:$X$62,14,TRUE),IF(AND($G97="加入",$D97&gt;=40),VLOOKUP($J97,年金DB!$G$16:$X$62,14,TRUE),"0")),0)-0.1,0)</f>
        <v>0</v>
      </c>
      <c r="AC97" s="178">
        <f t="shared" si="10"/>
        <v>0</v>
      </c>
      <c r="AD97" s="21">
        <f t="shared" si="11"/>
        <v>0</v>
      </c>
      <c r="AE97" s="173">
        <f t="shared" si="12"/>
        <v>0</v>
      </c>
      <c r="AF97" s="14" t="str">
        <f t="shared" si="13"/>
        <v/>
      </c>
      <c r="AG97" s="14"/>
      <c r="AH97" s="14"/>
    </row>
    <row r="98" spans="1:34">
      <c r="A98" s="28"/>
      <c r="B98" s="180"/>
      <c r="C98" s="188"/>
      <c r="D98" s="161"/>
      <c r="E98" s="162"/>
      <c r="F98" s="162"/>
      <c r="G98" s="163"/>
      <c r="H98" s="285"/>
      <c r="I98" s="282"/>
      <c r="J98" s="16"/>
      <c r="K98" s="18">
        <f t="shared" si="7"/>
        <v>0</v>
      </c>
      <c r="L98" s="288">
        <v>0</v>
      </c>
      <c r="M98" s="291"/>
      <c r="N98" s="164"/>
      <c r="O98" s="164"/>
      <c r="P98" s="164"/>
      <c r="Q98" s="175">
        <f t="shared" si="8"/>
        <v>0</v>
      </c>
      <c r="R98" s="164"/>
      <c r="S98" s="197">
        <f t="shared" si="9"/>
        <v>0</v>
      </c>
      <c r="T98" s="201" t="str" cm="1">
        <f t="array" ref="T98">IFERROR(IF(F98="甲",IF(K98&gt;3500000,VLOOKUP(3500000,源泉DB!$B$261:$L$261,L98+3)+ROUNDDOWN((K98-3500000)*45.945%,0),IF(AND(K98&gt;2250000,K98&lt;3500000),VLOOKUP(2250000,源泉DB!$B$260:$K$260,L98+3)+ROUNDDOWN((K98-2250000)*40.84%,0),IF(AND(K98&gt;2210000,K98&lt;2250000),VLOOKUP(2210000,源泉DB!$B$259:$K$259,L98+3)+ROUNDDOWN((K98-2210000)*40.84%,0),IF(AND(K98&gt;2170000,K98&lt;2210000),VLOOKUP(2170000,源泉DB!$B$258:$K$258,L98+3)+ROUNDDOWN((K98-2170000)*40.84%,0),IF(AND(K98&gt;1700000,K98&lt;2170000),VLOOKUP(1700000,源泉DB!$B$257:$K$257,L98+3)+ROUNDDOWN((K98-1700000)*40.84%,0),IF(AND(K98&gt;950000,K98&lt;1700000),VLOOKUP(950000,源泉DB!$B$256:$K$256,L98+3)+ROUNDDOWN((K98-950000)*33.693%,0),IF(AND(K98&gt;780000,K98&lt;950000),VLOOKUP(780000,源泉DB!$B$255:$K$255,L98+3)+ROUNDDOWN((K98-780000)*23.483%,0),IF(AND(K98&gt;740000,K98&lt;780000),VLOOKUP(740000,源泉DB!$B$254:$K$254,L98+3)+ROUNDDOWN((K98-740000)*20.42%,0),VLOOKUP(K98,源泉DB!$B$8:$K$299,L98+3))))))))),IF(F98="乙",IF(K98&gt;1700000,651900+(K98-1700000) *45.945%,IF(K98=1700000,651900,IF(AND(K98&gt;740000,K98&lt;1700000),259800+(K98-740000)*40.84%,IF(K98=740000,259800,IF(K98&lt;88000,ROUNDDOWN(K98*3.063%,9),VLOOKUP(K98,源泉DB!$B$8:$L$254,11)))))),"")),"")</f>
        <v/>
      </c>
      <c r="U98" s="165"/>
      <c r="V98" s="166"/>
      <c r="W98" s="166"/>
      <c r="X98" s="166"/>
      <c r="Y98" s="166"/>
      <c r="Z98" s="178">
        <f>ROUND(IFERROR(IF(($G98="加入"),VLOOKUP($I98,年金DB!$G$16:$P$65,6,TRUE),0),0)-0.1,0)</f>
        <v>0</v>
      </c>
      <c r="AA98" s="178">
        <f>ROUND(IFERROR(IF(AND($G98="加入",$D98&gt;=40,$D98&lt;=64),VLOOKUP($I98,年金DB!$G$16:$P$65,10,TRUE),0),0)-0.1,0)</f>
        <v>0</v>
      </c>
      <c r="AB98" s="178">
        <f>ROUND(IFERROR(IF(AND($G98="加入",$D98&lt;40),VLOOKUP($J98,年金DB!$G$16:$X$62,14,TRUE),IF(AND($G98="加入",$D98&gt;=40),VLOOKUP($J98,年金DB!$G$16:$X$62,14,TRUE),"0")),0)-0.1,0)</f>
        <v>0</v>
      </c>
      <c r="AC98" s="178">
        <f t="shared" si="10"/>
        <v>0</v>
      </c>
      <c r="AD98" s="21">
        <f t="shared" si="11"/>
        <v>0</v>
      </c>
      <c r="AE98" s="173">
        <f t="shared" si="12"/>
        <v>0</v>
      </c>
      <c r="AF98" s="14" t="str">
        <f t="shared" si="13"/>
        <v/>
      </c>
      <c r="AG98" s="14"/>
      <c r="AH98" s="14"/>
    </row>
    <row r="99" spans="1:34">
      <c r="A99" s="28"/>
      <c r="B99" s="180"/>
      <c r="C99" s="188"/>
      <c r="D99" s="161"/>
      <c r="E99" s="162"/>
      <c r="F99" s="162"/>
      <c r="G99" s="163"/>
      <c r="H99" s="285"/>
      <c r="I99" s="282"/>
      <c r="J99" s="16"/>
      <c r="K99" s="18">
        <f t="shared" si="7"/>
        <v>0</v>
      </c>
      <c r="L99" s="288">
        <v>0</v>
      </c>
      <c r="M99" s="291"/>
      <c r="N99" s="164"/>
      <c r="O99" s="164"/>
      <c r="P99" s="164"/>
      <c r="Q99" s="175">
        <f t="shared" si="8"/>
        <v>0</v>
      </c>
      <c r="R99" s="164"/>
      <c r="S99" s="197">
        <f t="shared" si="9"/>
        <v>0</v>
      </c>
      <c r="T99" s="201" t="str" cm="1">
        <f t="array" ref="T99">IFERROR(IF(F99="甲",IF(K99&gt;3500000,VLOOKUP(3500000,源泉DB!$B$261:$L$261,L99+3)+ROUNDDOWN((K99-3500000)*45.945%,0),IF(AND(K99&gt;2250000,K99&lt;3500000),VLOOKUP(2250000,源泉DB!$B$260:$K$260,L99+3)+ROUNDDOWN((K99-2250000)*40.84%,0),IF(AND(K99&gt;2210000,K99&lt;2250000),VLOOKUP(2210000,源泉DB!$B$259:$K$259,L99+3)+ROUNDDOWN((K99-2210000)*40.84%,0),IF(AND(K99&gt;2170000,K99&lt;2210000),VLOOKUP(2170000,源泉DB!$B$258:$K$258,L99+3)+ROUNDDOWN((K99-2170000)*40.84%,0),IF(AND(K99&gt;1700000,K99&lt;2170000),VLOOKUP(1700000,源泉DB!$B$257:$K$257,L99+3)+ROUNDDOWN((K99-1700000)*40.84%,0),IF(AND(K99&gt;950000,K99&lt;1700000),VLOOKUP(950000,源泉DB!$B$256:$K$256,L99+3)+ROUNDDOWN((K99-950000)*33.693%,0),IF(AND(K99&gt;780000,K99&lt;950000),VLOOKUP(780000,源泉DB!$B$255:$K$255,L99+3)+ROUNDDOWN((K99-780000)*23.483%,0),IF(AND(K99&gt;740000,K99&lt;780000),VLOOKUP(740000,源泉DB!$B$254:$K$254,L99+3)+ROUNDDOWN((K99-740000)*20.42%,0),VLOOKUP(K99,源泉DB!$B$8:$K$299,L99+3))))))))),IF(F99="乙",IF(K99&gt;1700000,651900+(K99-1700000) *45.945%,IF(K99=1700000,651900,IF(AND(K99&gt;740000,K99&lt;1700000),259800+(K99-740000)*40.84%,IF(K99=740000,259800,IF(K99&lt;88000,ROUNDDOWN(K99*3.063%,9),VLOOKUP(K99,源泉DB!$B$8:$L$254,11)))))),"")),"")</f>
        <v/>
      </c>
      <c r="U99" s="165"/>
      <c r="V99" s="166"/>
      <c r="W99" s="166"/>
      <c r="X99" s="166"/>
      <c r="Y99" s="166"/>
      <c r="Z99" s="178">
        <f>ROUND(IFERROR(IF(($G99="加入"),VLOOKUP($I99,年金DB!$G$16:$P$65,6,TRUE),0),0)-0.1,0)</f>
        <v>0</v>
      </c>
      <c r="AA99" s="178">
        <f>ROUND(IFERROR(IF(AND($G99="加入",$D99&gt;=40,$D99&lt;=64),VLOOKUP($I99,年金DB!$G$16:$P$65,10,TRUE),0),0)-0.1,0)</f>
        <v>0</v>
      </c>
      <c r="AB99" s="178">
        <f>ROUND(IFERROR(IF(AND($G99="加入",$D99&lt;40),VLOOKUP($J99,年金DB!$G$16:$X$62,14,TRUE),IF(AND($G99="加入",$D99&gt;=40),VLOOKUP($J99,年金DB!$G$16:$X$62,14,TRUE),"0")),0)-0.1,0)</f>
        <v>0</v>
      </c>
      <c r="AC99" s="178">
        <f t="shared" si="10"/>
        <v>0</v>
      </c>
      <c r="AD99" s="21">
        <f t="shared" si="11"/>
        <v>0</v>
      </c>
      <c r="AE99" s="173">
        <f t="shared" si="12"/>
        <v>0</v>
      </c>
      <c r="AF99" s="14" t="str">
        <f t="shared" si="13"/>
        <v/>
      </c>
      <c r="AG99" s="14"/>
      <c r="AH99" s="14"/>
    </row>
    <row r="100" spans="1:34">
      <c r="A100" s="28"/>
      <c r="B100" s="180"/>
      <c r="C100" s="188"/>
      <c r="D100" s="161"/>
      <c r="E100" s="162"/>
      <c r="F100" s="162"/>
      <c r="G100" s="163"/>
      <c r="H100" s="285"/>
      <c r="I100" s="282"/>
      <c r="J100" s="16"/>
      <c r="K100" s="18">
        <f t="shared" si="7"/>
        <v>0</v>
      </c>
      <c r="L100" s="288">
        <v>0</v>
      </c>
      <c r="M100" s="291"/>
      <c r="N100" s="164"/>
      <c r="O100" s="164"/>
      <c r="P100" s="164"/>
      <c r="Q100" s="175">
        <f t="shared" si="8"/>
        <v>0</v>
      </c>
      <c r="R100" s="164"/>
      <c r="S100" s="197">
        <f t="shared" si="9"/>
        <v>0</v>
      </c>
      <c r="T100" s="201" t="str" cm="1">
        <f t="array" ref="T100">IFERROR(IF(F100="甲",IF(K100&gt;3500000,VLOOKUP(3500000,源泉DB!$B$261:$L$261,L100+3)+ROUNDDOWN((K100-3500000)*45.945%,0),IF(AND(K100&gt;2250000,K100&lt;3500000),VLOOKUP(2250000,源泉DB!$B$260:$K$260,L100+3)+ROUNDDOWN((K100-2250000)*40.84%,0),IF(AND(K100&gt;2210000,K100&lt;2250000),VLOOKUP(2210000,源泉DB!$B$259:$K$259,L100+3)+ROUNDDOWN((K100-2210000)*40.84%,0),IF(AND(K100&gt;2170000,K100&lt;2210000),VLOOKUP(2170000,源泉DB!$B$258:$K$258,L100+3)+ROUNDDOWN((K100-2170000)*40.84%,0),IF(AND(K100&gt;1700000,K100&lt;2170000),VLOOKUP(1700000,源泉DB!$B$257:$K$257,L100+3)+ROUNDDOWN((K100-1700000)*40.84%,0),IF(AND(K100&gt;950000,K100&lt;1700000),VLOOKUP(950000,源泉DB!$B$256:$K$256,L100+3)+ROUNDDOWN((K100-950000)*33.693%,0),IF(AND(K100&gt;780000,K100&lt;950000),VLOOKUP(780000,源泉DB!$B$255:$K$255,L100+3)+ROUNDDOWN((K100-780000)*23.483%,0),IF(AND(K100&gt;740000,K100&lt;780000),VLOOKUP(740000,源泉DB!$B$254:$K$254,L100+3)+ROUNDDOWN((K100-740000)*20.42%,0),VLOOKUP(K100,源泉DB!$B$8:$K$299,L100+3))))))))),IF(F100="乙",IF(K100&gt;1700000,651900+(K100-1700000) *45.945%,IF(K100=1700000,651900,IF(AND(K100&gt;740000,K100&lt;1700000),259800+(K100-740000)*40.84%,IF(K100=740000,259800,IF(K100&lt;88000,ROUNDDOWN(K100*3.063%,9),VLOOKUP(K100,源泉DB!$B$8:$L$254,11)))))),"")),"")</f>
        <v/>
      </c>
      <c r="U100" s="165"/>
      <c r="V100" s="166"/>
      <c r="W100" s="166"/>
      <c r="X100" s="166"/>
      <c r="Y100" s="166"/>
      <c r="Z100" s="178">
        <f>ROUND(IFERROR(IF(($G100="加入"),VLOOKUP($I100,年金DB!$G$16:$P$65,6,TRUE),0),0)-0.1,0)</f>
        <v>0</v>
      </c>
      <c r="AA100" s="178">
        <f>ROUND(IFERROR(IF(AND($G100="加入",$D100&gt;=40,$D100&lt;=64),VLOOKUP($I100,年金DB!$G$16:$P$65,10,TRUE),0),0)-0.1,0)</f>
        <v>0</v>
      </c>
      <c r="AB100" s="178">
        <f>ROUND(IFERROR(IF(AND($G100="加入",$D100&lt;40),VLOOKUP($J100,年金DB!$G$16:$X$62,14,TRUE),IF(AND($G100="加入",$D100&gt;=40),VLOOKUP($J100,年金DB!$G$16:$X$62,14,TRUE),"0")),0)-0.1,0)</f>
        <v>0</v>
      </c>
      <c r="AC100" s="178">
        <f t="shared" si="10"/>
        <v>0</v>
      </c>
      <c r="AD100" s="21">
        <f t="shared" si="11"/>
        <v>0</v>
      </c>
      <c r="AE100" s="173">
        <f t="shared" si="12"/>
        <v>0</v>
      </c>
      <c r="AF100" s="14" t="str">
        <f t="shared" si="13"/>
        <v/>
      </c>
      <c r="AG100" s="14"/>
      <c r="AH100" s="14"/>
    </row>
    <row r="101" spans="1:34">
      <c r="A101" s="28"/>
      <c r="B101" s="180"/>
      <c r="C101" s="188"/>
      <c r="D101" s="161"/>
      <c r="E101" s="162"/>
      <c r="F101" s="162"/>
      <c r="G101" s="163"/>
      <c r="H101" s="285"/>
      <c r="I101" s="282"/>
      <c r="J101" s="16"/>
      <c r="K101" s="18">
        <f t="shared" si="7"/>
        <v>0</v>
      </c>
      <c r="L101" s="288">
        <v>0</v>
      </c>
      <c r="M101" s="291"/>
      <c r="N101" s="164"/>
      <c r="O101" s="164"/>
      <c r="P101" s="164"/>
      <c r="Q101" s="175">
        <f t="shared" si="8"/>
        <v>0</v>
      </c>
      <c r="R101" s="164"/>
      <c r="S101" s="197">
        <f t="shared" si="9"/>
        <v>0</v>
      </c>
      <c r="T101" s="201" t="str" cm="1">
        <f t="array" ref="T101">IFERROR(IF(F101="甲",IF(K101&gt;3500000,VLOOKUP(3500000,源泉DB!$B$261:$L$261,L101+3)+ROUNDDOWN((K101-3500000)*45.945%,0),IF(AND(K101&gt;2250000,K101&lt;3500000),VLOOKUP(2250000,源泉DB!$B$260:$K$260,L101+3)+ROUNDDOWN((K101-2250000)*40.84%,0),IF(AND(K101&gt;2210000,K101&lt;2250000),VLOOKUP(2210000,源泉DB!$B$259:$K$259,L101+3)+ROUNDDOWN((K101-2210000)*40.84%,0),IF(AND(K101&gt;2170000,K101&lt;2210000),VLOOKUP(2170000,源泉DB!$B$258:$K$258,L101+3)+ROUNDDOWN((K101-2170000)*40.84%,0),IF(AND(K101&gt;1700000,K101&lt;2170000),VLOOKUP(1700000,源泉DB!$B$257:$K$257,L101+3)+ROUNDDOWN((K101-1700000)*40.84%,0),IF(AND(K101&gt;950000,K101&lt;1700000),VLOOKUP(950000,源泉DB!$B$256:$K$256,L101+3)+ROUNDDOWN((K101-950000)*33.693%,0),IF(AND(K101&gt;780000,K101&lt;950000),VLOOKUP(780000,源泉DB!$B$255:$K$255,L101+3)+ROUNDDOWN((K101-780000)*23.483%,0),IF(AND(K101&gt;740000,K101&lt;780000),VLOOKUP(740000,源泉DB!$B$254:$K$254,L101+3)+ROUNDDOWN((K101-740000)*20.42%,0),VLOOKUP(K101,源泉DB!$B$8:$K$299,L101+3))))))))),IF(F101="乙",IF(K101&gt;1700000,651900+(K101-1700000) *45.945%,IF(K101=1700000,651900,IF(AND(K101&gt;740000,K101&lt;1700000),259800+(K101-740000)*40.84%,IF(K101=740000,259800,IF(K101&lt;88000,ROUNDDOWN(K101*3.063%,9),VLOOKUP(K101,源泉DB!$B$8:$L$254,11)))))),"")),"")</f>
        <v/>
      </c>
      <c r="U101" s="165"/>
      <c r="V101" s="166"/>
      <c r="W101" s="166"/>
      <c r="X101" s="166"/>
      <c r="Y101" s="166"/>
      <c r="Z101" s="178">
        <f>ROUND(IFERROR(IF(($G101="加入"),VLOOKUP($I101,年金DB!$G$16:$P$65,6,TRUE),0),0)-0.1,0)</f>
        <v>0</v>
      </c>
      <c r="AA101" s="178">
        <f>ROUND(IFERROR(IF(AND($G101="加入",$D101&gt;=40,$D101&lt;=64),VLOOKUP($I101,年金DB!$G$16:$P$65,10,TRUE),0),0)-0.1,0)</f>
        <v>0</v>
      </c>
      <c r="AB101" s="178">
        <f>ROUND(IFERROR(IF(AND($G101="加入",$D101&lt;40),VLOOKUP($J101,年金DB!$G$16:$X$62,14,TRUE),IF(AND($G101="加入",$D101&gt;=40),VLOOKUP($J101,年金DB!$G$16:$X$62,14,TRUE),"0")),0)-0.1,0)</f>
        <v>0</v>
      </c>
      <c r="AC101" s="178">
        <f t="shared" si="10"/>
        <v>0</v>
      </c>
      <c r="AD101" s="21">
        <f t="shared" si="11"/>
        <v>0</v>
      </c>
      <c r="AE101" s="173">
        <f t="shared" si="12"/>
        <v>0</v>
      </c>
      <c r="AF101" s="14" t="str">
        <f t="shared" si="13"/>
        <v/>
      </c>
      <c r="AG101" s="14"/>
      <c r="AH101" s="14"/>
    </row>
    <row r="102" spans="1:34">
      <c r="A102" s="28"/>
      <c r="B102" s="180"/>
      <c r="C102" s="188"/>
      <c r="D102" s="161"/>
      <c r="E102" s="162"/>
      <c r="F102" s="162"/>
      <c r="G102" s="163"/>
      <c r="H102" s="285"/>
      <c r="I102" s="282"/>
      <c r="J102" s="16"/>
      <c r="K102" s="18">
        <f t="shared" si="7"/>
        <v>0</v>
      </c>
      <c r="L102" s="288">
        <v>0</v>
      </c>
      <c r="M102" s="291"/>
      <c r="N102" s="164"/>
      <c r="O102" s="164"/>
      <c r="P102" s="164"/>
      <c r="Q102" s="175">
        <f t="shared" si="8"/>
        <v>0</v>
      </c>
      <c r="R102" s="164"/>
      <c r="S102" s="197">
        <f t="shared" si="9"/>
        <v>0</v>
      </c>
      <c r="T102" s="201" t="str" cm="1">
        <f t="array" ref="T102">IFERROR(IF(F102="甲",IF(K102&gt;3500000,VLOOKUP(3500000,源泉DB!$B$261:$L$261,L102+3)+ROUNDDOWN((K102-3500000)*45.945%,0),IF(AND(K102&gt;2250000,K102&lt;3500000),VLOOKUP(2250000,源泉DB!$B$260:$K$260,L102+3)+ROUNDDOWN((K102-2250000)*40.84%,0),IF(AND(K102&gt;2210000,K102&lt;2250000),VLOOKUP(2210000,源泉DB!$B$259:$K$259,L102+3)+ROUNDDOWN((K102-2210000)*40.84%,0),IF(AND(K102&gt;2170000,K102&lt;2210000),VLOOKUP(2170000,源泉DB!$B$258:$K$258,L102+3)+ROUNDDOWN((K102-2170000)*40.84%,0),IF(AND(K102&gt;1700000,K102&lt;2170000),VLOOKUP(1700000,源泉DB!$B$257:$K$257,L102+3)+ROUNDDOWN((K102-1700000)*40.84%,0),IF(AND(K102&gt;950000,K102&lt;1700000),VLOOKUP(950000,源泉DB!$B$256:$K$256,L102+3)+ROUNDDOWN((K102-950000)*33.693%,0),IF(AND(K102&gt;780000,K102&lt;950000),VLOOKUP(780000,源泉DB!$B$255:$K$255,L102+3)+ROUNDDOWN((K102-780000)*23.483%,0),IF(AND(K102&gt;740000,K102&lt;780000),VLOOKUP(740000,源泉DB!$B$254:$K$254,L102+3)+ROUNDDOWN((K102-740000)*20.42%,0),VLOOKUP(K102,源泉DB!$B$8:$K$299,L102+3))))))))),IF(F102="乙",IF(K102&gt;1700000,651900+(K102-1700000) *45.945%,IF(K102=1700000,651900,IF(AND(K102&gt;740000,K102&lt;1700000),259800+(K102-740000)*40.84%,IF(K102=740000,259800,IF(K102&lt;88000,ROUNDDOWN(K102*3.063%,9),VLOOKUP(K102,源泉DB!$B$8:$L$254,11)))))),"")),"")</f>
        <v/>
      </c>
      <c r="U102" s="165"/>
      <c r="V102" s="166"/>
      <c r="W102" s="166"/>
      <c r="X102" s="166"/>
      <c r="Y102" s="166"/>
      <c r="Z102" s="178">
        <f>ROUND(IFERROR(IF(($G102="加入"),VLOOKUP($I102,年金DB!$G$16:$P$65,6,TRUE),0),0)-0.1,0)</f>
        <v>0</v>
      </c>
      <c r="AA102" s="178">
        <f>ROUND(IFERROR(IF(AND($G102="加入",$D102&gt;=40,$D102&lt;=64),VLOOKUP($I102,年金DB!$G$16:$P$65,10,TRUE),0),0)-0.1,0)</f>
        <v>0</v>
      </c>
      <c r="AB102" s="178">
        <f>ROUND(IFERROR(IF(AND($G102="加入",$D102&lt;40),VLOOKUP($J102,年金DB!$G$16:$X$62,14,TRUE),IF(AND($G102="加入",$D102&gt;=40),VLOOKUP($J102,年金DB!$G$16:$X$62,14,TRUE),"0")),0)-0.1,0)</f>
        <v>0</v>
      </c>
      <c r="AC102" s="178">
        <f t="shared" si="10"/>
        <v>0</v>
      </c>
      <c r="AD102" s="21">
        <f t="shared" si="11"/>
        <v>0</v>
      </c>
      <c r="AE102" s="173">
        <f t="shared" si="12"/>
        <v>0</v>
      </c>
      <c r="AF102" s="14" t="str">
        <f t="shared" si="13"/>
        <v/>
      </c>
      <c r="AG102" s="14"/>
      <c r="AH102" s="14"/>
    </row>
    <row r="103" spans="1:34">
      <c r="A103" s="28"/>
      <c r="B103" s="180"/>
      <c r="C103" s="188"/>
      <c r="D103" s="161"/>
      <c r="E103" s="162"/>
      <c r="F103" s="162"/>
      <c r="G103" s="163"/>
      <c r="H103" s="285"/>
      <c r="I103" s="282"/>
      <c r="J103" s="16"/>
      <c r="K103" s="18">
        <f t="shared" si="7"/>
        <v>0</v>
      </c>
      <c r="L103" s="288">
        <v>0</v>
      </c>
      <c r="M103" s="291"/>
      <c r="N103" s="164"/>
      <c r="O103" s="164"/>
      <c r="P103" s="164"/>
      <c r="Q103" s="175">
        <f t="shared" si="8"/>
        <v>0</v>
      </c>
      <c r="R103" s="164"/>
      <c r="S103" s="197">
        <f t="shared" si="9"/>
        <v>0</v>
      </c>
      <c r="T103" s="201" t="str" cm="1">
        <f t="array" ref="T103">IFERROR(IF(F103="甲",IF(K103&gt;3500000,VLOOKUP(3500000,源泉DB!$B$261:$L$261,L103+3)+ROUNDDOWN((K103-3500000)*45.945%,0),IF(AND(K103&gt;2250000,K103&lt;3500000),VLOOKUP(2250000,源泉DB!$B$260:$K$260,L103+3)+ROUNDDOWN((K103-2250000)*40.84%,0),IF(AND(K103&gt;2210000,K103&lt;2250000),VLOOKUP(2210000,源泉DB!$B$259:$K$259,L103+3)+ROUNDDOWN((K103-2210000)*40.84%,0),IF(AND(K103&gt;2170000,K103&lt;2210000),VLOOKUP(2170000,源泉DB!$B$258:$K$258,L103+3)+ROUNDDOWN((K103-2170000)*40.84%,0),IF(AND(K103&gt;1700000,K103&lt;2170000),VLOOKUP(1700000,源泉DB!$B$257:$K$257,L103+3)+ROUNDDOWN((K103-1700000)*40.84%,0),IF(AND(K103&gt;950000,K103&lt;1700000),VLOOKUP(950000,源泉DB!$B$256:$K$256,L103+3)+ROUNDDOWN((K103-950000)*33.693%,0),IF(AND(K103&gt;780000,K103&lt;950000),VLOOKUP(780000,源泉DB!$B$255:$K$255,L103+3)+ROUNDDOWN((K103-780000)*23.483%,0),IF(AND(K103&gt;740000,K103&lt;780000),VLOOKUP(740000,源泉DB!$B$254:$K$254,L103+3)+ROUNDDOWN((K103-740000)*20.42%,0),VLOOKUP(K103,源泉DB!$B$8:$K$299,L103+3))))))))),IF(F103="乙",IF(K103&gt;1700000,651900+(K103-1700000) *45.945%,IF(K103=1700000,651900,IF(AND(K103&gt;740000,K103&lt;1700000),259800+(K103-740000)*40.84%,IF(K103=740000,259800,IF(K103&lt;88000,ROUNDDOWN(K103*3.063%,9),VLOOKUP(K103,源泉DB!$B$8:$L$254,11)))))),"")),"")</f>
        <v/>
      </c>
      <c r="U103" s="165"/>
      <c r="V103" s="166"/>
      <c r="W103" s="166"/>
      <c r="X103" s="166"/>
      <c r="Y103" s="166"/>
      <c r="Z103" s="178">
        <f>ROUND(IFERROR(IF(($G103="加入"),VLOOKUP($I103,年金DB!$G$16:$P$65,6,TRUE),0),0)-0.1,0)</f>
        <v>0</v>
      </c>
      <c r="AA103" s="178">
        <f>ROUND(IFERROR(IF(AND($G103="加入",$D103&gt;=40,$D103&lt;=64),VLOOKUP($I103,年金DB!$G$16:$P$65,10,TRUE),0),0)-0.1,0)</f>
        <v>0</v>
      </c>
      <c r="AB103" s="178">
        <f>ROUND(IFERROR(IF(AND($G103="加入",$D103&lt;40),VLOOKUP($J103,年金DB!$G$16:$X$62,14,TRUE),IF(AND($G103="加入",$D103&gt;=40),VLOOKUP($J103,年金DB!$G$16:$X$62,14,TRUE),"0")),0)-0.1,0)</f>
        <v>0</v>
      </c>
      <c r="AC103" s="178">
        <f t="shared" si="10"/>
        <v>0</v>
      </c>
      <c r="AD103" s="21">
        <f t="shared" si="11"/>
        <v>0</v>
      </c>
      <c r="AE103" s="173">
        <f t="shared" si="12"/>
        <v>0</v>
      </c>
      <c r="AF103" s="14" t="str">
        <f t="shared" si="13"/>
        <v/>
      </c>
      <c r="AG103" s="14"/>
      <c r="AH103" s="14"/>
    </row>
    <row r="104" spans="1:34">
      <c r="A104" s="28"/>
      <c r="B104" s="180"/>
      <c r="C104" s="188"/>
      <c r="D104" s="161"/>
      <c r="E104" s="162"/>
      <c r="F104" s="162"/>
      <c r="G104" s="163"/>
      <c r="H104" s="285"/>
      <c r="I104" s="282"/>
      <c r="J104" s="16"/>
      <c r="K104" s="18">
        <f t="shared" si="7"/>
        <v>0</v>
      </c>
      <c r="L104" s="288">
        <v>0</v>
      </c>
      <c r="M104" s="291"/>
      <c r="N104" s="164"/>
      <c r="O104" s="164"/>
      <c r="P104" s="164"/>
      <c r="Q104" s="175">
        <f t="shared" si="8"/>
        <v>0</v>
      </c>
      <c r="R104" s="164"/>
      <c r="S104" s="197">
        <f t="shared" si="9"/>
        <v>0</v>
      </c>
      <c r="T104" s="201" t="str" cm="1">
        <f t="array" ref="T104">IFERROR(IF(F104="甲",IF(K104&gt;3500000,VLOOKUP(3500000,源泉DB!$B$261:$L$261,L104+3)+ROUNDDOWN((K104-3500000)*45.945%,0),IF(AND(K104&gt;2250000,K104&lt;3500000),VLOOKUP(2250000,源泉DB!$B$260:$K$260,L104+3)+ROUNDDOWN((K104-2250000)*40.84%,0),IF(AND(K104&gt;2210000,K104&lt;2250000),VLOOKUP(2210000,源泉DB!$B$259:$K$259,L104+3)+ROUNDDOWN((K104-2210000)*40.84%,0),IF(AND(K104&gt;2170000,K104&lt;2210000),VLOOKUP(2170000,源泉DB!$B$258:$K$258,L104+3)+ROUNDDOWN((K104-2170000)*40.84%,0),IF(AND(K104&gt;1700000,K104&lt;2170000),VLOOKUP(1700000,源泉DB!$B$257:$K$257,L104+3)+ROUNDDOWN((K104-1700000)*40.84%,0),IF(AND(K104&gt;950000,K104&lt;1700000),VLOOKUP(950000,源泉DB!$B$256:$K$256,L104+3)+ROUNDDOWN((K104-950000)*33.693%,0),IF(AND(K104&gt;780000,K104&lt;950000),VLOOKUP(780000,源泉DB!$B$255:$K$255,L104+3)+ROUNDDOWN((K104-780000)*23.483%,0),IF(AND(K104&gt;740000,K104&lt;780000),VLOOKUP(740000,源泉DB!$B$254:$K$254,L104+3)+ROUNDDOWN((K104-740000)*20.42%,0),VLOOKUP(K104,源泉DB!$B$8:$K$299,L104+3))))))))),IF(F104="乙",IF(K104&gt;1700000,651900+(K104-1700000) *45.945%,IF(K104=1700000,651900,IF(AND(K104&gt;740000,K104&lt;1700000),259800+(K104-740000)*40.84%,IF(K104=740000,259800,IF(K104&lt;88000,ROUNDDOWN(K104*3.063%,9),VLOOKUP(K104,源泉DB!$B$8:$L$254,11)))))),"")),"")</f>
        <v/>
      </c>
      <c r="U104" s="165"/>
      <c r="V104" s="166"/>
      <c r="W104" s="166"/>
      <c r="X104" s="166"/>
      <c r="Y104" s="166"/>
      <c r="Z104" s="178">
        <f>ROUND(IFERROR(IF(($G104="加入"),VLOOKUP($I104,年金DB!$G$16:$P$65,6,TRUE),0),0)-0.1,0)</f>
        <v>0</v>
      </c>
      <c r="AA104" s="178">
        <f>ROUND(IFERROR(IF(AND($G104="加入",$D104&gt;=40,$D104&lt;=64),VLOOKUP($I104,年金DB!$G$16:$P$65,10,TRUE),0),0)-0.1,0)</f>
        <v>0</v>
      </c>
      <c r="AB104" s="178">
        <f>ROUND(IFERROR(IF(AND($G104="加入",$D104&lt;40),VLOOKUP($J104,年金DB!$G$16:$X$62,14,TRUE),IF(AND($G104="加入",$D104&gt;=40),VLOOKUP($J104,年金DB!$G$16:$X$62,14,TRUE),"0")),0)-0.1,0)</f>
        <v>0</v>
      </c>
      <c r="AC104" s="178">
        <f t="shared" si="10"/>
        <v>0</v>
      </c>
      <c r="AD104" s="21">
        <f t="shared" si="11"/>
        <v>0</v>
      </c>
      <c r="AE104" s="173">
        <f t="shared" si="12"/>
        <v>0</v>
      </c>
      <c r="AF104" s="14" t="str">
        <f t="shared" si="13"/>
        <v/>
      </c>
      <c r="AG104" s="14"/>
      <c r="AH104" s="14"/>
    </row>
    <row r="105" spans="1:34">
      <c r="A105" s="28"/>
      <c r="B105" s="180"/>
      <c r="C105" s="188"/>
      <c r="D105" s="161"/>
      <c r="E105" s="162"/>
      <c r="F105" s="162"/>
      <c r="G105" s="163"/>
      <c r="H105" s="285"/>
      <c r="I105" s="282"/>
      <c r="J105" s="16"/>
      <c r="K105" s="18">
        <f t="shared" si="7"/>
        <v>0</v>
      </c>
      <c r="L105" s="288">
        <v>0</v>
      </c>
      <c r="M105" s="291"/>
      <c r="N105" s="164"/>
      <c r="O105" s="164"/>
      <c r="P105" s="164"/>
      <c r="Q105" s="175">
        <f t="shared" si="8"/>
        <v>0</v>
      </c>
      <c r="R105" s="164"/>
      <c r="S105" s="197">
        <f t="shared" si="9"/>
        <v>0</v>
      </c>
      <c r="T105" s="201" t="str" cm="1">
        <f t="array" ref="T105">IFERROR(IF(F105="甲",IF(K105&gt;3500000,VLOOKUP(3500000,源泉DB!$B$261:$L$261,L105+3)+ROUNDDOWN((K105-3500000)*45.945%,0),IF(AND(K105&gt;2250000,K105&lt;3500000),VLOOKUP(2250000,源泉DB!$B$260:$K$260,L105+3)+ROUNDDOWN((K105-2250000)*40.84%,0),IF(AND(K105&gt;2210000,K105&lt;2250000),VLOOKUP(2210000,源泉DB!$B$259:$K$259,L105+3)+ROUNDDOWN((K105-2210000)*40.84%,0),IF(AND(K105&gt;2170000,K105&lt;2210000),VLOOKUP(2170000,源泉DB!$B$258:$K$258,L105+3)+ROUNDDOWN((K105-2170000)*40.84%,0),IF(AND(K105&gt;1700000,K105&lt;2170000),VLOOKUP(1700000,源泉DB!$B$257:$K$257,L105+3)+ROUNDDOWN((K105-1700000)*40.84%,0),IF(AND(K105&gt;950000,K105&lt;1700000),VLOOKUP(950000,源泉DB!$B$256:$K$256,L105+3)+ROUNDDOWN((K105-950000)*33.693%,0),IF(AND(K105&gt;780000,K105&lt;950000),VLOOKUP(780000,源泉DB!$B$255:$K$255,L105+3)+ROUNDDOWN((K105-780000)*23.483%,0),IF(AND(K105&gt;740000,K105&lt;780000),VLOOKUP(740000,源泉DB!$B$254:$K$254,L105+3)+ROUNDDOWN((K105-740000)*20.42%,0),VLOOKUP(K105,源泉DB!$B$8:$K$299,L105+3))))))))),IF(F105="乙",IF(K105&gt;1700000,651900+(K105-1700000) *45.945%,IF(K105=1700000,651900,IF(AND(K105&gt;740000,K105&lt;1700000),259800+(K105-740000)*40.84%,IF(K105=740000,259800,IF(K105&lt;88000,ROUNDDOWN(K105*3.063%,9),VLOOKUP(K105,源泉DB!$B$8:$L$254,11)))))),"")),"")</f>
        <v/>
      </c>
      <c r="U105" s="165"/>
      <c r="V105" s="166"/>
      <c r="W105" s="166"/>
      <c r="X105" s="166"/>
      <c r="Y105" s="166"/>
      <c r="Z105" s="178">
        <f>ROUND(IFERROR(IF(($G105="加入"),VLOOKUP($I105,年金DB!$G$16:$P$65,6,TRUE),0),0)-0.1,0)</f>
        <v>0</v>
      </c>
      <c r="AA105" s="178">
        <f>ROUND(IFERROR(IF(AND($G105="加入",$D105&gt;=40,$D105&lt;=64),VLOOKUP($I105,年金DB!$G$16:$P$65,10,TRUE),0),0)-0.1,0)</f>
        <v>0</v>
      </c>
      <c r="AB105" s="178">
        <f>ROUND(IFERROR(IF(AND($G105="加入",$D105&lt;40),VLOOKUP($J105,年金DB!$G$16:$X$62,14,TRUE),IF(AND($G105="加入",$D105&gt;=40),VLOOKUP($J105,年金DB!$G$16:$X$62,14,TRUE),"0")),0)-0.1,0)</f>
        <v>0</v>
      </c>
      <c r="AC105" s="178">
        <f t="shared" si="10"/>
        <v>0</v>
      </c>
      <c r="AD105" s="21">
        <f t="shared" si="11"/>
        <v>0</v>
      </c>
      <c r="AE105" s="173">
        <f t="shared" si="12"/>
        <v>0</v>
      </c>
      <c r="AF105" s="14" t="str">
        <f t="shared" si="13"/>
        <v/>
      </c>
      <c r="AG105" s="14"/>
      <c r="AH105" s="14"/>
    </row>
    <row r="106" spans="1:34">
      <c r="A106" s="28"/>
      <c r="B106" s="180"/>
      <c r="C106" s="188"/>
      <c r="D106" s="161"/>
      <c r="E106" s="162"/>
      <c r="F106" s="162"/>
      <c r="G106" s="163"/>
      <c r="H106" s="285"/>
      <c r="I106" s="282"/>
      <c r="J106" s="16"/>
      <c r="K106" s="18">
        <f t="shared" si="7"/>
        <v>0</v>
      </c>
      <c r="L106" s="288">
        <v>0</v>
      </c>
      <c r="M106" s="291"/>
      <c r="N106" s="164"/>
      <c r="O106" s="164"/>
      <c r="P106" s="164"/>
      <c r="Q106" s="175">
        <f t="shared" si="8"/>
        <v>0</v>
      </c>
      <c r="R106" s="164"/>
      <c r="S106" s="197">
        <f t="shared" si="9"/>
        <v>0</v>
      </c>
      <c r="T106" s="201" t="str" cm="1">
        <f t="array" ref="T106">IFERROR(IF(F106="甲",IF(K106&gt;3500000,VLOOKUP(3500000,源泉DB!$B$261:$L$261,L106+3)+ROUNDDOWN((K106-3500000)*45.945%,0),IF(AND(K106&gt;2250000,K106&lt;3500000),VLOOKUP(2250000,源泉DB!$B$260:$K$260,L106+3)+ROUNDDOWN((K106-2250000)*40.84%,0),IF(AND(K106&gt;2210000,K106&lt;2250000),VLOOKUP(2210000,源泉DB!$B$259:$K$259,L106+3)+ROUNDDOWN((K106-2210000)*40.84%,0),IF(AND(K106&gt;2170000,K106&lt;2210000),VLOOKUP(2170000,源泉DB!$B$258:$K$258,L106+3)+ROUNDDOWN((K106-2170000)*40.84%,0),IF(AND(K106&gt;1700000,K106&lt;2170000),VLOOKUP(1700000,源泉DB!$B$257:$K$257,L106+3)+ROUNDDOWN((K106-1700000)*40.84%,0),IF(AND(K106&gt;950000,K106&lt;1700000),VLOOKUP(950000,源泉DB!$B$256:$K$256,L106+3)+ROUNDDOWN((K106-950000)*33.693%,0),IF(AND(K106&gt;780000,K106&lt;950000),VLOOKUP(780000,源泉DB!$B$255:$K$255,L106+3)+ROUNDDOWN((K106-780000)*23.483%,0),IF(AND(K106&gt;740000,K106&lt;780000),VLOOKUP(740000,源泉DB!$B$254:$K$254,L106+3)+ROUNDDOWN((K106-740000)*20.42%,0),VLOOKUP(K106,源泉DB!$B$8:$K$299,L106+3))))))))),IF(F106="乙",IF(K106&gt;1700000,651900+(K106-1700000) *45.945%,IF(K106=1700000,651900,IF(AND(K106&gt;740000,K106&lt;1700000),259800+(K106-740000)*40.84%,IF(K106=740000,259800,IF(K106&lt;88000,ROUNDDOWN(K106*3.063%,9),VLOOKUP(K106,源泉DB!$B$8:$L$254,11)))))),"")),"")</f>
        <v/>
      </c>
      <c r="U106" s="165"/>
      <c r="V106" s="166"/>
      <c r="W106" s="166"/>
      <c r="X106" s="166"/>
      <c r="Y106" s="166"/>
      <c r="Z106" s="178">
        <f>ROUND(IFERROR(IF(($G106="加入"),VLOOKUP($I106,年金DB!$G$16:$P$65,6,TRUE),0),0)-0.1,0)</f>
        <v>0</v>
      </c>
      <c r="AA106" s="178">
        <f>ROUND(IFERROR(IF(AND($G106="加入",$D106&gt;=40,$D106&lt;=64),VLOOKUP($I106,年金DB!$G$16:$P$65,10,TRUE),0),0)-0.1,0)</f>
        <v>0</v>
      </c>
      <c r="AB106" s="178">
        <f>ROUND(IFERROR(IF(AND($G106="加入",$D106&lt;40),VLOOKUP($J106,年金DB!$G$16:$X$62,14,TRUE),IF(AND($G106="加入",$D106&gt;=40),VLOOKUP($J106,年金DB!$G$16:$X$62,14,TRUE),"0")),0)-0.1,0)</f>
        <v>0</v>
      </c>
      <c r="AC106" s="178">
        <f t="shared" si="10"/>
        <v>0</v>
      </c>
      <c r="AD106" s="21">
        <f t="shared" si="11"/>
        <v>0</v>
      </c>
      <c r="AE106" s="173">
        <f t="shared" si="12"/>
        <v>0</v>
      </c>
      <c r="AF106" s="14" t="str">
        <f t="shared" si="13"/>
        <v/>
      </c>
      <c r="AG106" s="14"/>
      <c r="AH106" s="14"/>
    </row>
    <row r="107" spans="1:34">
      <c r="A107" s="28"/>
      <c r="B107" s="180"/>
      <c r="C107" s="188"/>
      <c r="D107" s="161"/>
      <c r="E107" s="162"/>
      <c r="F107" s="162"/>
      <c r="G107" s="163"/>
      <c r="H107" s="285"/>
      <c r="I107" s="282"/>
      <c r="J107" s="16"/>
      <c r="K107" s="18">
        <f t="shared" si="7"/>
        <v>0</v>
      </c>
      <c r="L107" s="288">
        <v>0</v>
      </c>
      <c r="M107" s="291"/>
      <c r="N107" s="164"/>
      <c r="O107" s="164"/>
      <c r="P107" s="164"/>
      <c r="Q107" s="175">
        <f t="shared" si="8"/>
        <v>0</v>
      </c>
      <c r="R107" s="164"/>
      <c r="S107" s="197">
        <f t="shared" si="9"/>
        <v>0</v>
      </c>
      <c r="T107" s="201" t="str" cm="1">
        <f t="array" ref="T107">IFERROR(IF(F107="甲",IF(K107&gt;3500000,VLOOKUP(3500000,源泉DB!$B$261:$L$261,L107+3)+ROUNDDOWN((K107-3500000)*45.945%,0),IF(AND(K107&gt;2250000,K107&lt;3500000),VLOOKUP(2250000,源泉DB!$B$260:$K$260,L107+3)+ROUNDDOWN((K107-2250000)*40.84%,0),IF(AND(K107&gt;2210000,K107&lt;2250000),VLOOKUP(2210000,源泉DB!$B$259:$K$259,L107+3)+ROUNDDOWN((K107-2210000)*40.84%,0),IF(AND(K107&gt;2170000,K107&lt;2210000),VLOOKUP(2170000,源泉DB!$B$258:$K$258,L107+3)+ROUNDDOWN((K107-2170000)*40.84%,0),IF(AND(K107&gt;1700000,K107&lt;2170000),VLOOKUP(1700000,源泉DB!$B$257:$K$257,L107+3)+ROUNDDOWN((K107-1700000)*40.84%,0),IF(AND(K107&gt;950000,K107&lt;1700000),VLOOKUP(950000,源泉DB!$B$256:$K$256,L107+3)+ROUNDDOWN((K107-950000)*33.693%,0),IF(AND(K107&gt;780000,K107&lt;950000),VLOOKUP(780000,源泉DB!$B$255:$K$255,L107+3)+ROUNDDOWN((K107-780000)*23.483%,0),IF(AND(K107&gt;740000,K107&lt;780000),VLOOKUP(740000,源泉DB!$B$254:$K$254,L107+3)+ROUNDDOWN((K107-740000)*20.42%,0),VLOOKUP(K107,源泉DB!$B$8:$K$299,L107+3))))))))),IF(F107="乙",IF(K107&gt;1700000,651900+(K107-1700000) *45.945%,IF(K107=1700000,651900,IF(AND(K107&gt;740000,K107&lt;1700000),259800+(K107-740000)*40.84%,IF(K107=740000,259800,IF(K107&lt;88000,ROUNDDOWN(K107*3.063%,9),VLOOKUP(K107,源泉DB!$B$8:$L$254,11)))))),"")),"")</f>
        <v/>
      </c>
      <c r="U107" s="165"/>
      <c r="V107" s="166"/>
      <c r="W107" s="166"/>
      <c r="X107" s="166"/>
      <c r="Y107" s="166"/>
      <c r="Z107" s="178">
        <f>ROUND(IFERROR(IF(($G107="加入"),VLOOKUP($I107,年金DB!$G$16:$P$65,6,TRUE),0),0)-0.1,0)</f>
        <v>0</v>
      </c>
      <c r="AA107" s="178">
        <f>ROUND(IFERROR(IF(AND($G107="加入",$D107&gt;=40,$D107&lt;=64),VLOOKUP($I107,年金DB!$G$16:$P$65,10,TRUE),0),0)-0.1,0)</f>
        <v>0</v>
      </c>
      <c r="AB107" s="178">
        <f>ROUND(IFERROR(IF(AND($G107="加入",$D107&lt;40),VLOOKUP($J107,年金DB!$G$16:$X$62,14,TRUE),IF(AND($G107="加入",$D107&gt;=40),VLOOKUP($J107,年金DB!$G$16:$X$62,14,TRUE),"0")),0)-0.1,0)</f>
        <v>0</v>
      </c>
      <c r="AC107" s="178">
        <f t="shared" si="10"/>
        <v>0</v>
      </c>
      <c r="AD107" s="21">
        <f t="shared" si="11"/>
        <v>0</v>
      </c>
      <c r="AE107" s="173">
        <f t="shared" si="12"/>
        <v>0</v>
      </c>
      <c r="AF107" s="14" t="str">
        <f t="shared" si="13"/>
        <v/>
      </c>
      <c r="AG107" s="14"/>
      <c r="AH107" s="14"/>
    </row>
    <row r="108" spans="1:34">
      <c r="A108" s="28"/>
      <c r="B108" s="180"/>
      <c r="C108" s="188"/>
      <c r="D108" s="161"/>
      <c r="E108" s="162"/>
      <c r="F108" s="162"/>
      <c r="G108" s="163"/>
      <c r="H108" s="285"/>
      <c r="I108" s="282"/>
      <c r="J108" s="16"/>
      <c r="K108" s="18">
        <f t="shared" si="7"/>
        <v>0</v>
      </c>
      <c r="L108" s="288">
        <v>0</v>
      </c>
      <c r="M108" s="291"/>
      <c r="N108" s="164"/>
      <c r="O108" s="164"/>
      <c r="P108" s="164"/>
      <c r="Q108" s="175">
        <f t="shared" si="8"/>
        <v>0</v>
      </c>
      <c r="R108" s="164"/>
      <c r="S108" s="197">
        <f t="shared" si="9"/>
        <v>0</v>
      </c>
      <c r="T108" s="201" t="str" cm="1">
        <f t="array" ref="T108">IFERROR(IF(F108="甲",IF(K108&gt;3500000,VLOOKUP(3500000,源泉DB!$B$261:$L$261,L108+3)+ROUNDDOWN((K108-3500000)*45.945%,0),IF(AND(K108&gt;2250000,K108&lt;3500000),VLOOKUP(2250000,源泉DB!$B$260:$K$260,L108+3)+ROUNDDOWN((K108-2250000)*40.84%,0),IF(AND(K108&gt;2210000,K108&lt;2250000),VLOOKUP(2210000,源泉DB!$B$259:$K$259,L108+3)+ROUNDDOWN((K108-2210000)*40.84%,0),IF(AND(K108&gt;2170000,K108&lt;2210000),VLOOKUP(2170000,源泉DB!$B$258:$K$258,L108+3)+ROUNDDOWN((K108-2170000)*40.84%,0),IF(AND(K108&gt;1700000,K108&lt;2170000),VLOOKUP(1700000,源泉DB!$B$257:$K$257,L108+3)+ROUNDDOWN((K108-1700000)*40.84%,0),IF(AND(K108&gt;950000,K108&lt;1700000),VLOOKUP(950000,源泉DB!$B$256:$K$256,L108+3)+ROUNDDOWN((K108-950000)*33.693%,0),IF(AND(K108&gt;780000,K108&lt;950000),VLOOKUP(780000,源泉DB!$B$255:$K$255,L108+3)+ROUNDDOWN((K108-780000)*23.483%,0),IF(AND(K108&gt;740000,K108&lt;780000),VLOOKUP(740000,源泉DB!$B$254:$K$254,L108+3)+ROUNDDOWN((K108-740000)*20.42%,0),VLOOKUP(K108,源泉DB!$B$8:$K$299,L108+3))))))))),IF(F108="乙",IF(K108&gt;1700000,651900+(K108-1700000) *45.945%,IF(K108=1700000,651900,IF(AND(K108&gt;740000,K108&lt;1700000),259800+(K108-740000)*40.84%,IF(K108=740000,259800,IF(K108&lt;88000,ROUNDDOWN(K108*3.063%,9),VLOOKUP(K108,源泉DB!$B$8:$L$254,11)))))),"")),"")</f>
        <v/>
      </c>
      <c r="U108" s="165"/>
      <c r="V108" s="166"/>
      <c r="W108" s="166"/>
      <c r="X108" s="166"/>
      <c r="Y108" s="166"/>
      <c r="Z108" s="178">
        <f>ROUND(IFERROR(IF(($G108="加入"),VLOOKUP($I108,年金DB!$G$16:$P$65,6,TRUE),0),0)-0.1,0)</f>
        <v>0</v>
      </c>
      <c r="AA108" s="178">
        <f>ROUND(IFERROR(IF(AND($G108="加入",$D108&gt;=40,$D108&lt;=64),VLOOKUP($I108,年金DB!$G$16:$P$65,10,TRUE),0),0)-0.1,0)</f>
        <v>0</v>
      </c>
      <c r="AB108" s="178">
        <f>ROUND(IFERROR(IF(AND($G108="加入",$D108&lt;40),VLOOKUP($J108,年金DB!$G$16:$X$62,14,TRUE),IF(AND($G108="加入",$D108&gt;=40),VLOOKUP($J108,年金DB!$G$16:$X$62,14,TRUE),"0")),0)-0.1,0)</f>
        <v>0</v>
      </c>
      <c r="AC108" s="178">
        <f t="shared" si="10"/>
        <v>0</v>
      </c>
      <c r="AD108" s="21">
        <f t="shared" si="11"/>
        <v>0</v>
      </c>
      <c r="AE108" s="173">
        <f t="shared" si="12"/>
        <v>0</v>
      </c>
      <c r="AF108" s="14" t="str">
        <f t="shared" si="13"/>
        <v/>
      </c>
      <c r="AG108" s="14"/>
      <c r="AH108" s="14"/>
    </row>
    <row r="109" spans="1:34">
      <c r="A109" s="28"/>
      <c r="B109" s="180"/>
      <c r="C109" s="188"/>
      <c r="D109" s="161"/>
      <c r="E109" s="162"/>
      <c r="F109" s="162"/>
      <c r="G109" s="163"/>
      <c r="H109" s="285"/>
      <c r="I109" s="282"/>
      <c r="J109" s="16"/>
      <c r="K109" s="18">
        <f t="shared" si="7"/>
        <v>0</v>
      </c>
      <c r="L109" s="288">
        <v>0</v>
      </c>
      <c r="M109" s="291"/>
      <c r="N109" s="164"/>
      <c r="O109" s="164"/>
      <c r="P109" s="164"/>
      <c r="Q109" s="175">
        <f t="shared" si="8"/>
        <v>0</v>
      </c>
      <c r="R109" s="164"/>
      <c r="S109" s="197">
        <f t="shared" si="9"/>
        <v>0</v>
      </c>
      <c r="T109" s="201" t="str" cm="1">
        <f t="array" ref="T109">IFERROR(IF(F109="甲",IF(K109&gt;3500000,VLOOKUP(3500000,源泉DB!$B$261:$L$261,L109+3)+ROUNDDOWN((K109-3500000)*45.945%,0),IF(AND(K109&gt;2250000,K109&lt;3500000),VLOOKUP(2250000,源泉DB!$B$260:$K$260,L109+3)+ROUNDDOWN((K109-2250000)*40.84%,0),IF(AND(K109&gt;2210000,K109&lt;2250000),VLOOKUP(2210000,源泉DB!$B$259:$K$259,L109+3)+ROUNDDOWN((K109-2210000)*40.84%,0),IF(AND(K109&gt;2170000,K109&lt;2210000),VLOOKUP(2170000,源泉DB!$B$258:$K$258,L109+3)+ROUNDDOWN((K109-2170000)*40.84%,0),IF(AND(K109&gt;1700000,K109&lt;2170000),VLOOKUP(1700000,源泉DB!$B$257:$K$257,L109+3)+ROUNDDOWN((K109-1700000)*40.84%,0),IF(AND(K109&gt;950000,K109&lt;1700000),VLOOKUP(950000,源泉DB!$B$256:$K$256,L109+3)+ROUNDDOWN((K109-950000)*33.693%,0),IF(AND(K109&gt;780000,K109&lt;950000),VLOOKUP(780000,源泉DB!$B$255:$K$255,L109+3)+ROUNDDOWN((K109-780000)*23.483%,0),IF(AND(K109&gt;740000,K109&lt;780000),VLOOKUP(740000,源泉DB!$B$254:$K$254,L109+3)+ROUNDDOWN((K109-740000)*20.42%,0),VLOOKUP(K109,源泉DB!$B$8:$K$299,L109+3))))))))),IF(F109="乙",IF(K109&gt;1700000,651900+(K109-1700000) *45.945%,IF(K109=1700000,651900,IF(AND(K109&gt;740000,K109&lt;1700000),259800+(K109-740000)*40.84%,IF(K109=740000,259800,IF(K109&lt;88000,ROUNDDOWN(K109*3.063%,9),VLOOKUP(K109,源泉DB!$B$8:$L$254,11)))))),"")),"")</f>
        <v/>
      </c>
      <c r="U109" s="165"/>
      <c r="V109" s="166"/>
      <c r="W109" s="166"/>
      <c r="X109" s="166"/>
      <c r="Y109" s="166"/>
      <c r="Z109" s="178">
        <f>ROUND(IFERROR(IF(($G109="加入"),VLOOKUP($I109,年金DB!$G$16:$P$65,6,TRUE),0),0)-0.1,0)</f>
        <v>0</v>
      </c>
      <c r="AA109" s="178">
        <f>ROUND(IFERROR(IF(AND($G109="加入",$D109&gt;=40,$D109&lt;=64),VLOOKUP($I109,年金DB!$G$16:$P$65,10,TRUE),0),0)-0.1,0)</f>
        <v>0</v>
      </c>
      <c r="AB109" s="178">
        <f>ROUND(IFERROR(IF(AND($G109="加入",$D109&lt;40),VLOOKUP($J109,年金DB!$G$16:$X$62,14,TRUE),IF(AND($G109="加入",$D109&gt;=40),VLOOKUP($J109,年金DB!$G$16:$X$62,14,TRUE),"0")),0)-0.1,0)</f>
        <v>0</v>
      </c>
      <c r="AC109" s="178">
        <f t="shared" si="10"/>
        <v>0</v>
      </c>
      <c r="AD109" s="21">
        <f t="shared" si="11"/>
        <v>0</v>
      </c>
      <c r="AE109" s="173">
        <f t="shared" si="12"/>
        <v>0</v>
      </c>
      <c r="AF109" s="14" t="str">
        <f t="shared" si="13"/>
        <v/>
      </c>
      <c r="AG109" s="14"/>
      <c r="AH109" s="14"/>
    </row>
    <row r="110" spans="1:34">
      <c r="A110" s="28"/>
      <c r="B110" s="180"/>
      <c r="C110" s="188"/>
      <c r="D110" s="161"/>
      <c r="E110" s="162"/>
      <c r="F110" s="162"/>
      <c r="G110" s="163"/>
      <c r="H110" s="285"/>
      <c r="I110" s="282"/>
      <c r="J110" s="16"/>
      <c r="K110" s="18">
        <f t="shared" si="7"/>
        <v>0</v>
      </c>
      <c r="L110" s="288">
        <v>0</v>
      </c>
      <c r="M110" s="291"/>
      <c r="N110" s="164"/>
      <c r="O110" s="164"/>
      <c r="P110" s="164"/>
      <c r="Q110" s="175">
        <f t="shared" si="8"/>
        <v>0</v>
      </c>
      <c r="R110" s="164"/>
      <c r="S110" s="197">
        <f t="shared" si="9"/>
        <v>0</v>
      </c>
      <c r="T110" s="201" t="str" cm="1">
        <f t="array" ref="T110">IFERROR(IF(F110="甲",IF(K110&gt;3500000,VLOOKUP(3500000,源泉DB!$B$261:$L$261,L110+3)+ROUNDDOWN((K110-3500000)*45.945%,0),IF(AND(K110&gt;2250000,K110&lt;3500000),VLOOKUP(2250000,源泉DB!$B$260:$K$260,L110+3)+ROUNDDOWN((K110-2250000)*40.84%,0),IF(AND(K110&gt;2210000,K110&lt;2250000),VLOOKUP(2210000,源泉DB!$B$259:$K$259,L110+3)+ROUNDDOWN((K110-2210000)*40.84%,0),IF(AND(K110&gt;2170000,K110&lt;2210000),VLOOKUP(2170000,源泉DB!$B$258:$K$258,L110+3)+ROUNDDOWN((K110-2170000)*40.84%,0),IF(AND(K110&gt;1700000,K110&lt;2170000),VLOOKUP(1700000,源泉DB!$B$257:$K$257,L110+3)+ROUNDDOWN((K110-1700000)*40.84%,0),IF(AND(K110&gt;950000,K110&lt;1700000),VLOOKUP(950000,源泉DB!$B$256:$K$256,L110+3)+ROUNDDOWN((K110-950000)*33.693%,0),IF(AND(K110&gt;780000,K110&lt;950000),VLOOKUP(780000,源泉DB!$B$255:$K$255,L110+3)+ROUNDDOWN((K110-780000)*23.483%,0),IF(AND(K110&gt;740000,K110&lt;780000),VLOOKUP(740000,源泉DB!$B$254:$K$254,L110+3)+ROUNDDOWN((K110-740000)*20.42%,0),VLOOKUP(K110,源泉DB!$B$8:$K$299,L110+3))))))))),IF(F110="乙",IF(K110&gt;1700000,651900+(K110-1700000) *45.945%,IF(K110=1700000,651900,IF(AND(K110&gt;740000,K110&lt;1700000),259800+(K110-740000)*40.84%,IF(K110=740000,259800,IF(K110&lt;88000,ROUNDDOWN(K110*3.063%,9),VLOOKUP(K110,源泉DB!$B$8:$L$254,11)))))),"")),"")</f>
        <v/>
      </c>
      <c r="U110" s="165"/>
      <c r="V110" s="166"/>
      <c r="W110" s="166"/>
      <c r="X110" s="166"/>
      <c r="Y110" s="166"/>
      <c r="Z110" s="178">
        <f>ROUND(IFERROR(IF(($G110="加入"),VLOOKUP($I110,年金DB!$G$16:$P$65,6,TRUE),0),0)-0.1,0)</f>
        <v>0</v>
      </c>
      <c r="AA110" s="178">
        <f>ROUND(IFERROR(IF(AND($G110="加入",$D110&gt;=40,$D110&lt;=64),VLOOKUP($I110,年金DB!$G$16:$P$65,10,TRUE),0),0)-0.1,0)</f>
        <v>0</v>
      </c>
      <c r="AB110" s="178">
        <f>ROUND(IFERROR(IF(AND($G110="加入",$D110&lt;40),VLOOKUP($J110,年金DB!$G$16:$X$62,14,TRUE),IF(AND($G110="加入",$D110&gt;=40),VLOOKUP($J110,年金DB!$G$16:$X$62,14,TRUE),"0")),0)-0.1,0)</f>
        <v>0</v>
      </c>
      <c r="AC110" s="178">
        <f t="shared" si="10"/>
        <v>0</v>
      </c>
      <c r="AD110" s="21">
        <f t="shared" si="11"/>
        <v>0</v>
      </c>
      <c r="AE110" s="173">
        <f t="shared" si="12"/>
        <v>0</v>
      </c>
      <c r="AF110" s="14" t="str">
        <f t="shared" si="13"/>
        <v/>
      </c>
      <c r="AG110" s="14"/>
      <c r="AH110" s="14"/>
    </row>
    <row r="111" spans="1:34">
      <c r="A111" s="28"/>
      <c r="B111" s="180"/>
      <c r="C111" s="188"/>
      <c r="D111" s="161"/>
      <c r="E111" s="162"/>
      <c r="F111" s="162"/>
      <c r="G111" s="163"/>
      <c r="H111" s="285"/>
      <c r="I111" s="282"/>
      <c r="J111" s="16"/>
      <c r="K111" s="18">
        <f t="shared" si="7"/>
        <v>0</v>
      </c>
      <c r="L111" s="288">
        <v>0</v>
      </c>
      <c r="M111" s="291"/>
      <c r="N111" s="164"/>
      <c r="O111" s="164"/>
      <c r="P111" s="164"/>
      <c r="Q111" s="175">
        <f t="shared" si="8"/>
        <v>0</v>
      </c>
      <c r="R111" s="164"/>
      <c r="S111" s="197">
        <f t="shared" si="9"/>
        <v>0</v>
      </c>
      <c r="T111" s="201" t="str" cm="1">
        <f t="array" ref="T111">IFERROR(IF(F111="甲",IF(K111&gt;3500000,VLOOKUP(3500000,源泉DB!$B$261:$L$261,L111+3)+ROUNDDOWN((K111-3500000)*45.945%,0),IF(AND(K111&gt;2250000,K111&lt;3500000),VLOOKUP(2250000,源泉DB!$B$260:$K$260,L111+3)+ROUNDDOWN((K111-2250000)*40.84%,0),IF(AND(K111&gt;2210000,K111&lt;2250000),VLOOKUP(2210000,源泉DB!$B$259:$K$259,L111+3)+ROUNDDOWN((K111-2210000)*40.84%,0),IF(AND(K111&gt;2170000,K111&lt;2210000),VLOOKUP(2170000,源泉DB!$B$258:$K$258,L111+3)+ROUNDDOWN((K111-2170000)*40.84%,0),IF(AND(K111&gt;1700000,K111&lt;2170000),VLOOKUP(1700000,源泉DB!$B$257:$K$257,L111+3)+ROUNDDOWN((K111-1700000)*40.84%,0),IF(AND(K111&gt;950000,K111&lt;1700000),VLOOKUP(950000,源泉DB!$B$256:$K$256,L111+3)+ROUNDDOWN((K111-950000)*33.693%,0),IF(AND(K111&gt;780000,K111&lt;950000),VLOOKUP(780000,源泉DB!$B$255:$K$255,L111+3)+ROUNDDOWN((K111-780000)*23.483%,0),IF(AND(K111&gt;740000,K111&lt;780000),VLOOKUP(740000,源泉DB!$B$254:$K$254,L111+3)+ROUNDDOWN((K111-740000)*20.42%,0),VLOOKUP(K111,源泉DB!$B$8:$K$299,L111+3))))))))),IF(F111="乙",IF(K111&gt;1700000,651900+(K111-1700000) *45.945%,IF(K111=1700000,651900,IF(AND(K111&gt;740000,K111&lt;1700000),259800+(K111-740000)*40.84%,IF(K111=740000,259800,IF(K111&lt;88000,ROUNDDOWN(K111*3.063%,9),VLOOKUP(K111,源泉DB!$B$8:$L$254,11)))))),"")),"")</f>
        <v/>
      </c>
      <c r="U111" s="165"/>
      <c r="V111" s="166"/>
      <c r="W111" s="166"/>
      <c r="X111" s="166"/>
      <c r="Y111" s="166"/>
      <c r="Z111" s="178">
        <f>ROUND(IFERROR(IF(($G111="加入"),VLOOKUP($I111,年金DB!$G$16:$P$65,6,TRUE),0),0)-0.1,0)</f>
        <v>0</v>
      </c>
      <c r="AA111" s="178">
        <f>ROUND(IFERROR(IF(AND($G111="加入",$D111&gt;=40,$D111&lt;=64),VLOOKUP($I111,年金DB!$G$16:$P$65,10,TRUE),0),0)-0.1,0)</f>
        <v>0</v>
      </c>
      <c r="AB111" s="178">
        <f>ROUND(IFERROR(IF(AND($G111="加入",$D111&lt;40),VLOOKUP($J111,年金DB!$G$16:$X$62,14,TRUE),IF(AND($G111="加入",$D111&gt;=40),VLOOKUP($J111,年金DB!$G$16:$X$62,14,TRUE),"0")),0)-0.1,0)</f>
        <v>0</v>
      </c>
      <c r="AC111" s="178">
        <f t="shared" si="10"/>
        <v>0</v>
      </c>
      <c r="AD111" s="21">
        <f t="shared" si="11"/>
        <v>0</v>
      </c>
      <c r="AE111" s="173">
        <f t="shared" si="12"/>
        <v>0</v>
      </c>
      <c r="AF111" s="14" t="str">
        <f t="shared" si="13"/>
        <v/>
      </c>
      <c r="AG111" s="14"/>
      <c r="AH111" s="14"/>
    </row>
    <row r="112" spans="1:34">
      <c r="A112" s="28"/>
      <c r="B112" s="180"/>
      <c r="C112" s="188"/>
      <c r="D112" s="161"/>
      <c r="E112" s="162"/>
      <c r="F112" s="162"/>
      <c r="G112" s="163"/>
      <c r="H112" s="285"/>
      <c r="I112" s="282"/>
      <c r="J112" s="16"/>
      <c r="K112" s="18">
        <f t="shared" si="7"/>
        <v>0</v>
      </c>
      <c r="L112" s="288">
        <v>0</v>
      </c>
      <c r="M112" s="291"/>
      <c r="N112" s="164"/>
      <c r="O112" s="164"/>
      <c r="P112" s="164"/>
      <c r="Q112" s="175">
        <f t="shared" si="8"/>
        <v>0</v>
      </c>
      <c r="R112" s="164"/>
      <c r="S112" s="197">
        <f t="shared" si="9"/>
        <v>0</v>
      </c>
      <c r="T112" s="201" t="str" cm="1">
        <f t="array" ref="T112">IFERROR(IF(F112="甲",IF(K112&gt;3500000,VLOOKUP(3500000,源泉DB!$B$261:$L$261,L112+3)+ROUNDDOWN((K112-3500000)*45.945%,0),IF(AND(K112&gt;2250000,K112&lt;3500000),VLOOKUP(2250000,源泉DB!$B$260:$K$260,L112+3)+ROUNDDOWN((K112-2250000)*40.84%,0),IF(AND(K112&gt;2210000,K112&lt;2250000),VLOOKUP(2210000,源泉DB!$B$259:$K$259,L112+3)+ROUNDDOWN((K112-2210000)*40.84%,0),IF(AND(K112&gt;2170000,K112&lt;2210000),VLOOKUP(2170000,源泉DB!$B$258:$K$258,L112+3)+ROUNDDOWN((K112-2170000)*40.84%,0),IF(AND(K112&gt;1700000,K112&lt;2170000),VLOOKUP(1700000,源泉DB!$B$257:$K$257,L112+3)+ROUNDDOWN((K112-1700000)*40.84%,0),IF(AND(K112&gt;950000,K112&lt;1700000),VLOOKUP(950000,源泉DB!$B$256:$K$256,L112+3)+ROUNDDOWN((K112-950000)*33.693%,0),IF(AND(K112&gt;780000,K112&lt;950000),VLOOKUP(780000,源泉DB!$B$255:$K$255,L112+3)+ROUNDDOWN((K112-780000)*23.483%,0),IF(AND(K112&gt;740000,K112&lt;780000),VLOOKUP(740000,源泉DB!$B$254:$K$254,L112+3)+ROUNDDOWN((K112-740000)*20.42%,0),VLOOKUP(K112,源泉DB!$B$8:$K$299,L112+3))))))))),IF(F112="乙",IF(K112&gt;1700000,651900+(K112-1700000) *45.945%,IF(K112=1700000,651900,IF(AND(K112&gt;740000,K112&lt;1700000),259800+(K112-740000)*40.84%,IF(K112=740000,259800,IF(K112&lt;88000,ROUNDDOWN(K112*3.063%,9),VLOOKUP(K112,源泉DB!$B$8:$L$254,11)))))),"")),"")</f>
        <v/>
      </c>
      <c r="U112" s="165"/>
      <c r="V112" s="166"/>
      <c r="W112" s="166"/>
      <c r="X112" s="166"/>
      <c r="Y112" s="166"/>
      <c r="Z112" s="178">
        <f>ROUND(IFERROR(IF(($G112="加入"),VLOOKUP($I112,年金DB!$G$16:$P$65,6,TRUE),0),0)-0.1,0)</f>
        <v>0</v>
      </c>
      <c r="AA112" s="178">
        <f>ROUND(IFERROR(IF(AND($G112="加入",$D112&gt;=40,$D112&lt;=64),VLOOKUP($I112,年金DB!$G$16:$P$65,10,TRUE),0),0)-0.1,0)</f>
        <v>0</v>
      </c>
      <c r="AB112" s="178">
        <f>ROUND(IFERROR(IF(AND($G112="加入",$D112&lt;40),VLOOKUP($J112,年金DB!$G$16:$X$62,14,TRUE),IF(AND($G112="加入",$D112&gt;=40),VLOOKUP($J112,年金DB!$G$16:$X$62,14,TRUE),"0")),0)-0.1,0)</f>
        <v>0</v>
      </c>
      <c r="AC112" s="178">
        <f t="shared" si="10"/>
        <v>0</v>
      </c>
      <c r="AD112" s="21">
        <f t="shared" si="11"/>
        <v>0</v>
      </c>
      <c r="AE112" s="173">
        <f t="shared" si="12"/>
        <v>0</v>
      </c>
      <c r="AF112" s="14" t="str">
        <f t="shared" si="13"/>
        <v/>
      </c>
      <c r="AG112" s="14"/>
      <c r="AH112" s="14"/>
    </row>
    <row r="113" spans="1:34">
      <c r="A113" s="28"/>
      <c r="B113" s="180"/>
      <c r="C113" s="188"/>
      <c r="D113" s="161"/>
      <c r="E113" s="162"/>
      <c r="F113" s="162"/>
      <c r="G113" s="163"/>
      <c r="H113" s="285"/>
      <c r="I113" s="282"/>
      <c r="J113" s="16"/>
      <c r="K113" s="18">
        <f t="shared" si="7"/>
        <v>0</v>
      </c>
      <c r="L113" s="288">
        <v>0</v>
      </c>
      <c r="M113" s="291"/>
      <c r="N113" s="164"/>
      <c r="O113" s="164"/>
      <c r="P113" s="164"/>
      <c r="Q113" s="175">
        <f t="shared" si="8"/>
        <v>0</v>
      </c>
      <c r="R113" s="164"/>
      <c r="S113" s="197">
        <f t="shared" si="9"/>
        <v>0</v>
      </c>
      <c r="T113" s="201" t="str" cm="1">
        <f t="array" ref="T113">IFERROR(IF(F113="甲",IF(K113&gt;3500000,VLOOKUP(3500000,源泉DB!$B$261:$L$261,L113+3)+ROUNDDOWN((K113-3500000)*45.945%,0),IF(AND(K113&gt;2250000,K113&lt;3500000),VLOOKUP(2250000,源泉DB!$B$260:$K$260,L113+3)+ROUNDDOWN((K113-2250000)*40.84%,0),IF(AND(K113&gt;2210000,K113&lt;2250000),VLOOKUP(2210000,源泉DB!$B$259:$K$259,L113+3)+ROUNDDOWN((K113-2210000)*40.84%,0),IF(AND(K113&gt;2170000,K113&lt;2210000),VLOOKUP(2170000,源泉DB!$B$258:$K$258,L113+3)+ROUNDDOWN((K113-2170000)*40.84%,0),IF(AND(K113&gt;1700000,K113&lt;2170000),VLOOKUP(1700000,源泉DB!$B$257:$K$257,L113+3)+ROUNDDOWN((K113-1700000)*40.84%,0),IF(AND(K113&gt;950000,K113&lt;1700000),VLOOKUP(950000,源泉DB!$B$256:$K$256,L113+3)+ROUNDDOWN((K113-950000)*33.693%,0),IF(AND(K113&gt;780000,K113&lt;950000),VLOOKUP(780000,源泉DB!$B$255:$K$255,L113+3)+ROUNDDOWN((K113-780000)*23.483%,0),IF(AND(K113&gt;740000,K113&lt;780000),VLOOKUP(740000,源泉DB!$B$254:$K$254,L113+3)+ROUNDDOWN((K113-740000)*20.42%,0),VLOOKUP(K113,源泉DB!$B$8:$K$299,L113+3))))))))),IF(F113="乙",IF(K113&gt;1700000,651900+(K113-1700000) *45.945%,IF(K113=1700000,651900,IF(AND(K113&gt;740000,K113&lt;1700000),259800+(K113-740000)*40.84%,IF(K113=740000,259800,IF(K113&lt;88000,ROUNDDOWN(K113*3.063%,9),VLOOKUP(K113,源泉DB!$B$8:$L$254,11)))))),"")),"")</f>
        <v/>
      </c>
      <c r="U113" s="165"/>
      <c r="V113" s="166"/>
      <c r="W113" s="166"/>
      <c r="X113" s="166"/>
      <c r="Y113" s="166"/>
      <c r="Z113" s="178">
        <f>ROUND(IFERROR(IF(($G113="加入"),VLOOKUP($I113,年金DB!$G$16:$P$65,6,TRUE),0),0)-0.1,0)</f>
        <v>0</v>
      </c>
      <c r="AA113" s="178">
        <f>ROUND(IFERROR(IF(AND($G113="加入",$D113&gt;=40,$D113&lt;=64),VLOOKUP($I113,年金DB!$G$16:$P$65,10,TRUE),0),0)-0.1,0)</f>
        <v>0</v>
      </c>
      <c r="AB113" s="178">
        <f>ROUND(IFERROR(IF(AND($G113="加入",$D113&lt;40),VLOOKUP($J113,年金DB!$G$16:$X$62,14,TRUE),IF(AND($G113="加入",$D113&gt;=40),VLOOKUP($J113,年金DB!$G$16:$X$62,14,TRUE),"0")),0)-0.1,0)</f>
        <v>0</v>
      </c>
      <c r="AC113" s="178">
        <f t="shared" si="10"/>
        <v>0</v>
      </c>
      <c r="AD113" s="21">
        <f t="shared" si="11"/>
        <v>0</v>
      </c>
      <c r="AE113" s="173">
        <f t="shared" si="12"/>
        <v>0</v>
      </c>
      <c r="AF113" s="14" t="str">
        <f t="shared" si="13"/>
        <v/>
      </c>
      <c r="AG113" s="14"/>
      <c r="AH113" s="14"/>
    </row>
    <row r="114" spans="1:34">
      <c r="A114" s="28"/>
      <c r="B114" s="180"/>
      <c r="C114" s="188"/>
      <c r="D114" s="161"/>
      <c r="E114" s="162"/>
      <c r="F114" s="162"/>
      <c r="G114" s="163"/>
      <c r="H114" s="285"/>
      <c r="I114" s="282"/>
      <c r="J114" s="16"/>
      <c r="K114" s="18">
        <f t="shared" si="7"/>
        <v>0</v>
      </c>
      <c r="L114" s="288">
        <v>0</v>
      </c>
      <c r="M114" s="291"/>
      <c r="N114" s="164"/>
      <c r="O114" s="164"/>
      <c r="P114" s="164"/>
      <c r="Q114" s="175">
        <f t="shared" si="8"/>
        <v>0</v>
      </c>
      <c r="R114" s="164"/>
      <c r="S114" s="197">
        <f t="shared" si="9"/>
        <v>0</v>
      </c>
      <c r="T114" s="201" t="str" cm="1">
        <f t="array" ref="T114">IFERROR(IF(F114="甲",IF(K114&gt;3500000,VLOOKUP(3500000,源泉DB!$B$261:$L$261,L114+3)+ROUNDDOWN((K114-3500000)*45.945%,0),IF(AND(K114&gt;2250000,K114&lt;3500000),VLOOKUP(2250000,源泉DB!$B$260:$K$260,L114+3)+ROUNDDOWN((K114-2250000)*40.84%,0),IF(AND(K114&gt;2210000,K114&lt;2250000),VLOOKUP(2210000,源泉DB!$B$259:$K$259,L114+3)+ROUNDDOWN((K114-2210000)*40.84%,0),IF(AND(K114&gt;2170000,K114&lt;2210000),VLOOKUP(2170000,源泉DB!$B$258:$K$258,L114+3)+ROUNDDOWN((K114-2170000)*40.84%,0),IF(AND(K114&gt;1700000,K114&lt;2170000),VLOOKUP(1700000,源泉DB!$B$257:$K$257,L114+3)+ROUNDDOWN((K114-1700000)*40.84%,0),IF(AND(K114&gt;950000,K114&lt;1700000),VLOOKUP(950000,源泉DB!$B$256:$K$256,L114+3)+ROUNDDOWN((K114-950000)*33.693%,0),IF(AND(K114&gt;780000,K114&lt;950000),VLOOKUP(780000,源泉DB!$B$255:$K$255,L114+3)+ROUNDDOWN((K114-780000)*23.483%,0),IF(AND(K114&gt;740000,K114&lt;780000),VLOOKUP(740000,源泉DB!$B$254:$K$254,L114+3)+ROUNDDOWN((K114-740000)*20.42%,0),VLOOKUP(K114,源泉DB!$B$8:$K$299,L114+3))))))))),IF(F114="乙",IF(K114&gt;1700000,651900+(K114-1700000) *45.945%,IF(K114=1700000,651900,IF(AND(K114&gt;740000,K114&lt;1700000),259800+(K114-740000)*40.84%,IF(K114=740000,259800,IF(K114&lt;88000,ROUNDDOWN(K114*3.063%,9),VLOOKUP(K114,源泉DB!$B$8:$L$254,11)))))),"")),"")</f>
        <v/>
      </c>
      <c r="U114" s="165"/>
      <c r="V114" s="166"/>
      <c r="W114" s="166"/>
      <c r="X114" s="166"/>
      <c r="Y114" s="166"/>
      <c r="Z114" s="178">
        <f>ROUND(IFERROR(IF(($G114="加入"),VLOOKUP($I114,年金DB!$G$16:$P$65,6,TRUE),0),0)-0.1,0)</f>
        <v>0</v>
      </c>
      <c r="AA114" s="178">
        <f>ROUND(IFERROR(IF(AND($G114="加入",$D114&gt;=40,$D114&lt;=64),VLOOKUP($I114,年金DB!$G$16:$P$65,10,TRUE),0),0)-0.1,0)</f>
        <v>0</v>
      </c>
      <c r="AB114" s="178">
        <f>ROUND(IFERROR(IF(AND($G114="加入",$D114&lt;40),VLOOKUP($J114,年金DB!$G$16:$X$62,14,TRUE),IF(AND($G114="加入",$D114&gt;=40),VLOOKUP($J114,年金DB!$G$16:$X$62,14,TRUE),"0")),0)-0.1,0)</f>
        <v>0</v>
      </c>
      <c r="AC114" s="178">
        <f t="shared" si="10"/>
        <v>0</v>
      </c>
      <c r="AD114" s="21">
        <f t="shared" si="11"/>
        <v>0</v>
      </c>
      <c r="AE114" s="173">
        <f t="shared" si="12"/>
        <v>0</v>
      </c>
      <c r="AF114" s="14" t="str">
        <f t="shared" si="13"/>
        <v/>
      </c>
      <c r="AG114" s="14"/>
      <c r="AH114" s="14"/>
    </row>
    <row r="115" spans="1:34">
      <c r="A115" s="28"/>
      <c r="B115" s="180"/>
      <c r="C115" s="188"/>
      <c r="D115" s="161"/>
      <c r="E115" s="162"/>
      <c r="F115" s="162"/>
      <c r="G115" s="163"/>
      <c r="H115" s="285"/>
      <c r="I115" s="282"/>
      <c r="J115" s="16"/>
      <c r="K115" s="18">
        <f t="shared" si="7"/>
        <v>0</v>
      </c>
      <c r="L115" s="288">
        <v>0</v>
      </c>
      <c r="M115" s="291"/>
      <c r="N115" s="164"/>
      <c r="O115" s="164"/>
      <c r="P115" s="164"/>
      <c r="Q115" s="175">
        <f t="shared" si="8"/>
        <v>0</v>
      </c>
      <c r="R115" s="164"/>
      <c r="S115" s="197">
        <f t="shared" si="9"/>
        <v>0</v>
      </c>
      <c r="T115" s="201" t="str" cm="1">
        <f t="array" ref="T115">IFERROR(IF(F115="甲",IF(K115&gt;3500000,VLOOKUP(3500000,源泉DB!$B$261:$L$261,L115+3)+ROUNDDOWN((K115-3500000)*45.945%,0),IF(AND(K115&gt;2250000,K115&lt;3500000),VLOOKUP(2250000,源泉DB!$B$260:$K$260,L115+3)+ROUNDDOWN((K115-2250000)*40.84%,0),IF(AND(K115&gt;2210000,K115&lt;2250000),VLOOKUP(2210000,源泉DB!$B$259:$K$259,L115+3)+ROUNDDOWN((K115-2210000)*40.84%,0),IF(AND(K115&gt;2170000,K115&lt;2210000),VLOOKUP(2170000,源泉DB!$B$258:$K$258,L115+3)+ROUNDDOWN((K115-2170000)*40.84%,0),IF(AND(K115&gt;1700000,K115&lt;2170000),VLOOKUP(1700000,源泉DB!$B$257:$K$257,L115+3)+ROUNDDOWN((K115-1700000)*40.84%,0),IF(AND(K115&gt;950000,K115&lt;1700000),VLOOKUP(950000,源泉DB!$B$256:$K$256,L115+3)+ROUNDDOWN((K115-950000)*33.693%,0),IF(AND(K115&gt;780000,K115&lt;950000),VLOOKUP(780000,源泉DB!$B$255:$K$255,L115+3)+ROUNDDOWN((K115-780000)*23.483%,0),IF(AND(K115&gt;740000,K115&lt;780000),VLOOKUP(740000,源泉DB!$B$254:$K$254,L115+3)+ROUNDDOWN((K115-740000)*20.42%,0),VLOOKUP(K115,源泉DB!$B$8:$K$299,L115+3))))))))),IF(F115="乙",IF(K115&gt;1700000,651900+(K115-1700000) *45.945%,IF(K115=1700000,651900,IF(AND(K115&gt;740000,K115&lt;1700000),259800+(K115-740000)*40.84%,IF(K115=740000,259800,IF(K115&lt;88000,ROUNDDOWN(K115*3.063%,9),VLOOKUP(K115,源泉DB!$B$8:$L$254,11)))))),"")),"")</f>
        <v/>
      </c>
      <c r="U115" s="165"/>
      <c r="V115" s="166"/>
      <c r="W115" s="166"/>
      <c r="X115" s="166"/>
      <c r="Y115" s="166"/>
      <c r="Z115" s="178">
        <f>ROUND(IFERROR(IF(($G115="加入"),VLOOKUP($I115,年金DB!$G$16:$P$65,6,TRUE),0),0)-0.1,0)</f>
        <v>0</v>
      </c>
      <c r="AA115" s="178">
        <f>ROUND(IFERROR(IF(AND($G115="加入",$D115&gt;=40,$D115&lt;=64),VLOOKUP($I115,年金DB!$G$16:$P$65,10,TRUE),0),0)-0.1,0)</f>
        <v>0</v>
      </c>
      <c r="AB115" s="178">
        <f>ROUND(IFERROR(IF(AND($G115="加入",$D115&lt;40),VLOOKUP($J115,年金DB!$G$16:$X$62,14,TRUE),IF(AND($G115="加入",$D115&gt;=40),VLOOKUP($J115,年金DB!$G$16:$X$62,14,TRUE),"0")),0)-0.1,0)</f>
        <v>0</v>
      </c>
      <c r="AC115" s="178">
        <f t="shared" si="10"/>
        <v>0</v>
      </c>
      <c r="AD115" s="21">
        <f t="shared" si="11"/>
        <v>0</v>
      </c>
      <c r="AE115" s="173">
        <f t="shared" si="12"/>
        <v>0</v>
      </c>
      <c r="AF115" s="14" t="str">
        <f t="shared" si="13"/>
        <v/>
      </c>
      <c r="AG115" s="14"/>
      <c r="AH115" s="14"/>
    </row>
    <row r="116" spans="1:34">
      <c r="A116" s="28"/>
      <c r="B116" s="180"/>
      <c r="C116" s="188"/>
      <c r="D116" s="161"/>
      <c r="E116" s="162"/>
      <c r="F116" s="162"/>
      <c r="G116" s="163"/>
      <c r="H116" s="285"/>
      <c r="I116" s="282"/>
      <c r="J116" s="16"/>
      <c r="K116" s="18">
        <f t="shared" si="7"/>
        <v>0</v>
      </c>
      <c r="L116" s="288">
        <v>0</v>
      </c>
      <c r="M116" s="291"/>
      <c r="N116" s="164"/>
      <c r="O116" s="164"/>
      <c r="P116" s="164"/>
      <c r="Q116" s="175">
        <f t="shared" si="8"/>
        <v>0</v>
      </c>
      <c r="R116" s="164"/>
      <c r="S116" s="197">
        <f t="shared" si="9"/>
        <v>0</v>
      </c>
      <c r="T116" s="201" t="str" cm="1">
        <f t="array" ref="T116">IFERROR(IF(F116="甲",IF(K116&gt;3500000,VLOOKUP(3500000,源泉DB!$B$261:$L$261,L116+3)+ROUNDDOWN((K116-3500000)*45.945%,0),IF(AND(K116&gt;2250000,K116&lt;3500000),VLOOKUP(2250000,源泉DB!$B$260:$K$260,L116+3)+ROUNDDOWN((K116-2250000)*40.84%,0),IF(AND(K116&gt;2210000,K116&lt;2250000),VLOOKUP(2210000,源泉DB!$B$259:$K$259,L116+3)+ROUNDDOWN((K116-2210000)*40.84%,0),IF(AND(K116&gt;2170000,K116&lt;2210000),VLOOKUP(2170000,源泉DB!$B$258:$K$258,L116+3)+ROUNDDOWN((K116-2170000)*40.84%,0),IF(AND(K116&gt;1700000,K116&lt;2170000),VLOOKUP(1700000,源泉DB!$B$257:$K$257,L116+3)+ROUNDDOWN((K116-1700000)*40.84%,0),IF(AND(K116&gt;950000,K116&lt;1700000),VLOOKUP(950000,源泉DB!$B$256:$K$256,L116+3)+ROUNDDOWN((K116-950000)*33.693%,0),IF(AND(K116&gt;780000,K116&lt;950000),VLOOKUP(780000,源泉DB!$B$255:$K$255,L116+3)+ROUNDDOWN((K116-780000)*23.483%,0),IF(AND(K116&gt;740000,K116&lt;780000),VLOOKUP(740000,源泉DB!$B$254:$K$254,L116+3)+ROUNDDOWN((K116-740000)*20.42%,0),VLOOKUP(K116,源泉DB!$B$8:$K$299,L116+3))))))))),IF(F116="乙",IF(K116&gt;1700000,651900+(K116-1700000) *45.945%,IF(K116=1700000,651900,IF(AND(K116&gt;740000,K116&lt;1700000),259800+(K116-740000)*40.84%,IF(K116=740000,259800,IF(K116&lt;88000,ROUNDDOWN(K116*3.063%,9),VLOOKUP(K116,源泉DB!$B$8:$L$254,11)))))),"")),"")</f>
        <v/>
      </c>
      <c r="U116" s="165"/>
      <c r="V116" s="166"/>
      <c r="W116" s="166"/>
      <c r="X116" s="166"/>
      <c r="Y116" s="166"/>
      <c r="Z116" s="178">
        <f>ROUND(IFERROR(IF(($G116="加入"),VLOOKUP($I116,年金DB!$G$16:$P$65,6,TRUE),0),0)-0.1,0)</f>
        <v>0</v>
      </c>
      <c r="AA116" s="178">
        <f>ROUND(IFERROR(IF(AND($G116="加入",$D116&gt;=40,$D116&lt;=64),VLOOKUP($I116,年金DB!$G$16:$P$65,10,TRUE),0),0)-0.1,0)</f>
        <v>0</v>
      </c>
      <c r="AB116" s="178">
        <f>ROUND(IFERROR(IF(AND($G116="加入",$D116&lt;40),VLOOKUP($J116,年金DB!$G$16:$X$62,14,TRUE),IF(AND($G116="加入",$D116&gt;=40),VLOOKUP($J116,年金DB!$G$16:$X$62,14,TRUE),"0")),0)-0.1,0)</f>
        <v>0</v>
      </c>
      <c r="AC116" s="178">
        <f t="shared" si="10"/>
        <v>0</v>
      </c>
      <c r="AD116" s="21">
        <f t="shared" si="11"/>
        <v>0</v>
      </c>
      <c r="AE116" s="173">
        <f t="shared" si="12"/>
        <v>0</v>
      </c>
      <c r="AF116" s="14" t="str">
        <f t="shared" si="13"/>
        <v/>
      </c>
      <c r="AG116" s="14"/>
      <c r="AH116" s="14"/>
    </row>
    <row r="117" spans="1:34">
      <c r="A117" s="28"/>
      <c r="B117" s="180"/>
      <c r="C117" s="188"/>
      <c r="D117" s="161"/>
      <c r="E117" s="162"/>
      <c r="F117" s="162"/>
      <c r="G117" s="163"/>
      <c r="H117" s="285"/>
      <c r="I117" s="282"/>
      <c r="J117" s="16"/>
      <c r="K117" s="18">
        <f t="shared" si="7"/>
        <v>0</v>
      </c>
      <c r="L117" s="288">
        <v>0</v>
      </c>
      <c r="M117" s="291"/>
      <c r="N117" s="164"/>
      <c r="O117" s="164"/>
      <c r="P117" s="164"/>
      <c r="Q117" s="175">
        <f t="shared" si="8"/>
        <v>0</v>
      </c>
      <c r="R117" s="164"/>
      <c r="S117" s="197">
        <f t="shared" si="9"/>
        <v>0</v>
      </c>
      <c r="T117" s="201" t="str" cm="1">
        <f t="array" ref="T117">IFERROR(IF(F117="甲",IF(K117&gt;3500000,VLOOKUP(3500000,源泉DB!$B$261:$L$261,L117+3)+ROUNDDOWN((K117-3500000)*45.945%,0),IF(AND(K117&gt;2250000,K117&lt;3500000),VLOOKUP(2250000,源泉DB!$B$260:$K$260,L117+3)+ROUNDDOWN((K117-2250000)*40.84%,0),IF(AND(K117&gt;2210000,K117&lt;2250000),VLOOKUP(2210000,源泉DB!$B$259:$K$259,L117+3)+ROUNDDOWN((K117-2210000)*40.84%,0),IF(AND(K117&gt;2170000,K117&lt;2210000),VLOOKUP(2170000,源泉DB!$B$258:$K$258,L117+3)+ROUNDDOWN((K117-2170000)*40.84%,0),IF(AND(K117&gt;1700000,K117&lt;2170000),VLOOKUP(1700000,源泉DB!$B$257:$K$257,L117+3)+ROUNDDOWN((K117-1700000)*40.84%,0),IF(AND(K117&gt;950000,K117&lt;1700000),VLOOKUP(950000,源泉DB!$B$256:$K$256,L117+3)+ROUNDDOWN((K117-950000)*33.693%,0),IF(AND(K117&gt;780000,K117&lt;950000),VLOOKUP(780000,源泉DB!$B$255:$K$255,L117+3)+ROUNDDOWN((K117-780000)*23.483%,0),IF(AND(K117&gt;740000,K117&lt;780000),VLOOKUP(740000,源泉DB!$B$254:$K$254,L117+3)+ROUNDDOWN((K117-740000)*20.42%,0),VLOOKUP(K117,源泉DB!$B$8:$K$299,L117+3))))))))),IF(F117="乙",IF(K117&gt;1700000,651900+(K117-1700000) *45.945%,IF(K117=1700000,651900,IF(AND(K117&gt;740000,K117&lt;1700000),259800+(K117-740000)*40.84%,IF(K117=740000,259800,IF(K117&lt;88000,ROUNDDOWN(K117*3.063%,9),VLOOKUP(K117,源泉DB!$B$8:$L$254,11)))))),"")),"")</f>
        <v/>
      </c>
      <c r="U117" s="165"/>
      <c r="V117" s="166"/>
      <c r="W117" s="166"/>
      <c r="X117" s="166"/>
      <c r="Y117" s="166"/>
      <c r="Z117" s="178">
        <f>ROUND(IFERROR(IF(($G117="加入"),VLOOKUP($I117,年金DB!$G$16:$P$65,6,TRUE),0),0)-0.1,0)</f>
        <v>0</v>
      </c>
      <c r="AA117" s="178">
        <f>ROUND(IFERROR(IF(AND($G117="加入",$D117&gt;=40,$D117&lt;=64),VLOOKUP($I117,年金DB!$G$16:$P$65,10,TRUE),0),0)-0.1,0)</f>
        <v>0</v>
      </c>
      <c r="AB117" s="178">
        <f>ROUND(IFERROR(IF(AND($G117="加入",$D117&lt;40),VLOOKUP($J117,年金DB!$G$16:$X$62,14,TRUE),IF(AND($G117="加入",$D117&gt;=40),VLOOKUP($J117,年金DB!$G$16:$X$62,14,TRUE),"0")),0)-0.1,0)</f>
        <v>0</v>
      </c>
      <c r="AC117" s="178">
        <f t="shared" si="10"/>
        <v>0</v>
      </c>
      <c r="AD117" s="21">
        <f t="shared" si="11"/>
        <v>0</v>
      </c>
      <c r="AE117" s="173">
        <f t="shared" si="12"/>
        <v>0</v>
      </c>
      <c r="AF117" s="14" t="str">
        <f t="shared" si="13"/>
        <v/>
      </c>
      <c r="AG117" s="14"/>
      <c r="AH117" s="14"/>
    </row>
    <row r="118" spans="1:34">
      <c r="A118" s="28"/>
      <c r="B118" s="180"/>
      <c r="C118" s="188"/>
      <c r="D118" s="161"/>
      <c r="E118" s="162"/>
      <c r="F118" s="162"/>
      <c r="G118" s="163"/>
      <c r="H118" s="285"/>
      <c r="I118" s="282"/>
      <c r="J118" s="16"/>
      <c r="K118" s="18">
        <f t="shared" si="7"/>
        <v>0</v>
      </c>
      <c r="L118" s="288">
        <v>0</v>
      </c>
      <c r="M118" s="291"/>
      <c r="N118" s="164"/>
      <c r="O118" s="164"/>
      <c r="P118" s="164"/>
      <c r="Q118" s="175">
        <f t="shared" si="8"/>
        <v>0</v>
      </c>
      <c r="R118" s="164"/>
      <c r="S118" s="197">
        <f t="shared" si="9"/>
        <v>0</v>
      </c>
      <c r="T118" s="201" t="str" cm="1">
        <f t="array" ref="T118">IFERROR(IF(F118="甲",IF(K118&gt;3500000,VLOOKUP(3500000,源泉DB!$B$261:$L$261,L118+3)+ROUNDDOWN((K118-3500000)*45.945%,0),IF(AND(K118&gt;2250000,K118&lt;3500000),VLOOKUP(2250000,源泉DB!$B$260:$K$260,L118+3)+ROUNDDOWN((K118-2250000)*40.84%,0),IF(AND(K118&gt;2210000,K118&lt;2250000),VLOOKUP(2210000,源泉DB!$B$259:$K$259,L118+3)+ROUNDDOWN((K118-2210000)*40.84%,0),IF(AND(K118&gt;2170000,K118&lt;2210000),VLOOKUP(2170000,源泉DB!$B$258:$K$258,L118+3)+ROUNDDOWN((K118-2170000)*40.84%,0),IF(AND(K118&gt;1700000,K118&lt;2170000),VLOOKUP(1700000,源泉DB!$B$257:$K$257,L118+3)+ROUNDDOWN((K118-1700000)*40.84%,0),IF(AND(K118&gt;950000,K118&lt;1700000),VLOOKUP(950000,源泉DB!$B$256:$K$256,L118+3)+ROUNDDOWN((K118-950000)*33.693%,0),IF(AND(K118&gt;780000,K118&lt;950000),VLOOKUP(780000,源泉DB!$B$255:$K$255,L118+3)+ROUNDDOWN((K118-780000)*23.483%,0),IF(AND(K118&gt;740000,K118&lt;780000),VLOOKUP(740000,源泉DB!$B$254:$K$254,L118+3)+ROUNDDOWN((K118-740000)*20.42%,0),VLOOKUP(K118,源泉DB!$B$8:$K$299,L118+3))))))))),IF(F118="乙",IF(K118&gt;1700000,651900+(K118-1700000) *45.945%,IF(K118=1700000,651900,IF(AND(K118&gt;740000,K118&lt;1700000),259800+(K118-740000)*40.84%,IF(K118=740000,259800,IF(K118&lt;88000,ROUNDDOWN(K118*3.063%,9),VLOOKUP(K118,源泉DB!$B$8:$L$254,11)))))),"")),"")</f>
        <v/>
      </c>
      <c r="U118" s="165"/>
      <c r="V118" s="166"/>
      <c r="W118" s="166"/>
      <c r="X118" s="166"/>
      <c r="Y118" s="166"/>
      <c r="Z118" s="178">
        <f>ROUND(IFERROR(IF(($G118="加入"),VLOOKUP($I118,年金DB!$G$16:$P$65,6,TRUE),0),0)-0.1,0)</f>
        <v>0</v>
      </c>
      <c r="AA118" s="178">
        <f>ROUND(IFERROR(IF(AND($G118="加入",$D118&gt;=40,$D118&lt;=64),VLOOKUP($I118,年金DB!$G$16:$P$65,10,TRUE),0),0)-0.1,0)</f>
        <v>0</v>
      </c>
      <c r="AB118" s="178">
        <f>ROUND(IFERROR(IF(AND($G118="加入",$D118&lt;40),VLOOKUP($J118,年金DB!$G$16:$X$62,14,TRUE),IF(AND($G118="加入",$D118&gt;=40),VLOOKUP($J118,年金DB!$G$16:$X$62,14,TRUE),"0")),0)-0.1,0)</f>
        <v>0</v>
      </c>
      <c r="AC118" s="178">
        <f t="shared" si="10"/>
        <v>0</v>
      </c>
      <c r="AD118" s="21">
        <f t="shared" si="11"/>
        <v>0</v>
      </c>
      <c r="AE118" s="173">
        <f t="shared" si="12"/>
        <v>0</v>
      </c>
      <c r="AF118" s="14" t="str">
        <f t="shared" si="13"/>
        <v/>
      </c>
      <c r="AG118" s="14"/>
      <c r="AH118" s="14"/>
    </row>
    <row r="119" spans="1:34">
      <c r="A119" s="28"/>
      <c r="B119" s="180"/>
      <c r="C119" s="188"/>
      <c r="D119" s="161"/>
      <c r="E119" s="162"/>
      <c r="F119" s="162"/>
      <c r="G119" s="163"/>
      <c r="H119" s="285"/>
      <c r="I119" s="282"/>
      <c r="J119" s="16"/>
      <c r="K119" s="18">
        <f t="shared" si="7"/>
        <v>0</v>
      </c>
      <c r="L119" s="288">
        <v>0</v>
      </c>
      <c r="M119" s="291"/>
      <c r="N119" s="164"/>
      <c r="O119" s="164"/>
      <c r="P119" s="164"/>
      <c r="Q119" s="175">
        <f t="shared" si="8"/>
        <v>0</v>
      </c>
      <c r="R119" s="164"/>
      <c r="S119" s="197">
        <f t="shared" si="9"/>
        <v>0</v>
      </c>
      <c r="T119" s="201" t="str" cm="1">
        <f t="array" ref="T119">IFERROR(IF(F119="甲",IF(K119&gt;3500000,VLOOKUP(3500000,源泉DB!$B$261:$L$261,L119+3)+ROUNDDOWN((K119-3500000)*45.945%,0),IF(AND(K119&gt;2250000,K119&lt;3500000),VLOOKUP(2250000,源泉DB!$B$260:$K$260,L119+3)+ROUNDDOWN((K119-2250000)*40.84%,0),IF(AND(K119&gt;2210000,K119&lt;2250000),VLOOKUP(2210000,源泉DB!$B$259:$K$259,L119+3)+ROUNDDOWN((K119-2210000)*40.84%,0),IF(AND(K119&gt;2170000,K119&lt;2210000),VLOOKUP(2170000,源泉DB!$B$258:$K$258,L119+3)+ROUNDDOWN((K119-2170000)*40.84%,0),IF(AND(K119&gt;1700000,K119&lt;2170000),VLOOKUP(1700000,源泉DB!$B$257:$K$257,L119+3)+ROUNDDOWN((K119-1700000)*40.84%,0),IF(AND(K119&gt;950000,K119&lt;1700000),VLOOKUP(950000,源泉DB!$B$256:$K$256,L119+3)+ROUNDDOWN((K119-950000)*33.693%,0),IF(AND(K119&gt;780000,K119&lt;950000),VLOOKUP(780000,源泉DB!$B$255:$K$255,L119+3)+ROUNDDOWN((K119-780000)*23.483%,0),IF(AND(K119&gt;740000,K119&lt;780000),VLOOKUP(740000,源泉DB!$B$254:$K$254,L119+3)+ROUNDDOWN((K119-740000)*20.42%,0),VLOOKUP(K119,源泉DB!$B$8:$K$299,L119+3))))))))),IF(F119="乙",IF(K119&gt;1700000,651900+(K119-1700000) *45.945%,IF(K119=1700000,651900,IF(AND(K119&gt;740000,K119&lt;1700000),259800+(K119-740000)*40.84%,IF(K119=740000,259800,IF(K119&lt;88000,ROUNDDOWN(K119*3.063%,9),VLOOKUP(K119,源泉DB!$B$8:$L$254,11)))))),"")),"")</f>
        <v/>
      </c>
      <c r="U119" s="165"/>
      <c r="V119" s="166"/>
      <c r="W119" s="166"/>
      <c r="X119" s="166"/>
      <c r="Y119" s="166"/>
      <c r="Z119" s="178">
        <f>ROUND(IFERROR(IF(($G119="加入"),VLOOKUP($I119,年金DB!$G$16:$P$65,6,TRUE),0),0)-0.1,0)</f>
        <v>0</v>
      </c>
      <c r="AA119" s="178">
        <f>ROUND(IFERROR(IF(AND($G119="加入",$D119&gt;=40,$D119&lt;=64),VLOOKUP($I119,年金DB!$G$16:$P$65,10,TRUE),0),0)-0.1,0)</f>
        <v>0</v>
      </c>
      <c r="AB119" s="178">
        <f>ROUND(IFERROR(IF(AND($G119="加入",$D119&lt;40),VLOOKUP($J119,年金DB!$G$16:$X$62,14,TRUE),IF(AND($G119="加入",$D119&gt;=40),VLOOKUP($J119,年金DB!$G$16:$X$62,14,TRUE),"0")),0)-0.1,0)</f>
        <v>0</v>
      </c>
      <c r="AC119" s="178">
        <f t="shared" si="10"/>
        <v>0</v>
      </c>
      <c r="AD119" s="21">
        <f t="shared" si="11"/>
        <v>0</v>
      </c>
      <c r="AE119" s="173">
        <f t="shared" si="12"/>
        <v>0</v>
      </c>
      <c r="AF119" s="14" t="str">
        <f t="shared" si="13"/>
        <v/>
      </c>
      <c r="AG119" s="14"/>
      <c r="AH119" s="14"/>
    </row>
    <row r="120" spans="1:34">
      <c r="A120" s="28"/>
      <c r="B120" s="180"/>
      <c r="C120" s="188"/>
      <c r="D120" s="161"/>
      <c r="E120" s="162"/>
      <c r="F120" s="162"/>
      <c r="G120" s="163"/>
      <c r="H120" s="285"/>
      <c r="I120" s="282"/>
      <c r="J120" s="16"/>
      <c r="K120" s="18">
        <f t="shared" si="7"/>
        <v>0</v>
      </c>
      <c r="L120" s="288">
        <v>0</v>
      </c>
      <c r="M120" s="291"/>
      <c r="N120" s="164"/>
      <c r="O120" s="164"/>
      <c r="P120" s="164"/>
      <c r="Q120" s="175">
        <f t="shared" si="8"/>
        <v>0</v>
      </c>
      <c r="R120" s="164"/>
      <c r="S120" s="197">
        <f t="shared" si="9"/>
        <v>0</v>
      </c>
      <c r="T120" s="201" t="str" cm="1">
        <f t="array" ref="T120">IFERROR(IF(F120="甲",IF(K120&gt;3500000,VLOOKUP(3500000,源泉DB!$B$261:$L$261,L120+3)+ROUNDDOWN((K120-3500000)*45.945%,0),IF(AND(K120&gt;2250000,K120&lt;3500000),VLOOKUP(2250000,源泉DB!$B$260:$K$260,L120+3)+ROUNDDOWN((K120-2250000)*40.84%,0),IF(AND(K120&gt;2210000,K120&lt;2250000),VLOOKUP(2210000,源泉DB!$B$259:$K$259,L120+3)+ROUNDDOWN((K120-2210000)*40.84%,0),IF(AND(K120&gt;2170000,K120&lt;2210000),VLOOKUP(2170000,源泉DB!$B$258:$K$258,L120+3)+ROUNDDOWN((K120-2170000)*40.84%,0),IF(AND(K120&gt;1700000,K120&lt;2170000),VLOOKUP(1700000,源泉DB!$B$257:$K$257,L120+3)+ROUNDDOWN((K120-1700000)*40.84%,0),IF(AND(K120&gt;950000,K120&lt;1700000),VLOOKUP(950000,源泉DB!$B$256:$K$256,L120+3)+ROUNDDOWN((K120-950000)*33.693%,0),IF(AND(K120&gt;780000,K120&lt;950000),VLOOKUP(780000,源泉DB!$B$255:$K$255,L120+3)+ROUNDDOWN((K120-780000)*23.483%,0),IF(AND(K120&gt;740000,K120&lt;780000),VLOOKUP(740000,源泉DB!$B$254:$K$254,L120+3)+ROUNDDOWN((K120-740000)*20.42%,0),VLOOKUP(K120,源泉DB!$B$8:$K$299,L120+3))))))))),IF(F120="乙",IF(K120&gt;1700000,651900+(K120-1700000) *45.945%,IF(K120=1700000,651900,IF(AND(K120&gt;740000,K120&lt;1700000),259800+(K120-740000)*40.84%,IF(K120=740000,259800,IF(K120&lt;88000,ROUNDDOWN(K120*3.063%,9),VLOOKUP(K120,源泉DB!$B$8:$L$254,11)))))),"")),"")</f>
        <v/>
      </c>
      <c r="U120" s="165"/>
      <c r="V120" s="166"/>
      <c r="W120" s="166"/>
      <c r="X120" s="166"/>
      <c r="Y120" s="166"/>
      <c r="Z120" s="178">
        <f>ROUND(IFERROR(IF(($G120="加入"),VLOOKUP($I120,年金DB!$G$16:$P$65,6,TRUE),0),0)-0.1,0)</f>
        <v>0</v>
      </c>
      <c r="AA120" s="178">
        <f>ROUND(IFERROR(IF(AND($G120="加入",$D120&gt;=40,$D120&lt;=64),VLOOKUP($I120,年金DB!$G$16:$P$65,10,TRUE),0),0)-0.1,0)</f>
        <v>0</v>
      </c>
      <c r="AB120" s="178">
        <f>ROUND(IFERROR(IF(AND($G120="加入",$D120&lt;40),VLOOKUP($J120,年金DB!$G$16:$X$62,14,TRUE),IF(AND($G120="加入",$D120&gt;=40),VLOOKUP($J120,年金DB!$G$16:$X$62,14,TRUE),"0")),0)-0.1,0)</f>
        <v>0</v>
      </c>
      <c r="AC120" s="178">
        <f t="shared" si="10"/>
        <v>0</v>
      </c>
      <c r="AD120" s="21">
        <f t="shared" si="11"/>
        <v>0</v>
      </c>
      <c r="AE120" s="173">
        <f t="shared" si="12"/>
        <v>0</v>
      </c>
      <c r="AF120" s="14" t="str">
        <f t="shared" si="13"/>
        <v/>
      </c>
      <c r="AG120" s="14"/>
      <c r="AH120" s="14"/>
    </row>
    <row r="121" spans="1:34">
      <c r="A121" s="28"/>
      <c r="B121" s="180"/>
      <c r="C121" s="188"/>
      <c r="D121" s="161"/>
      <c r="E121" s="162"/>
      <c r="F121" s="162"/>
      <c r="G121" s="163"/>
      <c r="H121" s="285"/>
      <c r="I121" s="282"/>
      <c r="J121" s="16"/>
      <c r="K121" s="18">
        <f t="shared" si="7"/>
        <v>0</v>
      </c>
      <c r="L121" s="288">
        <v>0</v>
      </c>
      <c r="M121" s="291"/>
      <c r="N121" s="164"/>
      <c r="O121" s="164"/>
      <c r="P121" s="164"/>
      <c r="Q121" s="175">
        <f t="shared" si="8"/>
        <v>0</v>
      </c>
      <c r="R121" s="164"/>
      <c r="S121" s="197">
        <f t="shared" si="9"/>
        <v>0</v>
      </c>
      <c r="T121" s="201" t="str" cm="1">
        <f t="array" ref="T121">IFERROR(IF(F121="甲",IF(K121&gt;3500000,VLOOKUP(3500000,源泉DB!$B$261:$L$261,L121+3)+ROUNDDOWN((K121-3500000)*45.945%,0),IF(AND(K121&gt;2250000,K121&lt;3500000),VLOOKUP(2250000,源泉DB!$B$260:$K$260,L121+3)+ROUNDDOWN((K121-2250000)*40.84%,0),IF(AND(K121&gt;2210000,K121&lt;2250000),VLOOKUP(2210000,源泉DB!$B$259:$K$259,L121+3)+ROUNDDOWN((K121-2210000)*40.84%,0),IF(AND(K121&gt;2170000,K121&lt;2210000),VLOOKUP(2170000,源泉DB!$B$258:$K$258,L121+3)+ROUNDDOWN((K121-2170000)*40.84%,0),IF(AND(K121&gt;1700000,K121&lt;2170000),VLOOKUP(1700000,源泉DB!$B$257:$K$257,L121+3)+ROUNDDOWN((K121-1700000)*40.84%,0),IF(AND(K121&gt;950000,K121&lt;1700000),VLOOKUP(950000,源泉DB!$B$256:$K$256,L121+3)+ROUNDDOWN((K121-950000)*33.693%,0),IF(AND(K121&gt;780000,K121&lt;950000),VLOOKUP(780000,源泉DB!$B$255:$K$255,L121+3)+ROUNDDOWN((K121-780000)*23.483%,0),IF(AND(K121&gt;740000,K121&lt;780000),VLOOKUP(740000,源泉DB!$B$254:$K$254,L121+3)+ROUNDDOWN((K121-740000)*20.42%,0),VLOOKUP(K121,源泉DB!$B$8:$K$299,L121+3))))))))),IF(F121="乙",IF(K121&gt;1700000,651900+(K121-1700000) *45.945%,IF(K121=1700000,651900,IF(AND(K121&gt;740000,K121&lt;1700000),259800+(K121-740000)*40.84%,IF(K121=740000,259800,IF(K121&lt;88000,ROUNDDOWN(K121*3.063%,9),VLOOKUP(K121,源泉DB!$B$8:$L$254,11)))))),"")),"")</f>
        <v/>
      </c>
      <c r="U121" s="165"/>
      <c r="V121" s="166"/>
      <c r="W121" s="166"/>
      <c r="X121" s="166"/>
      <c r="Y121" s="166"/>
      <c r="Z121" s="178">
        <f>ROUND(IFERROR(IF(($G121="加入"),VLOOKUP($I121,年金DB!$G$16:$P$65,6,TRUE),0),0)-0.1,0)</f>
        <v>0</v>
      </c>
      <c r="AA121" s="178">
        <f>ROUND(IFERROR(IF(AND($G121="加入",$D121&gt;=40,$D121&lt;=64),VLOOKUP($I121,年金DB!$G$16:$P$65,10,TRUE),0),0)-0.1,0)</f>
        <v>0</v>
      </c>
      <c r="AB121" s="178">
        <f>ROUND(IFERROR(IF(AND($G121="加入",$D121&lt;40),VLOOKUP($J121,年金DB!$G$16:$X$62,14,TRUE),IF(AND($G121="加入",$D121&gt;=40),VLOOKUP($J121,年金DB!$G$16:$X$62,14,TRUE),"0")),0)-0.1,0)</f>
        <v>0</v>
      </c>
      <c r="AC121" s="178">
        <f t="shared" si="10"/>
        <v>0</v>
      </c>
      <c r="AD121" s="21">
        <f t="shared" si="11"/>
        <v>0</v>
      </c>
      <c r="AE121" s="173">
        <f t="shared" si="12"/>
        <v>0</v>
      </c>
      <c r="AF121" s="14" t="str">
        <f t="shared" si="13"/>
        <v/>
      </c>
      <c r="AG121" s="14"/>
      <c r="AH121" s="14"/>
    </row>
    <row r="122" spans="1:34">
      <c r="A122" s="28"/>
      <c r="B122" s="180"/>
      <c r="C122" s="188"/>
      <c r="D122" s="161"/>
      <c r="E122" s="162"/>
      <c r="F122" s="162"/>
      <c r="G122" s="163"/>
      <c r="H122" s="285"/>
      <c r="I122" s="282"/>
      <c r="J122" s="16"/>
      <c r="K122" s="18">
        <f t="shared" si="7"/>
        <v>0</v>
      </c>
      <c r="L122" s="288">
        <v>0</v>
      </c>
      <c r="M122" s="291"/>
      <c r="N122" s="164"/>
      <c r="O122" s="164"/>
      <c r="P122" s="164"/>
      <c r="Q122" s="175">
        <f t="shared" si="8"/>
        <v>0</v>
      </c>
      <c r="R122" s="164"/>
      <c r="S122" s="197">
        <f t="shared" si="9"/>
        <v>0</v>
      </c>
      <c r="T122" s="201" t="str" cm="1">
        <f t="array" ref="T122">IFERROR(IF(F122="甲",IF(K122&gt;3500000,VLOOKUP(3500000,源泉DB!$B$261:$L$261,L122+3)+ROUNDDOWN((K122-3500000)*45.945%,0),IF(AND(K122&gt;2250000,K122&lt;3500000),VLOOKUP(2250000,源泉DB!$B$260:$K$260,L122+3)+ROUNDDOWN((K122-2250000)*40.84%,0),IF(AND(K122&gt;2210000,K122&lt;2250000),VLOOKUP(2210000,源泉DB!$B$259:$K$259,L122+3)+ROUNDDOWN((K122-2210000)*40.84%,0),IF(AND(K122&gt;2170000,K122&lt;2210000),VLOOKUP(2170000,源泉DB!$B$258:$K$258,L122+3)+ROUNDDOWN((K122-2170000)*40.84%,0),IF(AND(K122&gt;1700000,K122&lt;2170000),VLOOKUP(1700000,源泉DB!$B$257:$K$257,L122+3)+ROUNDDOWN((K122-1700000)*40.84%,0),IF(AND(K122&gt;950000,K122&lt;1700000),VLOOKUP(950000,源泉DB!$B$256:$K$256,L122+3)+ROUNDDOWN((K122-950000)*33.693%,0),IF(AND(K122&gt;780000,K122&lt;950000),VLOOKUP(780000,源泉DB!$B$255:$K$255,L122+3)+ROUNDDOWN((K122-780000)*23.483%,0),IF(AND(K122&gt;740000,K122&lt;780000),VLOOKUP(740000,源泉DB!$B$254:$K$254,L122+3)+ROUNDDOWN((K122-740000)*20.42%,0),VLOOKUP(K122,源泉DB!$B$8:$K$299,L122+3))))))))),IF(F122="乙",IF(K122&gt;1700000,651900+(K122-1700000) *45.945%,IF(K122=1700000,651900,IF(AND(K122&gt;740000,K122&lt;1700000),259800+(K122-740000)*40.84%,IF(K122=740000,259800,IF(K122&lt;88000,ROUNDDOWN(K122*3.063%,9),VLOOKUP(K122,源泉DB!$B$8:$L$254,11)))))),"")),"")</f>
        <v/>
      </c>
      <c r="U122" s="165"/>
      <c r="V122" s="166"/>
      <c r="W122" s="166"/>
      <c r="X122" s="166"/>
      <c r="Y122" s="166"/>
      <c r="Z122" s="178">
        <f>ROUND(IFERROR(IF(($G122="加入"),VLOOKUP($I122,年金DB!$G$16:$P$65,6,TRUE),0),0)-0.1,0)</f>
        <v>0</v>
      </c>
      <c r="AA122" s="178">
        <f>ROUND(IFERROR(IF(AND($G122="加入",$D122&gt;=40,$D122&lt;=64),VLOOKUP($I122,年金DB!$G$16:$P$65,10,TRUE),0),0)-0.1,0)</f>
        <v>0</v>
      </c>
      <c r="AB122" s="178">
        <f>ROUND(IFERROR(IF(AND($G122="加入",$D122&lt;40),VLOOKUP($J122,年金DB!$G$16:$X$62,14,TRUE),IF(AND($G122="加入",$D122&gt;=40),VLOOKUP($J122,年金DB!$G$16:$X$62,14,TRUE),"0")),0)-0.1,0)</f>
        <v>0</v>
      </c>
      <c r="AC122" s="178">
        <f t="shared" si="10"/>
        <v>0</v>
      </c>
      <c r="AD122" s="21">
        <f t="shared" si="11"/>
        <v>0</v>
      </c>
      <c r="AE122" s="173">
        <f t="shared" si="12"/>
        <v>0</v>
      </c>
      <c r="AF122" s="14" t="str">
        <f t="shared" si="13"/>
        <v/>
      </c>
      <c r="AG122" s="14"/>
      <c r="AH122" s="14"/>
    </row>
    <row r="123" spans="1:34">
      <c r="A123" s="28"/>
      <c r="B123" s="180"/>
      <c r="C123" s="188"/>
      <c r="D123" s="161"/>
      <c r="E123" s="162"/>
      <c r="F123" s="162"/>
      <c r="G123" s="163"/>
      <c r="H123" s="285"/>
      <c r="I123" s="282"/>
      <c r="J123" s="16"/>
      <c r="K123" s="18">
        <f t="shared" si="7"/>
        <v>0</v>
      </c>
      <c r="L123" s="288">
        <v>0</v>
      </c>
      <c r="M123" s="291"/>
      <c r="N123" s="164"/>
      <c r="O123" s="164"/>
      <c r="P123" s="164"/>
      <c r="Q123" s="175">
        <f t="shared" si="8"/>
        <v>0</v>
      </c>
      <c r="R123" s="164"/>
      <c r="S123" s="197">
        <f t="shared" si="9"/>
        <v>0</v>
      </c>
      <c r="T123" s="201" t="str" cm="1">
        <f t="array" ref="T123">IFERROR(IF(F123="甲",IF(K123&gt;3500000,VLOOKUP(3500000,源泉DB!$B$261:$L$261,L123+3)+ROUNDDOWN((K123-3500000)*45.945%,0),IF(AND(K123&gt;2250000,K123&lt;3500000),VLOOKUP(2250000,源泉DB!$B$260:$K$260,L123+3)+ROUNDDOWN((K123-2250000)*40.84%,0),IF(AND(K123&gt;2210000,K123&lt;2250000),VLOOKUP(2210000,源泉DB!$B$259:$K$259,L123+3)+ROUNDDOWN((K123-2210000)*40.84%,0),IF(AND(K123&gt;2170000,K123&lt;2210000),VLOOKUP(2170000,源泉DB!$B$258:$K$258,L123+3)+ROUNDDOWN((K123-2170000)*40.84%,0),IF(AND(K123&gt;1700000,K123&lt;2170000),VLOOKUP(1700000,源泉DB!$B$257:$K$257,L123+3)+ROUNDDOWN((K123-1700000)*40.84%,0),IF(AND(K123&gt;950000,K123&lt;1700000),VLOOKUP(950000,源泉DB!$B$256:$K$256,L123+3)+ROUNDDOWN((K123-950000)*33.693%,0),IF(AND(K123&gt;780000,K123&lt;950000),VLOOKUP(780000,源泉DB!$B$255:$K$255,L123+3)+ROUNDDOWN((K123-780000)*23.483%,0),IF(AND(K123&gt;740000,K123&lt;780000),VLOOKUP(740000,源泉DB!$B$254:$K$254,L123+3)+ROUNDDOWN((K123-740000)*20.42%,0),VLOOKUP(K123,源泉DB!$B$8:$K$299,L123+3))))))))),IF(F123="乙",IF(K123&gt;1700000,651900+(K123-1700000) *45.945%,IF(K123=1700000,651900,IF(AND(K123&gt;740000,K123&lt;1700000),259800+(K123-740000)*40.84%,IF(K123=740000,259800,IF(K123&lt;88000,ROUNDDOWN(K123*3.063%,9),VLOOKUP(K123,源泉DB!$B$8:$L$254,11)))))),"")),"")</f>
        <v/>
      </c>
      <c r="U123" s="165"/>
      <c r="V123" s="166"/>
      <c r="W123" s="166"/>
      <c r="X123" s="166"/>
      <c r="Y123" s="166"/>
      <c r="Z123" s="178">
        <f>ROUND(IFERROR(IF(($G123="加入"),VLOOKUP($I123,年金DB!$G$16:$P$65,6,TRUE),0),0)-0.1,0)</f>
        <v>0</v>
      </c>
      <c r="AA123" s="178">
        <f>ROUND(IFERROR(IF(AND($G123="加入",$D123&gt;=40,$D123&lt;=64),VLOOKUP($I123,年金DB!$G$16:$P$65,10,TRUE),0),0)-0.1,0)</f>
        <v>0</v>
      </c>
      <c r="AB123" s="178">
        <f>ROUND(IFERROR(IF(AND($G123="加入",$D123&lt;40),VLOOKUP($J123,年金DB!$G$16:$X$62,14,TRUE),IF(AND($G123="加入",$D123&gt;=40),VLOOKUP($J123,年金DB!$G$16:$X$62,14,TRUE),"0")),0)-0.1,0)</f>
        <v>0</v>
      </c>
      <c r="AC123" s="178">
        <f t="shared" si="10"/>
        <v>0</v>
      </c>
      <c r="AD123" s="21">
        <f t="shared" si="11"/>
        <v>0</v>
      </c>
      <c r="AE123" s="173">
        <f t="shared" si="12"/>
        <v>0</v>
      </c>
      <c r="AF123" s="14" t="str">
        <f t="shared" si="13"/>
        <v/>
      </c>
      <c r="AG123" s="14"/>
      <c r="AH123" s="14"/>
    </row>
    <row r="124" spans="1:34">
      <c r="A124" s="28"/>
      <c r="B124" s="180"/>
      <c r="C124" s="188"/>
      <c r="D124" s="161"/>
      <c r="E124" s="162"/>
      <c r="F124" s="162"/>
      <c r="G124" s="163"/>
      <c r="H124" s="285"/>
      <c r="I124" s="282"/>
      <c r="J124" s="16"/>
      <c r="K124" s="18">
        <f t="shared" si="7"/>
        <v>0</v>
      </c>
      <c r="L124" s="288">
        <v>0</v>
      </c>
      <c r="M124" s="291"/>
      <c r="N124" s="164"/>
      <c r="O124" s="164"/>
      <c r="P124" s="164"/>
      <c r="Q124" s="175">
        <f t="shared" si="8"/>
        <v>0</v>
      </c>
      <c r="R124" s="164"/>
      <c r="S124" s="197">
        <f t="shared" si="9"/>
        <v>0</v>
      </c>
      <c r="T124" s="201" t="str" cm="1">
        <f t="array" ref="T124">IFERROR(IF(F124="甲",IF(K124&gt;3500000,VLOOKUP(3500000,源泉DB!$B$261:$L$261,L124+3)+ROUNDDOWN((K124-3500000)*45.945%,0),IF(AND(K124&gt;2250000,K124&lt;3500000),VLOOKUP(2250000,源泉DB!$B$260:$K$260,L124+3)+ROUNDDOWN((K124-2250000)*40.84%,0),IF(AND(K124&gt;2210000,K124&lt;2250000),VLOOKUP(2210000,源泉DB!$B$259:$K$259,L124+3)+ROUNDDOWN((K124-2210000)*40.84%,0),IF(AND(K124&gt;2170000,K124&lt;2210000),VLOOKUP(2170000,源泉DB!$B$258:$K$258,L124+3)+ROUNDDOWN((K124-2170000)*40.84%,0),IF(AND(K124&gt;1700000,K124&lt;2170000),VLOOKUP(1700000,源泉DB!$B$257:$K$257,L124+3)+ROUNDDOWN((K124-1700000)*40.84%,0),IF(AND(K124&gt;950000,K124&lt;1700000),VLOOKUP(950000,源泉DB!$B$256:$K$256,L124+3)+ROUNDDOWN((K124-950000)*33.693%,0),IF(AND(K124&gt;780000,K124&lt;950000),VLOOKUP(780000,源泉DB!$B$255:$K$255,L124+3)+ROUNDDOWN((K124-780000)*23.483%,0),IF(AND(K124&gt;740000,K124&lt;780000),VLOOKUP(740000,源泉DB!$B$254:$K$254,L124+3)+ROUNDDOWN((K124-740000)*20.42%,0),VLOOKUP(K124,源泉DB!$B$8:$K$299,L124+3))))))))),IF(F124="乙",IF(K124&gt;1700000,651900+(K124-1700000) *45.945%,IF(K124=1700000,651900,IF(AND(K124&gt;740000,K124&lt;1700000),259800+(K124-740000)*40.84%,IF(K124=740000,259800,IF(K124&lt;88000,ROUNDDOWN(K124*3.063%,9),VLOOKUP(K124,源泉DB!$B$8:$L$254,11)))))),"")),"")</f>
        <v/>
      </c>
      <c r="U124" s="165"/>
      <c r="V124" s="166"/>
      <c r="W124" s="166"/>
      <c r="X124" s="166"/>
      <c r="Y124" s="166"/>
      <c r="Z124" s="178">
        <f>ROUND(IFERROR(IF(($G124="加入"),VLOOKUP($I124,年金DB!$G$16:$P$65,6,TRUE),0),0)-0.1,0)</f>
        <v>0</v>
      </c>
      <c r="AA124" s="178">
        <f>ROUND(IFERROR(IF(AND($G124="加入",$D124&gt;=40,$D124&lt;=64),VLOOKUP($I124,年金DB!$G$16:$P$65,10,TRUE),0),0)-0.1,0)</f>
        <v>0</v>
      </c>
      <c r="AB124" s="178">
        <f>ROUND(IFERROR(IF(AND($G124="加入",$D124&lt;40),VLOOKUP($J124,年金DB!$G$16:$X$62,14,TRUE),IF(AND($G124="加入",$D124&gt;=40),VLOOKUP($J124,年金DB!$G$16:$X$62,14,TRUE),"0")),0)-0.1,0)</f>
        <v>0</v>
      </c>
      <c r="AC124" s="178">
        <f t="shared" si="10"/>
        <v>0</v>
      </c>
      <c r="AD124" s="21">
        <f t="shared" si="11"/>
        <v>0</v>
      </c>
      <c r="AE124" s="173">
        <f t="shared" si="12"/>
        <v>0</v>
      </c>
      <c r="AF124" s="14" t="str">
        <f t="shared" si="13"/>
        <v/>
      </c>
      <c r="AG124" s="14"/>
      <c r="AH124" s="14"/>
    </row>
    <row r="125" spans="1:34">
      <c r="A125" s="28"/>
      <c r="B125" s="180"/>
      <c r="C125" s="188"/>
      <c r="D125" s="161"/>
      <c r="E125" s="162"/>
      <c r="F125" s="162"/>
      <c r="G125" s="163"/>
      <c r="H125" s="285"/>
      <c r="I125" s="282"/>
      <c r="J125" s="16"/>
      <c r="K125" s="18">
        <f t="shared" si="7"/>
        <v>0</v>
      </c>
      <c r="L125" s="288">
        <v>0</v>
      </c>
      <c r="M125" s="291"/>
      <c r="N125" s="164"/>
      <c r="O125" s="164"/>
      <c r="P125" s="164"/>
      <c r="Q125" s="175">
        <f t="shared" si="8"/>
        <v>0</v>
      </c>
      <c r="R125" s="164"/>
      <c r="S125" s="197">
        <f t="shared" si="9"/>
        <v>0</v>
      </c>
      <c r="T125" s="201" t="str" cm="1">
        <f t="array" ref="T125">IFERROR(IF(F125="甲",IF(K125&gt;3500000,VLOOKUP(3500000,源泉DB!$B$261:$L$261,L125+3)+ROUNDDOWN((K125-3500000)*45.945%,0),IF(AND(K125&gt;2250000,K125&lt;3500000),VLOOKUP(2250000,源泉DB!$B$260:$K$260,L125+3)+ROUNDDOWN((K125-2250000)*40.84%,0),IF(AND(K125&gt;2210000,K125&lt;2250000),VLOOKUP(2210000,源泉DB!$B$259:$K$259,L125+3)+ROUNDDOWN((K125-2210000)*40.84%,0),IF(AND(K125&gt;2170000,K125&lt;2210000),VLOOKUP(2170000,源泉DB!$B$258:$K$258,L125+3)+ROUNDDOWN((K125-2170000)*40.84%,0),IF(AND(K125&gt;1700000,K125&lt;2170000),VLOOKUP(1700000,源泉DB!$B$257:$K$257,L125+3)+ROUNDDOWN((K125-1700000)*40.84%,0),IF(AND(K125&gt;950000,K125&lt;1700000),VLOOKUP(950000,源泉DB!$B$256:$K$256,L125+3)+ROUNDDOWN((K125-950000)*33.693%,0),IF(AND(K125&gt;780000,K125&lt;950000),VLOOKUP(780000,源泉DB!$B$255:$K$255,L125+3)+ROUNDDOWN((K125-780000)*23.483%,0),IF(AND(K125&gt;740000,K125&lt;780000),VLOOKUP(740000,源泉DB!$B$254:$K$254,L125+3)+ROUNDDOWN((K125-740000)*20.42%,0),VLOOKUP(K125,源泉DB!$B$8:$K$299,L125+3))))))))),IF(F125="乙",IF(K125&gt;1700000,651900+(K125-1700000) *45.945%,IF(K125=1700000,651900,IF(AND(K125&gt;740000,K125&lt;1700000),259800+(K125-740000)*40.84%,IF(K125=740000,259800,IF(K125&lt;88000,ROUNDDOWN(K125*3.063%,9),VLOOKUP(K125,源泉DB!$B$8:$L$254,11)))))),"")),"")</f>
        <v/>
      </c>
      <c r="U125" s="165"/>
      <c r="V125" s="166"/>
      <c r="W125" s="166"/>
      <c r="X125" s="166"/>
      <c r="Y125" s="166"/>
      <c r="Z125" s="178">
        <f>ROUND(IFERROR(IF(($G125="加入"),VLOOKUP($I125,年金DB!$G$16:$P$65,6,TRUE),0),0)-0.1,0)</f>
        <v>0</v>
      </c>
      <c r="AA125" s="178">
        <f>ROUND(IFERROR(IF(AND($G125="加入",$D125&gt;=40,$D125&lt;=64),VLOOKUP($I125,年金DB!$G$16:$P$65,10,TRUE),0),0)-0.1,0)</f>
        <v>0</v>
      </c>
      <c r="AB125" s="178">
        <f>ROUND(IFERROR(IF(AND($G125="加入",$D125&lt;40),VLOOKUP($J125,年金DB!$G$16:$X$62,14,TRUE),IF(AND($G125="加入",$D125&gt;=40),VLOOKUP($J125,年金DB!$G$16:$X$62,14,TRUE),"0")),0)-0.1,0)</f>
        <v>0</v>
      </c>
      <c r="AC125" s="178">
        <f t="shared" si="10"/>
        <v>0</v>
      </c>
      <c r="AD125" s="21">
        <f t="shared" si="11"/>
        <v>0</v>
      </c>
      <c r="AE125" s="173">
        <f t="shared" si="12"/>
        <v>0</v>
      </c>
      <c r="AF125" s="14" t="str">
        <f t="shared" si="13"/>
        <v/>
      </c>
      <c r="AG125" s="14"/>
      <c r="AH125" s="14"/>
    </row>
    <row r="126" spans="1:34">
      <c r="A126" s="28"/>
      <c r="B126" s="180"/>
      <c r="C126" s="188"/>
      <c r="D126" s="161"/>
      <c r="E126" s="162"/>
      <c r="F126" s="162"/>
      <c r="G126" s="163"/>
      <c r="H126" s="285"/>
      <c r="I126" s="282"/>
      <c r="J126" s="16"/>
      <c r="K126" s="18">
        <f t="shared" si="7"/>
        <v>0</v>
      </c>
      <c r="L126" s="288">
        <v>0</v>
      </c>
      <c r="M126" s="291"/>
      <c r="N126" s="164"/>
      <c r="O126" s="164"/>
      <c r="P126" s="164"/>
      <c r="Q126" s="175">
        <f t="shared" si="8"/>
        <v>0</v>
      </c>
      <c r="R126" s="164"/>
      <c r="S126" s="197">
        <f t="shared" si="9"/>
        <v>0</v>
      </c>
      <c r="T126" s="201" t="str" cm="1">
        <f t="array" ref="T126">IFERROR(IF(F126="甲",IF(K126&gt;3500000,VLOOKUP(3500000,源泉DB!$B$261:$L$261,L126+3)+ROUNDDOWN((K126-3500000)*45.945%,0),IF(AND(K126&gt;2250000,K126&lt;3500000),VLOOKUP(2250000,源泉DB!$B$260:$K$260,L126+3)+ROUNDDOWN((K126-2250000)*40.84%,0),IF(AND(K126&gt;2210000,K126&lt;2250000),VLOOKUP(2210000,源泉DB!$B$259:$K$259,L126+3)+ROUNDDOWN((K126-2210000)*40.84%,0),IF(AND(K126&gt;2170000,K126&lt;2210000),VLOOKUP(2170000,源泉DB!$B$258:$K$258,L126+3)+ROUNDDOWN((K126-2170000)*40.84%,0),IF(AND(K126&gt;1700000,K126&lt;2170000),VLOOKUP(1700000,源泉DB!$B$257:$K$257,L126+3)+ROUNDDOWN((K126-1700000)*40.84%,0),IF(AND(K126&gt;950000,K126&lt;1700000),VLOOKUP(950000,源泉DB!$B$256:$K$256,L126+3)+ROUNDDOWN((K126-950000)*33.693%,0),IF(AND(K126&gt;780000,K126&lt;950000),VLOOKUP(780000,源泉DB!$B$255:$K$255,L126+3)+ROUNDDOWN((K126-780000)*23.483%,0),IF(AND(K126&gt;740000,K126&lt;780000),VLOOKUP(740000,源泉DB!$B$254:$K$254,L126+3)+ROUNDDOWN((K126-740000)*20.42%,0),VLOOKUP(K126,源泉DB!$B$8:$K$299,L126+3))))))))),IF(F126="乙",IF(K126&gt;1700000,651900+(K126-1700000) *45.945%,IF(K126=1700000,651900,IF(AND(K126&gt;740000,K126&lt;1700000),259800+(K126-740000)*40.84%,IF(K126=740000,259800,IF(K126&lt;88000,ROUNDDOWN(K126*3.063%,9),VLOOKUP(K126,源泉DB!$B$8:$L$254,11)))))),"")),"")</f>
        <v/>
      </c>
      <c r="U126" s="165"/>
      <c r="V126" s="166"/>
      <c r="W126" s="166"/>
      <c r="X126" s="166"/>
      <c r="Y126" s="166"/>
      <c r="Z126" s="178">
        <f>ROUND(IFERROR(IF(($G126="加入"),VLOOKUP($I126,年金DB!$G$16:$P$65,6,TRUE),0),0)-0.1,0)</f>
        <v>0</v>
      </c>
      <c r="AA126" s="178">
        <f>ROUND(IFERROR(IF(AND($G126="加入",$D126&gt;=40,$D126&lt;=64),VLOOKUP($I126,年金DB!$G$16:$P$65,10,TRUE),0),0)-0.1,0)</f>
        <v>0</v>
      </c>
      <c r="AB126" s="178">
        <f>ROUND(IFERROR(IF(AND($G126="加入",$D126&lt;40),VLOOKUP($J126,年金DB!$G$16:$X$62,14,TRUE),IF(AND($G126="加入",$D126&gt;=40),VLOOKUP($J126,年金DB!$G$16:$X$62,14,TRUE),"0")),0)-0.1,0)</f>
        <v>0</v>
      </c>
      <c r="AC126" s="178">
        <f t="shared" si="10"/>
        <v>0</v>
      </c>
      <c r="AD126" s="21">
        <f t="shared" si="11"/>
        <v>0</v>
      </c>
      <c r="AE126" s="173">
        <f t="shared" si="12"/>
        <v>0</v>
      </c>
      <c r="AF126" s="14" t="str">
        <f t="shared" si="13"/>
        <v/>
      </c>
      <c r="AG126" s="14"/>
      <c r="AH126" s="14"/>
    </row>
    <row r="127" spans="1:34">
      <c r="A127" s="28"/>
      <c r="B127" s="180"/>
      <c r="C127" s="188"/>
      <c r="D127" s="161"/>
      <c r="E127" s="162"/>
      <c r="F127" s="162"/>
      <c r="G127" s="163"/>
      <c r="H127" s="285"/>
      <c r="I127" s="282"/>
      <c r="J127" s="16"/>
      <c r="K127" s="18">
        <f t="shared" si="7"/>
        <v>0</v>
      </c>
      <c r="L127" s="288">
        <v>0</v>
      </c>
      <c r="M127" s="291"/>
      <c r="N127" s="164"/>
      <c r="O127" s="164"/>
      <c r="P127" s="164"/>
      <c r="Q127" s="175">
        <f t="shared" si="8"/>
        <v>0</v>
      </c>
      <c r="R127" s="164"/>
      <c r="S127" s="197">
        <f t="shared" si="9"/>
        <v>0</v>
      </c>
      <c r="T127" s="201" t="str" cm="1">
        <f t="array" ref="T127">IFERROR(IF(F127="甲",IF(K127&gt;3500000,VLOOKUP(3500000,源泉DB!$B$261:$L$261,L127+3)+ROUNDDOWN((K127-3500000)*45.945%,0),IF(AND(K127&gt;2250000,K127&lt;3500000),VLOOKUP(2250000,源泉DB!$B$260:$K$260,L127+3)+ROUNDDOWN((K127-2250000)*40.84%,0),IF(AND(K127&gt;2210000,K127&lt;2250000),VLOOKUP(2210000,源泉DB!$B$259:$K$259,L127+3)+ROUNDDOWN((K127-2210000)*40.84%,0),IF(AND(K127&gt;2170000,K127&lt;2210000),VLOOKUP(2170000,源泉DB!$B$258:$K$258,L127+3)+ROUNDDOWN((K127-2170000)*40.84%,0),IF(AND(K127&gt;1700000,K127&lt;2170000),VLOOKUP(1700000,源泉DB!$B$257:$K$257,L127+3)+ROUNDDOWN((K127-1700000)*40.84%,0),IF(AND(K127&gt;950000,K127&lt;1700000),VLOOKUP(950000,源泉DB!$B$256:$K$256,L127+3)+ROUNDDOWN((K127-950000)*33.693%,0),IF(AND(K127&gt;780000,K127&lt;950000),VLOOKUP(780000,源泉DB!$B$255:$K$255,L127+3)+ROUNDDOWN((K127-780000)*23.483%,0),IF(AND(K127&gt;740000,K127&lt;780000),VLOOKUP(740000,源泉DB!$B$254:$K$254,L127+3)+ROUNDDOWN((K127-740000)*20.42%,0),VLOOKUP(K127,源泉DB!$B$8:$K$299,L127+3))))))))),IF(F127="乙",IF(K127&gt;1700000,651900+(K127-1700000) *45.945%,IF(K127=1700000,651900,IF(AND(K127&gt;740000,K127&lt;1700000),259800+(K127-740000)*40.84%,IF(K127=740000,259800,IF(K127&lt;88000,ROUNDDOWN(K127*3.063%,9),VLOOKUP(K127,源泉DB!$B$8:$L$254,11)))))),"")),"")</f>
        <v/>
      </c>
      <c r="U127" s="165"/>
      <c r="V127" s="166"/>
      <c r="W127" s="166"/>
      <c r="X127" s="166"/>
      <c r="Y127" s="166"/>
      <c r="Z127" s="178">
        <f>ROUND(IFERROR(IF(($G127="加入"),VLOOKUP($I127,年金DB!$G$16:$P$65,6,TRUE),0),0)-0.1,0)</f>
        <v>0</v>
      </c>
      <c r="AA127" s="178">
        <f>ROUND(IFERROR(IF(AND($G127="加入",$D127&gt;=40,$D127&lt;=64),VLOOKUP($I127,年金DB!$G$16:$P$65,10,TRUE),0),0)-0.1,0)</f>
        <v>0</v>
      </c>
      <c r="AB127" s="178">
        <f>ROUND(IFERROR(IF(AND($G127="加入",$D127&lt;40),VLOOKUP($J127,年金DB!$G$16:$X$62,14,TRUE),IF(AND($G127="加入",$D127&gt;=40),VLOOKUP($J127,年金DB!$G$16:$X$62,14,TRUE),"0")),0)-0.1,0)</f>
        <v>0</v>
      </c>
      <c r="AC127" s="178">
        <f t="shared" si="10"/>
        <v>0</v>
      </c>
      <c r="AD127" s="21">
        <f t="shared" si="11"/>
        <v>0</v>
      </c>
      <c r="AE127" s="173">
        <f t="shared" si="12"/>
        <v>0</v>
      </c>
      <c r="AF127" s="14" t="str">
        <f t="shared" si="13"/>
        <v/>
      </c>
      <c r="AG127" s="14"/>
      <c r="AH127" s="14"/>
    </row>
    <row r="128" spans="1:34">
      <c r="A128" s="28"/>
      <c r="B128" s="180"/>
      <c r="C128" s="188"/>
      <c r="D128" s="161"/>
      <c r="E128" s="162"/>
      <c r="F128" s="162"/>
      <c r="G128" s="163"/>
      <c r="H128" s="285"/>
      <c r="I128" s="282"/>
      <c r="J128" s="16"/>
      <c r="K128" s="18">
        <f t="shared" si="7"/>
        <v>0</v>
      </c>
      <c r="L128" s="288">
        <v>0</v>
      </c>
      <c r="M128" s="291"/>
      <c r="N128" s="164"/>
      <c r="O128" s="164"/>
      <c r="P128" s="164"/>
      <c r="Q128" s="175">
        <f t="shared" si="8"/>
        <v>0</v>
      </c>
      <c r="R128" s="164"/>
      <c r="S128" s="197">
        <f t="shared" si="9"/>
        <v>0</v>
      </c>
      <c r="T128" s="201" t="str" cm="1">
        <f t="array" ref="T128">IFERROR(IF(F128="甲",IF(K128&gt;3500000,VLOOKUP(3500000,源泉DB!$B$261:$L$261,L128+3)+ROUNDDOWN((K128-3500000)*45.945%,0),IF(AND(K128&gt;2250000,K128&lt;3500000),VLOOKUP(2250000,源泉DB!$B$260:$K$260,L128+3)+ROUNDDOWN((K128-2250000)*40.84%,0),IF(AND(K128&gt;2210000,K128&lt;2250000),VLOOKUP(2210000,源泉DB!$B$259:$K$259,L128+3)+ROUNDDOWN((K128-2210000)*40.84%,0),IF(AND(K128&gt;2170000,K128&lt;2210000),VLOOKUP(2170000,源泉DB!$B$258:$K$258,L128+3)+ROUNDDOWN((K128-2170000)*40.84%,0),IF(AND(K128&gt;1700000,K128&lt;2170000),VLOOKUP(1700000,源泉DB!$B$257:$K$257,L128+3)+ROUNDDOWN((K128-1700000)*40.84%,0),IF(AND(K128&gt;950000,K128&lt;1700000),VLOOKUP(950000,源泉DB!$B$256:$K$256,L128+3)+ROUNDDOWN((K128-950000)*33.693%,0),IF(AND(K128&gt;780000,K128&lt;950000),VLOOKUP(780000,源泉DB!$B$255:$K$255,L128+3)+ROUNDDOWN((K128-780000)*23.483%,0),IF(AND(K128&gt;740000,K128&lt;780000),VLOOKUP(740000,源泉DB!$B$254:$K$254,L128+3)+ROUNDDOWN((K128-740000)*20.42%,0),VLOOKUP(K128,源泉DB!$B$8:$K$299,L128+3))))))))),IF(F128="乙",IF(K128&gt;1700000,651900+(K128-1700000) *45.945%,IF(K128=1700000,651900,IF(AND(K128&gt;740000,K128&lt;1700000),259800+(K128-740000)*40.84%,IF(K128=740000,259800,IF(K128&lt;88000,ROUNDDOWN(K128*3.063%,9),VLOOKUP(K128,源泉DB!$B$8:$L$254,11)))))),"")),"")</f>
        <v/>
      </c>
      <c r="U128" s="165"/>
      <c r="V128" s="166"/>
      <c r="W128" s="166"/>
      <c r="X128" s="166"/>
      <c r="Y128" s="166"/>
      <c r="Z128" s="178">
        <f>ROUND(IFERROR(IF(($G128="加入"),VLOOKUP($I128,年金DB!$G$16:$P$65,6,TRUE),0),0)-0.1,0)</f>
        <v>0</v>
      </c>
      <c r="AA128" s="178">
        <f>ROUND(IFERROR(IF(AND($G128="加入",$D128&gt;=40,$D128&lt;=64),VLOOKUP($I128,年金DB!$G$16:$P$65,10,TRUE),0),0)-0.1,0)</f>
        <v>0</v>
      </c>
      <c r="AB128" s="178">
        <f>ROUND(IFERROR(IF(AND($G128="加入",$D128&lt;40),VLOOKUP($J128,年金DB!$G$16:$X$62,14,TRUE),IF(AND($G128="加入",$D128&gt;=40),VLOOKUP($J128,年金DB!$G$16:$X$62,14,TRUE),"0")),0)-0.1,0)</f>
        <v>0</v>
      </c>
      <c r="AC128" s="178">
        <f t="shared" si="10"/>
        <v>0</v>
      </c>
      <c r="AD128" s="21">
        <f t="shared" si="11"/>
        <v>0</v>
      </c>
      <c r="AE128" s="173">
        <f t="shared" si="12"/>
        <v>0</v>
      </c>
      <c r="AF128" s="14" t="str">
        <f t="shared" si="13"/>
        <v/>
      </c>
      <c r="AG128" s="14"/>
      <c r="AH128" s="14"/>
    </row>
    <row r="129" spans="1:34">
      <c r="A129" s="28"/>
      <c r="B129" s="180"/>
      <c r="C129" s="188"/>
      <c r="D129" s="161"/>
      <c r="E129" s="162"/>
      <c r="F129" s="162"/>
      <c r="G129" s="163"/>
      <c r="H129" s="285"/>
      <c r="I129" s="282"/>
      <c r="J129" s="16"/>
      <c r="K129" s="18">
        <f t="shared" si="7"/>
        <v>0</v>
      </c>
      <c r="L129" s="288">
        <v>0</v>
      </c>
      <c r="M129" s="291"/>
      <c r="N129" s="164"/>
      <c r="O129" s="164"/>
      <c r="P129" s="164"/>
      <c r="Q129" s="175">
        <f t="shared" si="8"/>
        <v>0</v>
      </c>
      <c r="R129" s="164"/>
      <c r="S129" s="197">
        <f t="shared" si="9"/>
        <v>0</v>
      </c>
      <c r="T129" s="201" t="str" cm="1">
        <f t="array" ref="T129">IFERROR(IF(F129="甲",IF(K129&gt;3500000,VLOOKUP(3500000,源泉DB!$B$261:$L$261,L129+3)+ROUNDDOWN((K129-3500000)*45.945%,0),IF(AND(K129&gt;2250000,K129&lt;3500000),VLOOKUP(2250000,源泉DB!$B$260:$K$260,L129+3)+ROUNDDOWN((K129-2250000)*40.84%,0),IF(AND(K129&gt;2210000,K129&lt;2250000),VLOOKUP(2210000,源泉DB!$B$259:$K$259,L129+3)+ROUNDDOWN((K129-2210000)*40.84%,0),IF(AND(K129&gt;2170000,K129&lt;2210000),VLOOKUP(2170000,源泉DB!$B$258:$K$258,L129+3)+ROUNDDOWN((K129-2170000)*40.84%,0),IF(AND(K129&gt;1700000,K129&lt;2170000),VLOOKUP(1700000,源泉DB!$B$257:$K$257,L129+3)+ROUNDDOWN((K129-1700000)*40.84%,0),IF(AND(K129&gt;950000,K129&lt;1700000),VLOOKUP(950000,源泉DB!$B$256:$K$256,L129+3)+ROUNDDOWN((K129-950000)*33.693%,0),IF(AND(K129&gt;780000,K129&lt;950000),VLOOKUP(780000,源泉DB!$B$255:$K$255,L129+3)+ROUNDDOWN((K129-780000)*23.483%,0),IF(AND(K129&gt;740000,K129&lt;780000),VLOOKUP(740000,源泉DB!$B$254:$K$254,L129+3)+ROUNDDOWN((K129-740000)*20.42%,0),VLOOKUP(K129,源泉DB!$B$8:$K$299,L129+3))))))))),IF(F129="乙",IF(K129&gt;1700000,651900+(K129-1700000) *45.945%,IF(K129=1700000,651900,IF(AND(K129&gt;740000,K129&lt;1700000),259800+(K129-740000)*40.84%,IF(K129=740000,259800,IF(K129&lt;88000,ROUNDDOWN(K129*3.063%,9),VLOOKUP(K129,源泉DB!$B$8:$L$254,11)))))),"")),"")</f>
        <v/>
      </c>
      <c r="U129" s="165"/>
      <c r="V129" s="166"/>
      <c r="W129" s="166"/>
      <c r="X129" s="166"/>
      <c r="Y129" s="166"/>
      <c r="Z129" s="178">
        <f>ROUND(IFERROR(IF(($G129="加入"),VLOOKUP($I129,年金DB!$G$16:$P$65,6,TRUE),0),0)-0.1,0)</f>
        <v>0</v>
      </c>
      <c r="AA129" s="178">
        <f>ROUND(IFERROR(IF(AND($G129="加入",$D129&gt;=40,$D129&lt;=64),VLOOKUP($I129,年金DB!$G$16:$P$65,10,TRUE),0),0)-0.1,0)</f>
        <v>0</v>
      </c>
      <c r="AB129" s="178">
        <f>ROUND(IFERROR(IF(AND($G129="加入",$D129&lt;40),VLOOKUP($J129,年金DB!$G$16:$X$62,14,TRUE),IF(AND($G129="加入",$D129&gt;=40),VLOOKUP($J129,年金DB!$G$16:$X$62,14,TRUE),"0")),0)-0.1,0)</f>
        <v>0</v>
      </c>
      <c r="AC129" s="178">
        <f t="shared" si="10"/>
        <v>0</v>
      </c>
      <c r="AD129" s="21">
        <f t="shared" si="11"/>
        <v>0</v>
      </c>
      <c r="AE129" s="173">
        <f t="shared" si="12"/>
        <v>0</v>
      </c>
      <c r="AF129" s="14" t="str">
        <f t="shared" si="13"/>
        <v/>
      </c>
      <c r="AG129" s="14"/>
      <c r="AH129" s="14"/>
    </row>
    <row r="130" spans="1:34">
      <c r="A130" s="28"/>
      <c r="B130" s="180"/>
      <c r="C130" s="188"/>
      <c r="D130" s="161"/>
      <c r="E130" s="162"/>
      <c r="F130" s="162"/>
      <c r="G130" s="163"/>
      <c r="H130" s="285"/>
      <c r="I130" s="282"/>
      <c r="J130" s="16"/>
      <c r="K130" s="18">
        <f t="shared" si="7"/>
        <v>0</v>
      </c>
      <c r="L130" s="288">
        <v>0</v>
      </c>
      <c r="M130" s="291"/>
      <c r="N130" s="164"/>
      <c r="O130" s="164"/>
      <c r="P130" s="164"/>
      <c r="Q130" s="175">
        <f t="shared" si="8"/>
        <v>0</v>
      </c>
      <c r="R130" s="164"/>
      <c r="S130" s="197">
        <f t="shared" si="9"/>
        <v>0</v>
      </c>
      <c r="T130" s="201" t="str" cm="1">
        <f t="array" ref="T130">IFERROR(IF(F130="甲",IF(K130&gt;3500000,VLOOKUP(3500000,源泉DB!$B$261:$L$261,L130+3)+ROUNDDOWN((K130-3500000)*45.945%,0),IF(AND(K130&gt;2250000,K130&lt;3500000),VLOOKUP(2250000,源泉DB!$B$260:$K$260,L130+3)+ROUNDDOWN((K130-2250000)*40.84%,0),IF(AND(K130&gt;2210000,K130&lt;2250000),VLOOKUP(2210000,源泉DB!$B$259:$K$259,L130+3)+ROUNDDOWN((K130-2210000)*40.84%,0),IF(AND(K130&gt;2170000,K130&lt;2210000),VLOOKUP(2170000,源泉DB!$B$258:$K$258,L130+3)+ROUNDDOWN((K130-2170000)*40.84%,0),IF(AND(K130&gt;1700000,K130&lt;2170000),VLOOKUP(1700000,源泉DB!$B$257:$K$257,L130+3)+ROUNDDOWN((K130-1700000)*40.84%,0),IF(AND(K130&gt;950000,K130&lt;1700000),VLOOKUP(950000,源泉DB!$B$256:$K$256,L130+3)+ROUNDDOWN((K130-950000)*33.693%,0),IF(AND(K130&gt;780000,K130&lt;950000),VLOOKUP(780000,源泉DB!$B$255:$K$255,L130+3)+ROUNDDOWN((K130-780000)*23.483%,0),IF(AND(K130&gt;740000,K130&lt;780000),VLOOKUP(740000,源泉DB!$B$254:$K$254,L130+3)+ROUNDDOWN((K130-740000)*20.42%,0),VLOOKUP(K130,源泉DB!$B$8:$K$299,L130+3))))))))),IF(F130="乙",IF(K130&gt;1700000,651900+(K130-1700000) *45.945%,IF(K130=1700000,651900,IF(AND(K130&gt;740000,K130&lt;1700000),259800+(K130-740000)*40.84%,IF(K130=740000,259800,IF(K130&lt;88000,ROUNDDOWN(K130*3.063%,9),VLOOKUP(K130,源泉DB!$B$8:$L$254,11)))))),"")),"")</f>
        <v/>
      </c>
      <c r="U130" s="165"/>
      <c r="V130" s="166"/>
      <c r="W130" s="166"/>
      <c r="X130" s="166"/>
      <c r="Y130" s="166"/>
      <c r="Z130" s="178">
        <f>ROUND(IFERROR(IF(($G130="加入"),VLOOKUP($I130,年金DB!$G$16:$P$65,6,TRUE),0),0)-0.1,0)</f>
        <v>0</v>
      </c>
      <c r="AA130" s="178">
        <f>ROUND(IFERROR(IF(AND($G130="加入",$D130&gt;=40,$D130&lt;=64),VLOOKUP($I130,年金DB!$G$16:$P$65,10,TRUE),0),0)-0.1,0)</f>
        <v>0</v>
      </c>
      <c r="AB130" s="178">
        <f>ROUND(IFERROR(IF(AND($G130="加入",$D130&lt;40),VLOOKUP($J130,年金DB!$G$16:$X$62,14,TRUE),IF(AND($G130="加入",$D130&gt;=40),VLOOKUP($J130,年金DB!$G$16:$X$62,14,TRUE),"0")),0)-0.1,0)</f>
        <v>0</v>
      </c>
      <c r="AC130" s="178">
        <f t="shared" si="10"/>
        <v>0</v>
      </c>
      <c r="AD130" s="21">
        <f t="shared" si="11"/>
        <v>0</v>
      </c>
      <c r="AE130" s="173">
        <f t="shared" si="12"/>
        <v>0</v>
      </c>
      <c r="AF130" s="14" t="str">
        <f t="shared" si="13"/>
        <v/>
      </c>
      <c r="AG130" s="14"/>
      <c r="AH130" s="14"/>
    </row>
    <row r="131" spans="1:34">
      <c r="A131" s="28"/>
      <c r="B131" s="180"/>
      <c r="C131" s="188"/>
      <c r="D131" s="161"/>
      <c r="E131" s="162"/>
      <c r="F131" s="162"/>
      <c r="G131" s="163"/>
      <c r="H131" s="285"/>
      <c r="I131" s="282"/>
      <c r="J131" s="16"/>
      <c r="K131" s="18">
        <f t="shared" si="7"/>
        <v>0</v>
      </c>
      <c r="L131" s="288">
        <v>0</v>
      </c>
      <c r="M131" s="291"/>
      <c r="N131" s="164"/>
      <c r="O131" s="164"/>
      <c r="P131" s="164"/>
      <c r="Q131" s="175">
        <f t="shared" si="8"/>
        <v>0</v>
      </c>
      <c r="R131" s="164"/>
      <c r="S131" s="197">
        <f t="shared" si="9"/>
        <v>0</v>
      </c>
      <c r="T131" s="201" t="str" cm="1">
        <f t="array" ref="T131">IFERROR(IF(F131="甲",IF(K131&gt;3500000,VLOOKUP(3500000,源泉DB!$B$261:$L$261,L131+3)+ROUNDDOWN((K131-3500000)*45.945%,0),IF(AND(K131&gt;2250000,K131&lt;3500000),VLOOKUP(2250000,源泉DB!$B$260:$K$260,L131+3)+ROUNDDOWN((K131-2250000)*40.84%,0),IF(AND(K131&gt;2210000,K131&lt;2250000),VLOOKUP(2210000,源泉DB!$B$259:$K$259,L131+3)+ROUNDDOWN((K131-2210000)*40.84%,0),IF(AND(K131&gt;2170000,K131&lt;2210000),VLOOKUP(2170000,源泉DB!$B$258:$K$258,L131+3)+ROUNDDOWN((K131-2170000)*40.84%,0),IF(AND(K131&gt;1700000,K131&lt;2170000),VLOOKUP(1700000,源泉DB!$B$257:$K$257,L131+3)+ROUNDDOWN((K131-1700000)*40.84%,0),IF(AND(K131&gt;950000,K131&lt;1700000),VLOOKUP(950000,源泉DB!$B$256:$K$256,L131+3)+ROUNDDOWN((K131-950000)*33.693%,0),IF(AND(K131&gt;780000,K131&lt;950000),VLOOKUP(780000,源泉DB!$B$255:$K$255,L131+3)+ROUNDDOWN((K131-780000)*23.483%,0),IF(AND(K131&gt;740000,K131&lt;780000),VLOOKUP(740000,源泉DB!$B$254:$K$254,L131+3)+ROUNDDOWN((K131-740000)*20.42%,0),VLOOKUP(K131,源泉DB!$B$8:$K$299,L131+3))))))))),IF(F131="乙",IF(K131&gt;1700000,651900+(K131-1700000) *45.945%,IF(K131=1700000,651900,IF(AND(K131&gt;740000,K131&lt;1700000),259800+(K131-740000)*40.84%,IF(K131=740000,259800,IF(K131&lt;88000,ROUNDDOWN(K131*3.063%,9),VLOOKUP(K131,源泉DB!$B$8:$L$254,11)))))),"")),"")</f>
        <v/>
      </c>
      <c r="U131" s="165"/>
      <c r="V131" s="166"/>
      <c r="W131" s="166"/>
      <c r="X131" s="166"/>
      <c r="Y131" s="166"/>
      <c r="Z131" s="178">
        <f>ROUND(IFERROR(IF(($G131="加入"),VLOOKUP($I131,年金DB!$G$16:$P$65,6,TRUE),0),0)-0.1,0)</f>
        <v>0</v>
      </c>
      <c r="AA131" s="178">
        <f>ROUND(IFERROR(IF(AND($G131="加入",$D131&gt;=40,$D131&lt;=64),VLOOKUP($I131,年金DB!$G$16:$P$65,10,TRUE),0),0)-0.1,0)</f>
        <v>0</v>
      </c>
      <c r="AB131" s="178">
        <f>ROUND(IFERROR(IF(AND($G131="加入",$D131&lt;40),VLOOKUP($J131,年金DB!$G$16:$X$62,14,TRUE),IF(AND($G131="加入",$D131&gt;=40),VLOOKUP($J131,年金DB!$G$16:$X$62,14,TRUE),"0")),0)-0.1,0)</f>
        <v>0</v>
      </c>
      <c r="AC131" s="178">
        <f t="shared" si="10"/>
        <v>0</v>
      </c>
      <c r="AD131" s="21">
        <f t="shared" si="11"/>
        <v>0</v>
      </c>
      <c r="AE131" s="173">
        <f t="shared" si="12"/>
        <v>0</v>
      </c>
      <c r="AF131" s="14" t="str">
        <f t="shared" si="13"/>
        <v/>
      </c>
      <c r="AG131" s="14"/>
      <c r="AH131" s="14"/>
    </row>
    <row r="132" spans="1:34">
      <c r="A132" s="28"/>
      <c r="B132" s="180"/>
      <c r="C132" s="188"/>
      <c r="D132" s="161"/>
      <c r="E132" s="162"/>
      <c r="F132" s="162"/>
      <c r="G132" s="163"/>
      <c r="H132" s="285"/>
      <c r="I132" s="282"/>
      <c r="J132" s="16"/>
      <c r="K132" s="18">
        <f t="shared" si="7"/>
        <v>0</v>
      </c>
      <c r="L132" s="288">
        <v>0</v>
      </c>
      <c r="M132" s="291"/>
      <c r="N132" s="164"/>
      <c r="O132" s="164"/>
      <c r="P132" s="164"/>
      <c r="Q132" s="175">
        <f t="shared" si="8"/>
        <v>0</v>
      </c>
      <c r="R132" s="164"/>
      <c r="S132" s="197">
        <f t="shared" si="9"/>
        <v>0</v>
      </c>
      <c r="T132" s="201" t="str" cm="1">
        <f t="array" ref="T132">IFERROR(IF(F132="甲",IF(K132&gt;3500000,VLOOKUP(3500000,源泉DB!$B$261:$L$261,L132+3)+ROUNDDOWN((K132-3500000)*45.945%,0),IF(AND(K132&gt;2250000,K132&lt;3500000),VLOOKUP(2250000,源泉DB!$B$260:$K$260,L132+3)+ROUNDDOWN((K132-2250000)*40.84%,0),IF(AND(K132&gt;2210000,K132&lt;2250000),VLOOKUP(2210000,源泉DB!$B$259:$K$259,L132+3)+ROUNDDOWN((K132-2210000)*40.84%,0),IF(AND(K132&gt;2170000,K132&lt;2210000),VLOOKUP(2170000,源泉DB!$B$258:$K$258,L132+3)+ROUNDDOWN((K132-2170000)*40.84%,0),IF(AND(K132&gt;1700000,K132&lt;2170000),VLOOKUP(1700000,源泉DB!$B$257:$K$257,L132+3)+ROUNDDOWN((K132-1700000)*40.84%,0),IF(AND(K132&gt;950000,K132&lt;1700000),VLOOKUP(950000,源泉DB!$B$256:$K$256,L132+3)+ROUNDDOWN((K132-950000)*33.693%,0),IF(AND(K132&gt;780000,K132&lt;950000),VLOOKUP(780000,源泉DB!$B$255:$K$255,L132+3)+ROUNDDOWN((K132-780000)*23.483%,0),IF(AND(K132&gt;740000,K132&lt;780000),VLOOKUP(740000,源泉DB!$B$254:$K$254,L132+3)+ROUNDDOWN((K132-740000)*20.42%,0),VLOOKUP(K132,源泉DB!$B$8:$K$299,L132+3))))))))),IF(F132="乙",IF(K132&gt;1700000,651900+(K132-1700000) *45.945%,IF(K132=1700000,651900,IF(AND(K132&gt;740000,K132&lt;1700000),259800+(K132-740000)*40.84%,IF(K132=740000,259800,IF(K132&lt;88000,ROUNDDOWN(K132*3.063%,9),VLOOKUP(K132,源泉DB!$B$8:$L$254,11)))))),"")),"")</f>
        <v/>
      </c>
      <c r="U132" s="165"/>
      <c r="V132" s="166"/>
      <c r="W132" s="166"/>
      <c r="X132" s="166"/>
      <c r="Y132" s="166"/>
      <c r="Z132" s="178">
        <f>ROUND(IFERROR(IF(($G132="加入"),VLOOKUP($I132,年金DB!$G$16:$P$65,6,TRUE),0),0)-0.1,0)</f>
        <v>0</v>
      </c>
      <c r="AA132" s="178">
        <f>ROUND(IFERROR(IF(AND($G132="加入",$D132&gt;=40,$D132&lt;=64),VLOOKUP($I132,年金DB!$G$16:$P$65,10,TRUE),0),0)-0.1,0)</f>
        <v>0</v>
      </c>
      <c r="AB132" s="178">
        <f>ROUND(IFERROR(IF(AND($G132="加入",$D132&lt;40),VLOOKUP($J132,年金DB!$G$16:$X$62,14,TRUE),IF(AND($G132="加入",$D132&gt;=40),VLOOKUP($J132,年金DB!$G$16:$X$62,14,TRUE),"0")),0)-0.1,0)</f>
        <v>0</v>
      </c>
      <c r="AC132" s="178">
        <f t="shared" si="10"/>
        <v>0</v>
      </c>
      <c r="AD132" s="21">
        <f t="shared" si="11"/>
        <v>0</v>
      </c>
      <c r="AE132" s="173">
        <f t="shared" si="12"/>
        <v>0</v>
      </c>
      <c r="AF132" s="14" t="str">
        <f t="shared" si="13"/>
        <v/>
      </c>
      <c r="AG132" s="14"/>
      <c r="AH132" s="14"/>
    </row>
    <row r="133" spans="1:34">
      <c r="A133" s="28"/>
      <c r="B133" s="180"/>
      <c r="C133" s="188"/>
      <c r="D133" s="161"/>
      <c r="E133" s="162"/>
      <c r="F133" s="162"/>
      <c r="G133" s="163"/>
      <c r="H133" s="285"/>
      <c r="I133" s="282"/>
      <c r="J133" s="16"/>
      <c r="K133" s="18">
        <f t="shared" si="7"/>
        <v>0</v>
      </c>
      <c r="L133" s="288">
        <v>0</v>
      </c>
      <c r="M133" s="291"/>
      <c r="N133" s="164"/>
      <c r="O133" s="164"/>
      <c r="P133" s="164"/>
      <c r="Q133" s="175">
        <f t="shared" si="8"/>
        <v>0</v>
      </c>
      <c r="R133" s="164"/>
      <c r="S133" s="197">
        <f t="shared" si="9"/>
        <v>0</v>
      </c>
      <c r="T133" s="201" t="str" cm="1">
        <f t="array" ref="T133">IFERROR(IF(F133="甲",IF(K133&gt;3500000,VLOOKUP(3500000,源泉DB!$B$261:$L$261,L133+3)+ROUNDDOWN((K133-3500000)*45.945%,0),IF(AND(K133&gt;2250000,K133&lt;3500000),VLOOKUP(2250000,源泉DB!$B$260:$K$260,L133+3)+ROUNDDOWN((K133-2250000)*40.84%,0),IF(AND(K133&gt;2210000,K133&lt;2250000),VLOOKUP(2210000,源泉DB!$B$259:$K$259,L133+3)+ROUNDDOWN((K133-2210000)*40.84%,0),IF(AND(K133&gt;2170000,K133&lt;2210000),VLOOKUP(2170000,源泉DB!$B$258:$K$258,L133+3)+ROUNDDOWN((K133-2170000)*40.84%,0),IF(AND(K133&gt;1700000,K133&lt;2170000),VLOOKUP(1700000,源泉DB!$B$257:$K$257,L133+3)+ROUNDDOWN((K133-1700000)*40.84%,0),IF(AND(K133&gt;950000,K133&lt;1700000),VLOOKUP(950000,源泉DB!$B$256:$K$256,L133+3)+ROUNDDOWN((K133-950000)*33.693%,0),IF(AND(K133&gt;780000,K133&lt;950000),VLOOKUP(780000,源泉DB!$B$255:$K$255,L133+3)+ROUNDDOWN((K133-780000)*23.483%,0),IF(AND(K133&gt;740000,K133&lt;780000),VLOOKUP(740000,源泉DB!$B$254:$K$254,L133+3)+ROUNDDOWN((K133-740000)*20.42%,0),VLOOKUP(K133,源泉DB!$B$8:$K$299,L133+3))))))))),IF(F133="乙",IF(K133&gt;1700000,651900+(K133-1700000) *45.945%,IF(K133=1700000,651900,IF(AND(K133&gt;740000,K133&lt;1700000),259800+(K133-740000)*40.84%,IF(K133=740000,259800,IF(K133&lt;88000,ROUNDDOWN(K133*3.063%,9),VLOOKUP(K133,源泉DB!$B$8:$L$254,11)))))),"")),"")</f>
        <v/>
      </c>
      <c r="U133" s="165"/>
      <c r="V133" s="166"/>
      <c r="W133" s="166"/>
      <c r="X133" s="166"/>
      <c r="Y133" s="166"/>
      <c r="Z133" s="178">
        <f>ROUND(IFERROR(IF(($G133="加入"),VLOOKUP($I133,年金DB!$G$16:$P$65,6,TRUE),0),0)-0.1,0)</f>
        <v>0</v>
      </c>
      <c r="AA133" s="178">
        <f>ROUND(IFERROR(IF(AND($G133="加入",$D133&gt;=40,$D133&lt;=64),VLOOKUP($I133,年金DB!$G$16:$P$65,10,TRUE),0),0)-0.1,0)</f>
        <v>0</v>
      </c>
      <c r="AB133" s="178">
        <f>ROUND(IFERROR(IF(AND($G133="加入",$D133&lt;40),VLOOKUP($J133,年金DB!$G$16:$X$62,14,TRUE),IF(AND($G133="加入",$D133&gt;=40),VLOOKUP($J133,年金DB!$G$16:$X$62,14,TRUE),"0")),0)-0.1,0)</f>
        <v>0</v>
      </c>
      <c r="AC133" s="178">
        <f t="shared" si="10"/>
        <v>0</v>
      </c>
      <c r="AD133" s="21">
        <f t="shared" si="11"/>
        <v>0</v>
      </c>
      <c r="AE133" s="173">
        <f t="shared" si="12"/>
        <v>0</v>
      </c>
      <c r="AF133" s="14" t="str">
        <f t="shared" si="13"/>
        <v/>
      </c>
      <c r="AG133" s="14"/>
      <c r="AH133" s="14"/>
    </row>
    <row r="134" spans="1:34">
      <c r="A134" s="28"/>
      <c r="B134" s="180"/>
      <c r="C134" s="188"/>
      <c r="D134" s="161"/>
      <c r="E134" s="162"/>
      <c r="F134" s="162"/>
      <c r="G134" s="163"/>
      <c r="H134" s="285"/>
      <c r="I134" s="282"/>
      <c r="J134" s="16"/>
      <c r="K134" s="18">
        <f t="shared" si="7"/>
        <v>0</v>
      </c>
      <c r="L134" s="288">
        <v>0</v>
      </c>
      <c r="M134" s="291"/>
      <c r="N134" s="164"/>
      <c r="O134" s="164"/>
      <c r="P134" s="164"/>
      <c r="Q134" s="175">
        <f t="shared" si="8"/>
        <v>0</v>
      </c>
      <c r="R134" s="164"/>
      <c r="S134" s="197">
        <f t="shared" si="9"/>
        <v>0</v>
      </c>
      <c r="T134" s="201" t="str" cm="1">
        <f t="array" ref="T134">IFERROR(IF(F134="甲",IF(K134&gt;3500000,VLOOKUP(3500000,源泉DB!$B$261:$L$261,L134+3)+ROUNDDOWN((K134-3500000)*45.945%,0),IF(AND(K134&gt;2250000,K134&lt;3500000),VLOOKUP(2250000,源泉DB!$B$260:$K$260,L134+3)+ROUNDDOWN((K134-2250000)*40.84%,0),IF(AND(K134&gt;2210000,K134&lt;2250000),VLOOKUP(2210000,源泉DB!$B$259:$K$259,L134+3)+ROUNDDOWN((K134-2210000)*40.84%,0),IF(AND(K134&gt;2170000,K134&lt;2210000),VLOOKUP(2170000,源泉DB!$B$258:$K$258,L134+3)+ROUNDDOWN((K134-2170000)*40.84%,0),IF(AND(K134&gt;1700000,K134&lt;2170000),VLOOKUP(1700000,源泉DB!$B$257:$K$257,L134+3)+ROUNDDOWN((K134-1700000)*40.84%,0),IF(AND(K134&gt;950000,K134&lt;1700000),VLOOKUP(950000,源泉DB!$B$256:$K$256,L134+3)+ROUNDDOWN((K134-950000)*33.693%,0),IF(AND(K134&gt;780000,K134&lt;950000),VLOOKUP(780000,源泉DB!$B$255:$K$255,L134+3)+ROUNDDOWN((K134-780000)*23.483%,0),IF(AND(K134&gt;740000,K134&lt;780000),VLOOKUP(740000,源泉DB!$B$254:$K$254,L134+3)+ROUNDDOWN((K134-740000)*20.42%,0),VLOOKUP(K134,源泉DB!$B$8:$K$299,L134+3))))))))),IF(F134="乙",IF(K134&gt;1700000,651900+(K134-1700000) *45.945%,IF(K134=1700000,651900,IF(AND(K134&gt;740000,K134&lt;1700000),259800+(K134-740000)*40.84%,IF(K134=740000,259800,IF(K134&lt;88000,ROUNDDOWN(K134*3.063%,9),VLOOKUP(K134,源泉DB!$B$8:$L$254,11)))))),"")),"")</f>
        <v/>
      </c>
      <c r="U134" s="165"/>
      <c r="V134" s="166"/>
      <c r="W134" s="166"/>
      <c r="X134" s="166"/>
      <c r="Y134" s="166"/>
      <c r="Z134" s="178">
        <f>ROUND(IFERROR(IF(($G134="加入"),VLOOKUP($I134,年金DB!$G$16:$P$65,6,TRUE),0),0)-0.1,0)</f>
        <v>0</v>
      </c>
      <c r="AA134" s="178">
        <f>ROUND(IFERROR(IF(AND($G134="加入",$D134&gt;=40,$D134&lt;=64),VLOOKUP($I134,年金DB!$G$16:$P$65,10,TRUE),0),0)-0.1,0)</f>
        <v>0</v>
      </c>
      <c r="AB134" s="178">
        <f>ROUND(IFERROR(IF(AND($G134="加入",$D134&lt;40),VLOOKUP($J134,年金DB!$G$16:$X$62,14,TRUE),IF(AND($G134="加入",$D134&gt;=40),VLOOKUP($J134,年金DB!$G$16:$X$62,14,TRUE),"0")),0)-0.1,0)</f>
        <v>0</v>
      </c>
      <c r="AC134" s="178">
        <f t="shared" si="10"/>
        <v>0</v>
      </c>
      <c r="AD134" s="21">
        <f t="shared" si="11"/>
        <v>0</v>
      </c>
      <c r="AE134" s="173">
        <f t="shared" si="12"/>
        <v>0</v>
      </c>
      <c r="AF134" s="14" t="str">
        <f t="shared" si="13"/>
        <v/>
      </c>
      <c r="AG134" s="14"/>
      <c r="AH134" s="14"/>
    </row>
    <row r="135" spans="1:34">
      <c r="A135" s="28"/>
      <c r="B135" s="180"/>
      <c r="C135" s="188"/>
      <c r="D135" s="161"/>
      <c r="E135" s="162"/>
      <c r="F135" s="162"/>
      <c r="G135" s="163"/>
      <c r="H135" s="285"/>
      <c r="I135" s="282"/>
      <c r="J135" s="16"/>
      <c r="K135" s="18">
        <f t="shared" ref="K135:K198" si="14">IF((Q135-Z135-AA135-AB135-AC135)&lt;0,0,Q135-Z135-AA135-AB135-AC135)</f>
        <v>0</v>
      </c>
      <c r="L135" s="288">
        <v>0</v>
      </c>
      <c r="M135" s="291"/>
      <c r="N135" s="164"/>
      <c r="O135" s="164"/>
      <c r="P135" s="164"/>
      <c r="Q135" s="175">
        <f t="shared" ref="Q135:Q198" si="15">SUM(M135:P135)</f>
        <v>0</v>
      </c>
      <c r="R135" s="164"/>
      <c r="S135" s="197">
        <f t="shared" ref="S135:S198" si="16">SUM(Q135:R135)</f>
        <v>0</v>
      </c>
      <c r="T135" s="201" t="str" cm="1">
        <f t="array" ref="T135">IFERROR(IF(F135="甲",IF(K135&gt;3500000,VLOOKUP(3500000,源泉DB!$B$261:$L$261,L135+3)+ROUNDDOWN((K135-3500000)*45.945%,0),IF(AND(K135&gt;2250000,K135&lt;3500000),VLOOKUP(2250000,源泉DB!$B$260:$K$260,L135+3)+ROUNDDOWN((K135-2250000)*40.84%,0),IF(AND(K135&gt;2210000,K135&lt;2250000),VLOOKUP(2210000,源泉DB!$B$259:$K$259,L135+3)+ROUNDDOWN((K135-2210000)*40.84%,0),IF(AND(K135&gt;2170000,K135&lt;2210000),VLOOKUP(2170000,源泉DB!$B$258:$K$258,L135+3)+ROUNDDOWN((K135-2170000)*40.84%,0),IF(AND(K135&gt;1700000,K135&lt;2170000),VLOOKUP(1700000,源泉DB!$B$257:$K$257,L135+3)+ROUNDDOWN((K135-1700000)*40.84%,0),IF(AND(K135&gt;950000,K135&lt;1700000),VLOOKUP(950000,源泉DB!$B$256:$K$256,L135+3)+ROUNDDOWN((K135-950000)*33.693%,0),IF(AND(K135&gt;780000,K135&lt;950000),VLOOKUP(780000,源泉DB!$B$255:$K$255,L135+3)+ROUNDDOWN((K135-780000)*23.483%,0),IF(AND(K135&gt;740000,K135&lt;780000),VLOOKUP(740000,源泉DB!$B$254:$K$254,L135+3)+ROUNDDOWN((K135-740000)*20.42%,0),VLOOKUP(K135,源泉DB!$B$8:$K$299,L135+3))))))))),IF(F135="乙",IF(K135&gt;1700000,651900+(K135-1700000) *45.945%,IF(K135=1700000,651900,IF(AND(K135&gt;740000,K135&lt;1700000),259800+(K135-740000)*40.84%,IF(K135=740000,259800,IF(K135&lt;88000,ROUNDDOWN(K135*3.063%,9),VLOOKUP(K135,源泉DB!$B$8:$L$254,11)))))),"")),"")</f>
        <v/>
      </c>
      <c r="U135" s="165"/>
      <c r="V135" s="166"/>
      <c r="W135" s="166"/>
      <c r="X135" s="166"/>
      <c r="Y135" s="166"/>
      <c r="Z135" s="178">
        <f>ROUND(IFERROR(IF(($G135="加入"),VLOOKUP($I135,年金DB!$G$16:$P$65,6,TRUE),0),0)-0.1,0)</f>
        <v>0</v>
      </c>
      <c r="AA135" s="178">
        <f>ROUND(IFERROR(IF(AND($G135="加入",$D135&gt;=40,$D135&lt;=64),VLOOKUP($I135,年金DB!$G$16:$P$65,10,TRUE),0),0)-0.1,0)</f>
        <v>0</v>
      </c>
      <c r="AB135" s="178">
        <f>ROUND(IFERROR(IF(AND($G135="加入",$D135&lt;40),VLOOKUP($J135,年金DB!$G$16:$X$62,14,TRUE),IF(AND($G135="加入",$D135&gt;=40),VLOOKUP($J135,年金DB!$G$16:$X$62,14,TRUE),"0")),0)-0.1,0)</f>
        <v>0</v>
      </c>
      <c r="AC135" s="178">
        <f t="shared" ref="AC135:AC198" si="17">IF(OR(H135="非加入",H135=""),0,ROUNDUP(IFERROR(IF(H135="加入",(Q135+R135)*3/1000,0),0)-0.5,0))</f>
        <v>0</v>
      </c>
      <c r="AD135" s="21">
        <f t="shared" ref="AD135:AD198" si="18">SUM(T135:AC135)</f>
        <v>0</v>
      </c>
      <c r="AE135" s="173">
        <f t="shared" ref="AE135:AE198" si="19">S135-AD135</f>
        <v>0</v>
      </c>
      <c r="AF135" s="14" t="str">
        <f t="shared" ref="AF135:AF198" si="20">IF(AE135&gt;0,"←同額をお振込みください","")</f>
        <v/>
      </c>
      <c r="AG135" s="14"/>
      <c r="AH135" s="14"/>
    </row>
    <row r="136" spans="1:34">
      <c r="A136" s="28"/>
      <c r="B136" s="180"/>
      <c r="C136" s="188"/>
      <c r="D136" s="161"/>
      <c r="E136" s="162"/>
      <c r="F136" s="162"/>
      <c r="G136" s="163"/>
      <c r="H136" s="285"/>
      <c r="I136" s="282"/>
      <c r="J136" s="16"/>
      <c r="K136" s="18">
        <f t="shared" si="14"/>
        <v>0</v>
      </c>
      <c r="L136" s="288">
        <v>0</v>
      </c>
      <c r="M136" s="291"/>
      <c r="N136" s="164"/>
      <c r="O136" s="164"/>
      <c r="P136" s="164"/>
      <c r="Q136" s="175">
        <f t="shared" si="15"/>
        <v>0</v>
      </c>
      <c r="R136" s="164"/>
      <c r="S136" s="197">
        <f t="shared" si="16"/>
        <v>0</v>
      </c>
      <c r="T136" s="201" t="str" cm="1">
        <f t="array" ref="T136">IFERROR(IF(F136="甲",IF(K136&gt;3500000,VLOOKUP(3500000,源泉DB!$B$261:$L$261,L136+3)+ROUNDDOWN((K136-3500000)*45.945%,0),IF(AND(K136&gt;2250000,K136&lt;3500000),VLOOKUP(2250000,源泉DB!$B$260:$K$260,L136+3)+ROUNDDOWN((K136-2250000)*40.84%,0),IF(AND(K136&gt;2210000,K136&lt;2250000),VLOOKUP(2210000,源泉DB!$B$259:$K$259,L136+3)+ROUNDDOWN((K136-2210000)*40.84%,0),IF(AND(K136&gt;2170000,K136&lt;2210000),VLOOKUP(2170000,源泉DB!$B$258:$K$258,L136+3)+ROUNDDOWN((K136-2170000)*40.84%,0),IF(AND(K136&gt;1700000,K136&lt;2170000),VLOOKUP(1700000,源泉DB!$B$257:$K$257,L136+3)+ROUNDDOWN((K136-1700000)*40.84%,0),IF(AND(K136&gt;950000,K136&lt;1700000),VLOOKUP(950000,源泉DB!$B$256:$K$256,L136+3)+ROUNDDOWN((K136-950000)*33.693%,0),IF(AND(K136&gt;780000,K136&lt;950000),VLOOKUP(780000,源泉DB!$B$255:$K$255,L136+3)+ROUNDDOWN((K136-780000)*23.483%,0),IF(AND(K136&gt;740000,K136&lt;780000),VLOOKUP(740000,源泉DB!$B$254:$K$254,L136+3)+ROUNDDOWN((K136-740000)*20.42%,0),VLOOKUP(K136,源泉DB!$B$8:$K$299,L136+3))))))))),IF(F136="乙",IF(K136&gt;1700000,651900+(K136-1700000) *45.945%,IF(K136=1700000,651900,IF(AND(K136&gt;740000,K136&lt;1700000),259800+(K136-740000)*40.84%,IF(K136=740000,259800,IF(K136&lt;88000,ROUNDDOWN(K136*3.063%,9),VLOOKUP(K136,源泉DB!$B$8:$L$254,11)))))),"")),"")</f>
        <v/>
      </c>
      <c r="U136" s="165"/>
      <c r="V136" s="166"/>
      <c r="W136" s="166"/>
      <c r="X136" s="166"/>
      <c r="Y136" s="166"/>
      <c r="Z136" s="178">
        <f>ROUND(IFERROR(IF(($G136="加入"),VLOOKUP($I136,年金DB!$G$16:$P$65,6,TRUE),0),0)-0.1,0)</f>
        <v>0</v>
      </c>
      <c r="AA136" s="178">
        <f>ROUND(IFERROR(IF(AND($G136="加入",$D136&gt;=40,$D136&lt;=64),VLOOKUP($I136,年金DB!$G$16:$P$65,10,TRUE),0),0)-0.1,0)</f>
        <v>0</v>
      </c>
      <c r="AB136" s="178">
        <f>ROUND(IFERROR(IF(AND($G136="加入",$D136&lt;40),VLOOKUP($J136,年金DB!$G$16:$X$62,14,TRUE),IF(AND($G136="加入",$D136&gt;=40),VLOOKUP($J136,年金DB!$G$16:$X$62,14,TRUE),"0")),0)-0.1,0)</f>
        <v>0</v>
      </c>
      <c r="AC136" s="178">
        <f t="shared" si="17"/>
        <v>0</v>
      </c>
      <c r="AD136" s="21">
        <f t="shared" si="18"/>
        <v>0</v>
      </c>
      <c r="AE136" s="173">
        <f t="shared" si="19"/>
        <v>0</v>
      </c>
      <c r="AF136" s="14" t="str">
        <f t="shared" si="20"/>
        <v/>
      </c>
      <c r="AG136" s="14"/>
      <c r="AH136" s="14"/>
    </row>
    <row r="137" spans="1:34">
      <c r="A137" s="28"/>
      <c r="B137" s="180"/>
      <c r="C137" s="188"/>
      <c r="D137" s="161"/>
      <c r="E137" s="162"/>
      <c r="F137" s="162"/>
      <c r="G137" s="163"/>
      <c r="H137" s="285"/>
      <c r="I137" s="282"/>
      <c r="J137" s="16"/>
      <c r="K137" s="18">
        <f t="shared" si="14"/>
        <v>0</v>
      </c>
      <c r="L137" s="288">
        <v>0</v>
      </c>
      <c r="M137" s="291"/>
      <c r="N137" s="164"/>
      <c r="O137" s="164"/>
      <c r="P137" s="164"/>
      <c r="Q137" s="175">
        <f t="shared" si="15"/>
        <v>0</v>
      </c>
      <c r="R137" s="164"/>
      <c r="S137" s="197">
        <f t="shared" si="16"/>
        <v>0</v>
      </c>
      <c r="T137" s="201" t="str" cm="1">
        <f t="array" ref="T137">IFERROR(IF(F137="甲",IF(K137&gt;3500000,VLOOKUP(3500000,源泉DB!$B$261:$L$261,L137+3)+ROUNDDOWN((K137-3500000)*45.945%,0),IF(AND(K137&gt;2250000,K137&lt;3500000),VLOOKUP(2250000,源泉DB!$B$260:$K$260,L137+3)+ROUNDDOWN((K137-2250000)*40.84%,0),IF(AND(K137&gt;2210000,K137&lt;2250000),VLOOKUP(2210000,源泉DB!$B$259:$K$259,L137+3)+ROUNDDOWN((K137-2210000)*40.84%,0),IF(AND(K137&gt;2170000,K137&lt;2210000),VLOOKUP(2170000,源泉DB!$B$258:$K$258,L137+3)+ROUNDDOWN((K137-2170000)*40.84%,0),IF(AND(K137&gt;1700000,K137&lt;2170000),VLOOKUP(1700000,源泉DB!$B$257:$K$257,L137+3)+ROUNDDOWN((K137-1700000)*40.84%,0),IF(AND(K137&gt;950000,K137&lt;1700000),VLOOKUP(950000,源泉DB!$B$256:$K$256,L137+3)+ROUNDDOWN((K137-950000)*33.693%,0),IF(AND(K137&gt;780000,K137&lt;950000),VLOOKUP(780000,源泉DB!$B$255:$K$255,L137+3)+ROUNDDOWN((K137-780000)*23.483%,0),IF(AND(K137&gt;740000,K137&lt;780000),VLOOKUP(740000,源泉DB!$B$254:$K$254,L137+3)+ROUNDDOWN((K137-740000)*20.42%,0),VLOOKUP(K137,源泉DB!$B$8:$K$299,L137+3))))))))),IF(F137="乙",IF(K137&gt;1700000,651900+(K137-1700000) *45.945%,IF(K137=1700000,651900,IF(AND(K137&gt;740000,K137&lt;1700000),259800+(K137-740000)*40.84%,IF(K137=740000,259800,IF(K137&lt;88000,ROUNDDOWN(K137*3.063%,9),VLOOKUP(K137,源泉DB!$B$8:$L$254,11)))))),"")),"")</f>
        <v/>
      </c>
      <c r="U137" s="165"/>
      <c r="V137" s="166"/>
      <c r="W137" s="166"/>
      <c r="X137" s="166"/>
      <c r="Y137" s="166"/>
      <c r="Z137" s="178">
        <f>ROUND(IFERROR(IF(($G137="加入"),VLOOKUP($I137,年金DB!$G$16:$P$65,6,TRUE),0),0)-0.1,0)</f>
        <v>0</v>
      </c>
      <c r="AA137" s="178">
        <f>ROUND(IFERROR(IF(AND($G137="加入",$D137&gt;=40,$D137&lt;=64),VLOOKUP($I137,年金DB!$G$16:$P$65,10,TRUE),0),0)-0.1,0)</f>
        <v>0</v>
      </c>
      <c r="AB137" s="178">
        <f>ROUND(IFERROR(IF(AND($G137="加入",$D137&lt;40),VLOOKUP($J137,年金DB!$G$16:$X$62,14,TRUE),IF(AND($G137="加入",$D137&gt;=40),VLOOKUP($J137,年金DB!$G$16:$X$62,14,TRUE),"0")),0)-0.1,0)</f>
        <v>0</v>
      </c>
      <c r="AC137" s="178">
        <f t="shared" si="17"/>
        <v>0</v>
      </c>
      <c r="AD137" s="21">
        <f t="shared" si="18"/>
        <v>0</v>
      </c>
      <c r="AE137" s="173">
        <f t="shared" si="19"/>
        <v>0</v>
      </c>
      <c r="AF137" s="14" t="str">
        <f t="shared" si="20"/>
        <v/>
      </c>
      <c r="AG137" s="14"/>
      <c r="AH137" s="14"/>
    </row>
    <row r="138" spans="1:34">
      <c r="A138" s="28"/>
      <c r="B138" s="180"/>
      <c r="C138" s="188"/>
      <c r="D138" s="161"/>
      <c r="E138" s="162"/>
      <c r="F138" s="162"/>
      <c r="G138" s="163"/>
      <c r="H138" s="285"/>
      <c r="I138" s="282"/>
      <c r="J138" s="16"/>
      <c r="K138" s="18">
        <f t="shared" si="14"/>
        <v>0</v>
      </c>
      <c r="L138" s="288">
        <v>0</v>
      </c>
      <c r="M138" s="291"/>
      <c r="N138" s="164"/>
      <c r="O138" s="164"/>
      <c r="P138" s="164"/>
      <c r="Q138" s="175">
        <f t="shared" si="15"/>
        <v>0</v>
      </c>
      <c r="R138" s="164"/>
      <c r="S138" s="197">
        <f t="shared" si="16"/>
        <v>0</v>
      </c>
      <c r="T138" s="201" t="str" cm="1">
        <f t="array" ref="T138">IFERROR(IF(F138="甲",IF(K138&gt;3500000,VLOOKUP(3500000,源泉DB!$B$261:$L$261,L138+3)+ROUNDDOWN((K138-3500000)*45.945%,0),IF(AND(K138&gt;2250000,K138&lt;3500000),VLOOKUP(2250000,源泉DB!$B$260:$K$260,L138+3)+ROUNDDOWN((K138-2250000)*40.84%,0),IF(AND(K138&gt;2210000,K138&lt;2250000),VLOOKUP(2210000,源泉DB!$B$259:$K$259,L138+3)+ROUNDDOWN((K138-2210000)*40.84%,0),IF(AND(K138&gt;2170000,K138&lt;2210000),VLOOKUP(2170000,源泉DB!$B$258:$K$258,L138+3)+ROUNDDOWN((K138-2170000)*40.84%,0),IF(AND(K138&gt;1700000,K138&lt;2170000),VLOOKUP(1700000,源泉DB!$B$257:$K$257,L138+3)+ROUNDDOWN((K138-1700000)*40.84%,0),IF(AND(K138&gt;950000,K138&lt;1700000),VLOOKUP(950000,源泉DB!$B$256:$K$256,L138+3)+ROUNDDOWN((K138-950000)*33.693%,0),IF(AND(K138&gt;780000,K138&lt;950000),VLOOKUP(780000,源泉DB!$B$255:$K$255,L138+3)+ROUNDDOWN((K138-780000)*23.483%,0),IF(AND(K138&gt;740000,K138&lt;780000),VLOOKUP(740000,源泉DB!$B$254:$K$254,L138+3)+ROUNDDOWN((K138-740000)*20.42%,0),VLOOKUP(K138,源泉DB!$B$8:$K$299,L138+3))))))))),IF(F138="乙",IF(K138&gt;1700000,651900+(K138-1700000) *45.945%,IF(K138=1700000,651900,IF(AND(K138&gt;740000,K138&lt;1700000),259800+(K138-740000)*40.84%,IF(K138=740000,259800,IF(K138&lt;88000,ROUNDDOWN(K138*3.063%,9),VLOOKUP(K138,源泉DB!$B$8:$L$254,11)))))),"")),"")</f>
        <v/>
      </c>
      <c r="U138" s="165"/>
      <c r="V138" s="166"/>
      <c r="W138" s="166"/>
      <c r="X138" s="166"/>
      <c r="Y138" s="166"/>
      <c r="Z138" s="178">
        <f>ROUND(IFERROR(IF(($G138="加入"),VLOOKUP($I138,年金DB!$G$16:$P$65,6,TRUE),0),0)-0.1,0)</f>
        <v>0</v>
      </c>
      <c r="AA138" s="178">
        <f>ROUND(IFERROR(IF(AND($G138="加入",$D138&gt;=40,$D138&lt;=64),VLOOKUP($I138,年金DB!$G$16:$P$65,10,TRUE),0),0)-0.1,0)</f>
        <v>0</v>
      </c>
      <c r="AB138" s="178">
        <f>ROUND(IFERROR(IF(AND($G138="加入",$D138&lt;40),VLOOKUP($J138,年金DB!$G$16:$X$62,14,TRUE),IF(AND($G138="加入",$D138&gt;=40),VLOOKUP($J138,年金DB!$G$16:$X$62,14,TRUE),"0")),0)-0.1,0)</f>
        <v>0</v>
      </c>
      <c r="AC138" s="178">
        <f t="shared" si="17"/>
        <v>0</v>
      </c>
      <c r="AD138" s="21">
        <f t="shared" si="18"/>
        <v>0</v>
      </c>
      <c r="AE138" s="173">
        <f t="shared" si="19"/>
        <v>0</v>
      </c>
      <c r="AF138" s="14" t="str">
        <f t="shared" si="20"/>
        <v/>
      </c>
      <c r="AG138" s="14"/>
      <c r="AH138" s="14"/>
    </row>
    <row r="139" spans="1:34">
      <c r="A139" s="28"/>
      <c r="B139" s="180"/>
      <c r="C139" s="188"/>
      <c r="D139" s="161"/>
      <c r="E139" s="162"/>
      <c r="F139" s="162"/>
      <c r="G139" s="163"/>
      <c r="H139" s="285"/>
      <c r="I139" s="282"/>
      <c r="J139" s="16"/>
      <c r="K139" s="18">
        <f t="shared" si="14"/>
        <v>0</v>
      </c>
      <c r="L139" s="288">
        <v>0</v>
      </c>
      <c r="M139" s="291"/>
      <c r="N139" s="164"/>
      <c r="O139" s="164"/>
      <c r="P139" s="164"/>
      <c r="Q139" s="175">
        <f t="shared" si="15"/>
        <v>0</v>
      </c>
      <c r="R139" s="164"/>
      <c r="S139" s="197">
        <f t="shared" si="16"/>
        <v>0</v>
      </c>
      <c r="T139" s="201" t="str" cm="1">
        <f t="array" ref="T139">IFERROR(IF(F139="甲",IF(K139&gt;3500000,VLOOKUP(3500000,源泉DB!$B$261:$L$261,L139+3)+ROUNDDOWN((K139-3500000)*45.945%,0),IF(AND(K139&gt;2250000,K139&lt;3500000),VLOOKUP(2250000,源泉DB!$B$260:$K$260,L139+3)+ROUNDDOWN((K139-2250000)*40.84%,0),IF(AND(K139&gt;2210000,K139&lt;2250000),VLOOKUP(2210000,源泉DB!$B$259:$K$259,L139+3)+ROUNDDOWN((K139-2210000)*40.84%,0),IF(AND(K139&gt;2170000,K139&lt;2210000),VLOOKUP(2170000,源泉DB!$B$258:$K$258,L139+3)+ROUNDDOWN((K139-2170000)*40.84%,0),IF(AND(K139&gt;1700000,K139&lt;2170000),VLOOKUP(1700000,源泉DB!$B$257:$K$257,L139+3)+ROUNDDOWN((K139-1700000)*40.84%,0),IF(AND(K139&gt;950000,K139&lt;1700000),VLOOKUP(950000,源泉DB!$B$256:$K$256,L139+3)+ROUNDDOWN((K139-950000)*33.693%,0),IF(AND(K139&gt;780000,K139&lt;950000),VLOOKUP(780000,源泉DB!$B$255:$K$255,L139+3)+ROUNDDOWN((K139-780000)*23.483%,0),IF(AND(K139&gt;740000,K139&lt;780000),VLOOKUP(740000,源泉DB!$B$254:$K$254,L139+3)+ROUNDDOWN((K139-740000)*20.42%,0),VLOOKUP(K139,源泉DB!$B$8:$K$299,L139+3))))))))),IF(F139="乙",IF(K139&gt;1700000,651900+(K139-1700000) *45.945%,IF(K139=1700000,651900,IF(AND(K139&gt;740000,K139&lt;1700000),259800+(K139-740000)*40.84%,IF(K139=740000,259800,IF(K139&lt;88000,ROUNDDOWN(K139*3.063%,9),VLOOKUP(K139,源泉DB!$B$8:$L$254,11)))))),"")),"")</f>
        <v/>
      </c>
      <c r="U139" s="165"/>
      <c r="V139" s="166"/>
      <c r="W139" s="166"/>
      <c r="X139" s="166"/>
      <c r="Y139" s="166"/>
      <c r="Z139" s="178">
        <f>ROUND(IFERROR(IF(($G139="加入"),VLOOKUP($I139,年金DB!$G$16:$P$65,6,TRUE),0),0)-0.1,0)</f>
        <v>0</v>
      </c>
      <c r="AA139" s="178">
        <f>ROUND(IFERROR(IF(AND($G139="加入",$D139&gt;=40,$D139&lt;=64),VLOOKUP($I139,年金DB!$G$16:$P$65,10,TRUE),0),0)-0.1,0)</f>
        <v>0</v>
      </c>
      <c r="AB139" s="178">
        <f>ROUND(IFERROR(IF(AND($G139="加入",$D139&lt;40),VLOOKUP($J139,年金DB!$G$16:$X$62,14,TRUE),IF(AND($G139="加入",$D139&gt;=40),VLOOKUP($J139,年金DB!$G$16:$X$62,14,TRUE),"0")),0)-0.1,0)</f>
        <v>0</v>
      </c>
      <c r="AC139" s="178">
        <f t="shared" si="17"/>
        <v>0</v>
      </c>
      <c r="AD139" s="21">
        <f t="shared" si="18"/>
        <v>0</v>
      </c>
      <c r="AE139" s="173">
        <f t="shared" si="19"/>
        <v>0</v>
      </c>
      <c r="AF139" s="14" t="str">
        <f t="shared" si="20"/>
        <v/>
      </c>
      <c r="AG139" s="14"/>
      <c r="AH139" s="14"/>
    </row>
    <row r="140" spans="1:34">
      <c r="A140" s="28"/>
      <c r="B140" s="180"/>
      <c r="C140" s="188"/>
      <c r="D140" s="161"/>
      <c r="E140" s="162"/>
      <c r="F140" s="162"/>
      <c r="G140" s="163"/>
      <c r="H140" s="285"/>
      <c r="I140" s="282"/>
      <c r="J140" s="16"/>
      <c r="K140" s="18">
        <f t="shared" si="14"/>
        <v>0</v>
      </c>
      <c r="L140" s="288">
        <v>0</v>
      </c>
      <c r="M140" s="291"/>
      <c r="N140" s="164"/>
      <c r="O140" s="164"/>
      <c r="P140" s="164"/>
      <c r="Q140" s="175">
        <f t="shared" si="15"/>
        <v>0</v>
      </c>
      <c r="R140" s="164"/>
      <c r="S140" s="197">
        <f t="shared" si="16"/>
        <v>0</v>
      </c>
      <c r="T140" s="201" t="str" cm="1">
        <f t="array" ref="T140">IFERROR(IF(F140="甲",IF(K140&gt;3500000,VLOOKUP(3500000,源泉DB!$B$261:$L$261,L140+3)+ROUNDDOWN((K140-3500000)*45.945%,0),IF(AND(K140&gt;2250000,K140&lt;3500000),VLOOKUP(2250000,源泉DB!$B$260:$K$260,L140+3)+ROUNDDOWN((K140-2250000)*40.84%,0),IF(AND(K140&gt;2210000,K140&lt;2250000),VLOOKUP(2210000,源泉DB!$B$259:$K$259,L140+3)+ROUNDDOWN((K140-2210000)*40.84%,0),IF(AND(K140&gt;2170000,K140&lt;2210000),VLOOKUP(2170000,源泉DB!$B$258:$K$258,L140+3)+ROUNDDOWN((K140-2170000)*40.84%,0),IF(AND(K140&gt;1700000,K140&lt;2170000),VLOOKUP(1700000,源泉DB!$B$257:$K$257,L140+3)+ROUNDDOWN((K140-1700000)*40.84%,0),IF(AND(K140&gt;950000,K140&lt;1700000),VLOOKUP(950000,源泉DB!$B$256:$K$256,L140+3)+ROUNDDOWN((K140-950000)*33.693%,0),IF(AND(K140&gt;780000,K140&lt;950000),VLOOKUP(780000,源泉DB!$B$255:$K$255,L140+3)+ROUNDDOWN((K140-780000)*23.483%,0),IF(AND(K140&gt;740000,K140&lt;780000),VLOOKUP(740000,源泉DB!$B$254:$K$254,L140+3)+ROUNDDOWN((K140-740000)*20.42%,0),VLOOKUP(K140,源泉DB!$B$8:$K$299,L140+3))))))))),IF(F140="乙",IF(K140&gt;1700000,651900+(K140-1700000) *45.945%,IF(K140=1700000,651900,IF(AND(K140&gt;740000,K140&lt;1700000),259800+(K140-740000)*40.84%,IF(K140=740000,259800,IF(K140&lt;88000,ROUNDDOWN(K140*3.063%,9),VLOOKUP(K140,源泉DB!$B$8:$L$254,11)))))),"")),"")</f>
        <v/>
      </c>
      <c r="U140" s="165"/>
      <c r="V140" s="166"/>
      <c r="W140" s="166"/>
      <c r="X140" s="166"/>
      <c r="Y140" s="166"/>
      <c r="Z140" s="178">
        <f>ROUND(IFERROR(IF(($G140="加入"),VLOOKUP($I140,年金DB!$G$16:$P$65,6,TRUE),0),0)-0.1,0)</f>
        <v>0</v>
      </c>
      <c r="AA140" s="178">
        <f>ROUND(IFERROR(IF(AND($G140="加入",$D140&gt;=40,$D140&lt;=64),VLOOKUP($I140,年金DB!$G$16:$P$65,10,TRUE),0),0)-0.1,0)</f>
        <v>0</v>
      </c>
      <c r="AB140" s="178">
        <f>ROUND(IFERROR(IF(AND($G140="加入",$D140&lt;40),VLOOKUP($J140,年金DB!$G$16:$X$62,14,TRUE),IF(AND($G140="加入",$D140&gt;=40),VLOOKUP($J140,年金DB!$G$16:$X$62,14,TRUE),"0")),0)-0.1,0)</f>
        <v>0</v>
      </c>
      <c r="AC140" s="178">
        <f t="shared" si="17"/>
        <v>0</v>
      </c>
      <c r="AD140" s="21">
        <f t="shared" si="18"/>
        <v>0</v>
      </c>
      <c r="AE140" s="173">
        <f t="shared" si="19"/>
        <v>0</v>
      </c>
      <c r="AF140" s="14" t="str">
        <f t="shared" si="20"/>
        <v/>
      </c>
      <c r="AG140" s="14"/>
      <c r="AH140" s="14"/>
    </row>
    <row r="141" spans="1:34">
      <c r="A141" s="28"/>
      <c r="B141" s="180"/>
      <c r="C141" s="188"/>
      <c r="D141" s="161"/>
      <c r="E141" s="162"/>
      <c r="F141" s="162"/>
      <c r="G141" s="163"/>
      <c r="H141" s="285"/>
      <c r="I141" s="282"/>
      <c r="J141" s="16"/>
      <c r="K141" s="18">
        <f t="shared" si="14"/>
        <v>0</v>
      </c>
      <c r="L141" s="288">
        <v>0</v>
      </c>
      <c r="M141" s="291"/>
      <c r="N141" s="164"/>
      <c r="O141" s="164"/>
      <c r="P141" s="164"/>
      <c r="Q141" s="175">
        <f t="shared" si="15"/>
        <v>0</v>
      </c>
      <c r="R141" s="164"/>
      <c r="S141" s="197">
        <f t="shared" si="16"/>
        <v>0</v>
      </c>
      <c r="T141" s="201" t="str" cm="1">
        <f t="array" ref="T141">IFERROR(IF(F141="甲",IF(K141&gt;3500000,VLOOKUP(3500000,源泉DB!$B$261:$L$261,L141+3)+ROUNDDOWN((K141-3500000)*45.945%,0),IF(AND(K141&gt;2250000,K141&lt;3500000),VLOOKUP(2250000,源泉DB!$B$260:$K$260,L141+3)+ROUNDDOWN((K141-2250000)*40.84%,0),IF(AND(K141&gt;2210000,K141&lt;2250000),VLOOKUP(2210000,源泉DB!$B$259:$K$259,L141+3)+ROUNDDOWN((K141-2210000)*40.84%,0),IF(AND(K141&gt;2170000,K141&lt;2210000),VLOOKUP(2170000,源泉DB!$B$258:$K$258,L141+3)+ROUNDDOWN((K141-2170000)*40.84%,0),IF(AND(K141&gt;1700000,K141&lt;2170000),VLOOKUP(1700000,源泉DB!$B$257:$K$257,L141+3)+ROUNDDOWN((K141-1700000)*40.84%,0),IF(AND(K141&gt;950000,K141&lt;1700000),VLOOKUP(950000,源泉DB!$B$256:$K$256,L141+3)+ROUNDDOWN((K141-950000)*33.693%,0),IF(AND(K141&gt;780000,K141&lt;950000),VLOOKUP(780000,源泉DB!$B$255:$K$255,L141+3)+ROUNDDOWN((K141-780000)*23.483%,0),IF(AND(K141&gt;740000,K141&lt;780000),VLOOKUP(740000,源泉DB!$B$254:$K$254,L141+3)+ROUNDDOWN((K141-740000)*20.42%,0),VLOOKUP(K141,源泉DB!$B$8:$K$299,L141+3))))))))),IF(F141="乙",IF(K141&gt;1700000,651900+(K141-1700000) *45.945%,IF(K141=1700000,651900,IF(AND(K141&gt;740000,K141&lt;1700000),259800+(K141-740000)*40.84%,IF(K141=740000,259800,IF(K141&lt;88000,ROUNDDOWN(K141*3.063%,9),VLOOKUP(K141,源泉DB!$B$8:$L$254,11)))))),"")),"")</f>
        <v/>
      </c>
      <c r="U141" s="165"/>
      <c r="V141" s="166"/>
      <c r="W141" s="166"/>
      <c r="X141" s="166"/>
      <c r="Y141" s="166"/>
      <c r="Z141" s="178">
        <f>ROUND(IFERROR(IF(($G141="加入"),VLOOKUP($I141,年金DB!$G$16:$P$65,6,TRUE),0),0)-0.1,0)</f>
        <v>0</v>
      </c>
      <c r="AA141" s="178">
        <f>ROUND(IFERROR(IF(AND($G141="加入",$D141&gt;=40,$D141&lt;=64),VLOOKUP($I141,年金DB!$G$16:$P$65,10,TRUE),0),0)-0.1,0)</f>
        <v>0</v>
      </c>
      <c r="AB141" s="178">
        <f>ROUND(IFERROR(IF(AND($G141="加入",$D141&lt;40),VLOOKUP($J141,年金DB!$G$16:$X$62,14,TRUE),IF(AND($G141="加入",$D141&gt;=40),VLOOKUP($J141,年金DB!$G$16:$X$62,14,TRUE),"0")),0)-0.1,0)</f>
        <v>0</v>
      </c>
      <c r="AC141" s="178">
        <f t="shared" si="17"/>
        <v>0</v>
      </c>
      <c r="AD141" s="21">
        <f t="shared" si="18"/>
        <v>0</v>
      </c>
      <c r="AE141" s="173">
        <f t="shared" si="19"/>
        <v>0</v>
      </c>
      <c r="AF141" s="14" t="str">
        <f t="shared" si="20"/>
        <v/>
      </c>
      <c r="AG141" s="14"/>
      <c r="AH141" s="14"/>
    </row>
    <row r="142" spans="1:34">
      <c r="A142" s="28"/>
      <c r="B142" s="180"/>
      <c r="C142" s="188"/>
      <c r="D142" s="161"/>
      <c r="E142" s="162"/>
      <c r="F142" s="162"/>
      <c r="G142" s="163"/>
      <c r="H142" s="285"/>
      <c r="I142" s="282"/>
      <c r="J142" s="16"/>
      <c r="K142" s="18">
        <f t="shared" si="14"/>
        <v>0</v>
      </c>
      <c r="L142" s="288">
        <v>0</v>
      </c>
      <c r="M142" s="291"/>
      <c r="N142" s="164"/>
      <c r="O142" s="164"/>
      <c r="P142" s="164"/>
      <c r="Q142" s="175">
        <f t="shared" si="15"/>
        <v>0</v>
      </c>
      <c r="R142" s="164"/>
      <c r="S142" s="197">
        <f t="shared" si="16"/>
        <v>0</v>
      </c>
      <c r="T142" s="201" t="str" cm="1">
        <f t="array" ref="T142">IFERROR(IF(F142="甲",IF(K142&gt;3500000,VLOOKUP(3500000,源泉DB!$B$261:$L$261,L142+3)+ROUNDDOWN((K142-3500000)*45.945%,0),IF(AND(K142&gt;2250000,K142&lt;3500000),VLOOKUP(2250000,源泉DB!$B$260:$K$260,L142+3)+ROUNDDOWN((K142-2250000)*40.84%,0),IF(AND(K142&gt;2210000,K142&lt;2250000),VLOOKUP(2210000,源泉DB!$B$259:$K$259,L142+3)+ROUNDDOWN((K142-2210000)*40.84%,0),IF(AND(K142&gt;2170000,K142&lt;2210000),VLOOKUP(2170000,源泉DB!$B$258:$K$258,L142+3)+ROUNDDOWN((K142-2170000)*40.84%,0),IF(AND(K142&gt;1700000,K142&lt;2170000),VLOOKUP(1700000,源泉DB!$B$257:$K$257,L142+3)+ROUNDDOWN((K142-1700000)*40.84%,0),IF(AND(K142&gt;950000,K142&lt;1700000),VLOOKUP(950000,源泉DB!$B$256:$K$256,L142+3)+ROUNDDOWN((K142-950000)*33.693%,0),IF(AND(K142&gt;780000,K142&lt;950000),VLOOKUP(780000,源泉DB!$B$255:$K$255,L142+3)+ROUNDDOWN((K142-780000)*23.483%,0),IF(AND(K142&gt;740000,K142&lt;780000),VLOOKUP(740000,源泉DB!$B$254:$K$254,L142+3)+ROUNDDOWN((K142-740000)*20.42%,0),VLOOKUP(K142,源泉DB!$B$8:$K$299,L142+3))))))))),IF(F142="乙",IF(K142&gt;1700000,651900+(K142-1700000) *45.945%,IF(K142=1700000,651900,IF(AND(K142&gt;740000,K142&lt;1700000),259800+(K142-740000)*40.84%,IF(K142=740000,259800,IF(K142&lt;88000,ROUNDDOWN(K142*3.063%,9),VLOOKUP(K142,源泉DB!$B$8:$L$254,11)))))),"")),"")</f>
        <v/>
      </c>
      <c r="U142" s="165"/>
      <c r="V142" s="166"/>
      <c r="W142" s="166"/>
      <c r="X142" s="166"/>
      <c r="Y142" s="166"/>
      <c r="Z142" s="178">
        <f>ROUND(IFERROR(IF(($G142="加入"),VLOOKUP($I142,年金DB!$G$16:$P$65,6,TRUE),0),0)-0.1,0)</f>
        <v>0</v>
      </c>
      <c r="AA142" s="178">
        <f>ROUND(IFERROR(IF(AND($G142="加入",$D142&gt;=40,$D142&lt;=64),VLOOKUP($I142,年金DB!$G$16:$P$65,10,TRUE),0),0)-0.1,0)</f>
        <v>0</v>
      </c>
      <c r="AB142" s="178">
        <f>ROUND(IFERROR(IF(AND($G142="加入",$D142&lt;40),VLOOKUP($J142,年金DB!$G$16:$X$62,14,TRUE),IF(AND($G142="加入",$D142&gt;=40),VLOOKUP($J142,年金DB!$G$16:$X$62,14,TRUE),"0")),0)-0.1,0)</f>
        <v>0</v>
      </c>
      <c r="AC142" s="178">
        <f t="shared" si="17"/>
        <v>0</v>
      </c>
      <c r="AD142" s="21">
        <f t="shared" si="18"/>
        <v>0</v>
      </c>
      <c r="AE142" s="173">
        <f t="shared" si="19"/>
        <v>0</v>
      </c>
      <c r="AF142" s="14" t="str">
        <f t="shared" si="20"/>
        <v/>
      </c>
      <c r="AG142" s="14"/>
      <c r="AH142" s="14"/>
    </row>
    <row r="143" spans="1:34">
      <c r="A143" s="28"/>
      <c r="B143" s="180"/>
      <c r="C143" s="188"/>
      <c r="D143" s="161"/>
      <c r="E143" s="162"/>
      <c r="F143" s="162"/>
      <c r="G143" s="163"/>
      <c r="H143" s="285"/>
      <c r="I143" s="282"/>
      <c r="J143" s="16"/>
      <c r="K143" s="18">
        <f t="shared" si="14"/>
        <v>0</v>
      </c>
      <c r="L143" s="288">
        <v>0</v>
      </c>
      <c r="M143" s="291"/>
      <c r="N143" s="164"/>
      <c r="O143" s="164"/>
      <c r="P143" s="164"/>
      <c r="Q143" s="175">
        <f t="shared" si="15"/>
        <v>0</v>
      </c>
      <c r="R143" s="164"/>
      <c r="S143" s="197">
        <f t="shared" si="16"/>
        <v>0</v>
      </c>
      <c r="T143" s="201" t="str" cm="1">
        <f t="array" ref="T143">IFERROR(IF(F143="甲",IF(K143&gt;3500000,VLOOKUP(3500000,源泉DB!$B$261:$L$261,L143+3)+ROUNDDOWN((K143-3500000)*45.945%,0),IF(AND(K143&gt;2250000,K143&lt;3500000),VLOOKUP(2250000,源泉DB!$B$260:$K$260,L143+3)+ROUNDDOWN((K143-2250000)*40.84%,0),IF(AND(K143&gt;2210000,K143&lt;2250000),VLOOKUP(2210000,源泉DB!$B$259:$K$259,L143+3)+ROUNDDOWN((K143-2210000)*40.84%,0),IF(AND(K143&gt;2170000,K143&lt;2210000),VLOOKUP(2170000,源泉DB!$B$258:$K$258,L143+3)+ROUNDDOWN((K143-2170000)*40.84%,0),IF(AND(K143&gt;1700000,K143&lt;2170000),VLOOKUP(1700000,源泉DB!$B$257:$K$257,L143+3)+ROUNDDOWN((K143-1700000)*40.84%,0),IF(AND(K143&gt;950000,K143&lt;1700000),VLOOKUP(950000,源泉DB!$B$256:$K$256,L143+3)+ROUNDDOWN((K143-950000)*33.693%,0),IF(AND(K143&gt;780000,K143&lt;950000),VLOOKUP(780000,源泉DB!$B$255:$K$255,L143+3)+ROUNDDOWN((K143-780000)*23.483%,0),IF(AND(K143&gt;740000,K143&lt;780000),VLOOKUP(740000,源泉DB!$B$254:$K$254,L143+3)+ROUNDDOWN((K143-740000)*20.42%,0),VLOOKUP(K143,源泉DB!$B$8:$K$299,L143+3))))))))),IF(F143="乙",IF(K143&gt;1700000,651900+(K143-1700000) *45.945%,IF(K143=1700000,651900,IF(AND(K143&gt;740000,K143&lt;1700000),259800+(K143-740000)*40.84%,IF(K143=740000,259800,IF(K143&lt;88000,ROUNDDOWN(K143*3.063%,9),VLOOKUP(K143,源泉DB!$B$8:$L$254,11)))))),"")),"")</f>
        <v/>
      </c>
      <c r="U143" s="165"/>
      <c r="V143" s="166"/>
      <c r="W143" s="166"/>
      <c r="X143" s="166"/>
      <c r="Y143" s="166"/>
      <c r="Z143" s="178">
        <f>ROUND(IFERROR(IF(($G143="加入"),VLOOKUP($I143,年金DB!$G$16:$P$65,6,TRUE),0),0)-0.1,0)</f>
        <v>0</v>
      </c>
      <c r="AA143" s="178">
        <f>ROUND(IFERROR(IF(AND($G143="加入",$D143&gt;=40,$D143&lt;=64),VLOOKUP($I143,年金DB!$G$16:$P$65,10,TRUE),0),0)-0.1,0)</f>
        <v>0</v>
      </c>
      <c r="AB143" s="178">
        <f>ROUND(IFERROR(IF(AND($G143="加入",$D143&lt;40),VLOOKUP($J143,年金DB!$G$16:$X$62,14,TRUE),IF(AND($G143="加入",$D143&gt;=40),VLOOKUP($J143,年金DB!$G$16:$X$62,14,TRUE),"0")),0)-0.1,0)</f>
        <v>0</v>
      </c>
      <c r="AC143" s="178">
        <f t="shared" si="17"/>
        <v>0</v>
      </c>
      <c r="AD143" s="21">
        <f t="shared" si="18"/>
        <v>0</v>
      </c>
      <c r="AE143" s="173">
        <f t="shared" si="19"/>
        <v>0</v>
      </c>
      <c r="AF143" s="14" t="str">
        <f t="shared" si="20"/>
        <v/>
      </c>
      <c r="AG143" s="14"/>
      <c r="AH143" s="14"/>
    </row>
    <row r="144" spans="1:34">
      <c r="A144" s="28"/>
      <c r="B144" s="180"/>
      <c r="C144" s="188"/>
      <c r="D144" s="161"/>
      <c r="E144" s="162"/>
      <c r="F144" s="162"/>
      <c r="G144" s="163"/>
      <c r="H144" s="285"/>
      <c r="I144" s="282"/>
      <c r="J144" s="16"/>
      <c r="K144" s="18">
        <f t="shared" si="14"/>
        <v>0</v>
      </c>
      <c r="L144" s="288">
        <v>0</v>
      </c>
      <c r="M144" s="291"/>
      <c r="N144" s="164"/>
      <c r="O144" s="164"/>
      <c r="P144" s="164"/>
      <c r="Q144" s="175">
        <f t="shared" si="15"/>
        <v>0</v>
      </c>
      <c r="R144" s="164"/>
      <c r="S144" s="197">
        <f t="shared" si="16"/>
        <v>0</v>
      </c>
      <c r="T144" s="201" t="str" cm="1">
        <f t="array" ref="T144">IFERROR(IF(F144="甲",IF(K144&gt;3500000,VLOOKUP(3500000,源泉DB!$B$261:$L$261,L144+3)+ROUNDDOWN((K144-3500000)*45.945%,0),IF(AND(K144&gt;2250000,K144&lt;3500000),VLOOKUP(2250000,源泉DB!$B$260:$K$260,L144+3)+ROUNDDOWN((K144-2250000)*40.84%,0),IF(AND(K144&gt;2210000,K144&lt;2250000),VLOOKUP(2210000,源泉DB!$B$259:$K$259,L144+3)+ROUNDDOWN((K144-2210000)*40.84%,0),IF(AND(K144&gt;2170000,K144&lt;2210000),VLOOKUP(2170000,源泉DB!$B$258:$K$258,L144+3)+ROUNDDOWN((K144-2170000)*40.84%,0),IF(AND(K144&gt;1700000,K144&lt;2170000),VLOOKUP(1700000,源泉DB!$B$257:$K$257,L144+3)+ROUNDDOWN((K144-1700000)*40.84%,0),IF(AND(K144&gt;950000,K144&lt;1700000),VLOOKUP(950000,源泉DB!$B$256:$K$256,L144+3)+ROUNDDOWN((K144-950000)*33.693%,0),IF(AND(K144&gt;780000,K144&lt;950000),VLOOKUP(780000,源泉DB!$B$255:$K$255,L144+3)+ROUNDDOWN((K144-780000)*23.483%,0),IF(AND(K144&gt;740000,K144&lt;780000),VLOOKUP(740000,源泉DB!$B$254:$K$254,L144+3)+ROUNDDOWN((K144-740000)*20.42%,0),VLOOKUP(K144,源泉DB!$B$8:$K$299,L144+3))))))))),IF(F144="乙",IF(K144&gt;1700000,651900+(K144-1700000) *45.945%,IF(K144=1700000,651900,IF(AND(K144&gt;740000,K144&lt;1700000),259800+(K144-740000)*40.84%,IF(K144=740000,259800,IF(K144&lt;88000,ROUNDDOWN(K144*3.063%,9),VLOOKUP(K144,源泉DB!$B$8:$L$254,11)))))),"")),"")</f>
        <v/>
      </c>
      <c r="U144" s="165"/>
      <c r="V144" s="166"/>
      <c r="W144" s="166"/>
      <c r="X144" s="166"/>
      <c r="Y144" s="166"/>
      <c r="Z144" s="178">
        <f>ROUND(IFERROR(IF(($G144="加入"),VLOOKUP($I144,年金DB!$G$16:$P$65,6,TRUE),0),0)-0.1,0)</f>
        <v>0</v>
      </c>
      <c r="AA144" s="178">
        <f>ROUND(IFERROR(IF(AND($G144="加入",$D144&gt;=40,$D144&lt;=64),VLOOKUP($I144,年金DB!$G$16:$P$65,10,TRUE),0),0)-0.1,0)</f>
        <v>0</v>
      </c>
      <c r="AB144" s="178">
        <f>ROUND(IFERROR(IF(AND($G144="加入",$D144&lt;40),VLOOKUP($J144,年金DB!$G$16:$X$62,14,TRUE),IF(AND($G144="加入",$D144&gt;=40),VLOOKUP($J144,年金DB!$G$16:$X$62,14,TRUE),"0")),0)-0.1,0)</f>
        <v>0</v>
      </c>
      <c r="AC144" s="178">
        <f t="shared" si="17"/>
        <v>0</v>
      </c>
      <c r="AD144" s="21">
        <f t="shared" si="18"/>
        <v>0</v>
      </c>
      <c r="AE144" s="173">
        <f t="shared" si="19"/>
        <v>0</v>
      </c>
      <c r="AF144" s="14" t="str">
        <f t="shared" si="20"/>
        <v/>
      </c>
      <c r="AG144" s="14"/>
      <c r="AH144" s="14"/>
    </row>
    <row r="145" spans="1:34">
      <c r="A145" s="28"/>
      <c r="B145" s="180"/>
      <c r="C145" s="188"/>
      <c r="D145" s="161"/>
      <c r="E145" s="162"/>
      <c r="F145" s="162"/>
      <c r="G145" s="163"/>
      <c r="H145" s="285"/>
      <c r="I145" s="282"/>
      <c r="J145" s="16"/>
      <c r="K145" s="18">
        <f t="shared" si="14"/>
        <v>0</v>
      </c>
      <c r="L145" s="288">
        <v>0</v>
      </c>
      <c r="M145" s="291"/>
      <c r="N145" s="164"/>
      <c r="O145" s="164"/>
      <c r="P145" s="164"/>
      <c r="Q145" s="175">
        <f t="shared" si="15"/>
        <v>0</v>
      </c>
      <c r="R145" s="164"/>
      <c r="S145" s="197">
        <f t="shared" si="16"/>
        <v>0</v>
      </c>
      <c r="T145" s="201" t="str" cm="1">
        <f t="array" ref="T145">IFERROR(IF(F145="甲",IF(K145&gt;3500000,VLOOKUP(3500000,源泉DB!$B$261:$L$261,L145+3)+ROUNDDOWN((K145-3500000)*45.945%,0),IF(AND(K145&gt;2250000,K145&lt;3500000),VLOOKUP(2250000,源泉DB!$B$260:$K$260,L145+3)+ROUNDDOWN((K145-2250000)*40.84%,0),IF(AND(K145&gt;2210000,K145&lt;2250000),VLOOKUP(2210000,源泉DB!$B$259:$K$259,L145+3)+ROUNDDOWN((K145-2210000)*40.84%,0),IF(AND(K145&gt;2170000,K145&lt;2210000),VLOOKUP(2170000,源泉DB!$B$258:$K$258,L145+3)+ROUNDDOWN((K145-2170000)*40.84%,0),IF(AND(K145&gt;1700000,K145&lt;2170000),VLOOKUP(1700000,源泉DB!$B$257:$K$257,L145+3)+ROUNDDOWN((K145-1700000)*40.84%,0),IF(AND(K145&gt;950000,K145&lt;1700000),VLOOKUP(950000,源泉DB!$B$256:$K$256,L145+3)+ROUNDDOWN((K145-950000)*33.693%,0),IF(AND(K145&gt;780000,K145&lt;950000),VLOOKUP(780000,源泉DB!$B$255:$K$255,L145+3)+ROUNDDOWN((K145-780000)*23.483%,0),IF(AND(K145&gt;740000,K145&lt;780000),VLOOKUP(740000,源泉DB!$B$254:$K$254,L145+3)+ROUNDDOWN((K145-740000)*20.42%,0),VLOOKUP(K145,源泉DB!$B$8:$K$299,L145+3))))))))),IF(F145="乙",IF(K145&gt;1700000,651900+(K145-1700000) *45.945%,IF(K145=1700000,651900,IF(AND(K145&gt;740000,K145&lt;1700000),259800+(K145-740000)*40.84%,IF(K145=740000,259800,IF(K145&lt;88000,ROUNDDOWN(K145*3.063%,9),VLOOKUP(K145,源泉DB!$B$8:$L$254,11)))))),"")),"")</f>
        <v/>
      </c>
      <c r="U145" s="165"/>
      <c r="V145" s="166"/>
      <c r="W145" s="166"/>
      <c r="X145" s="166"/>
      <c r="Y145" s="166"/>
      <c r="Z145" s="178">
        <f>ROUND(IFERROR(IF(($G145="加入"),VLOOKUP($I145,年金DB!$G$16:$P$65,6,TRUE),0),0)-0.1,0)</f>
        <v>0</v>
      </c>
      <c r="AA145" s="178">
        <f>ROUND(IFERROR(IF(AND($G145="加入",$D145&gt;=40,$D145&lt;=64),VLOOKUP($I145,年金DB!$G$16:$P$65,10,TRUE),0),0)-0.1,0)</f>
        <v>0</v>
      </c>
      <c r="AB145" s="178">
        <f>ROUND(IFERROR(IF(AND($G145="加入",$D145&lt;40),VLOOKUP($J145,年金DB!$G$16:$X$62,14,TRUE),IF(AND($G145="加入",$D145&gt;=40),VLOOKUP($J145,年金DB!$G$16:$X$62,14,TRUE),"0")),0)-0.1,0)</f>
        <v>0</v>
      </c>
      <c r="AC145" s="178">
        <f t="shared" si="17"/>
        <v>0</v>
      </c>
      <c r="AD145" s="21">
        <f t="shared" si="18"/>
        <v>0</v>
      </c>
      <c r="AE145" s="173">
        <f t="shared" si="19"/>
        <v>0</v>
      </c>
      <c r="AF145" s="14" t="str">
        <f t="shared" si="20"/>
        <v/>
      </c>
      <c r="AG145" s="14"/>
      <c r="AH145" s="14"/>
    </row>
    <row r="146" spans="1:34">
      <c r="A146" s="28"/>
      <c r="B146" s="180"/>
      <c r="C146" s="188"/>
      <c r="D146" s="161"/>
      <c r="E146" s="162"/>
      <c r="F146" s="162"/>
      <c r="G146" s="163"/>
      <c r="H146" s="285"/>
      <c r="I146" s="282"/>
      <c r="J146" s="16"/>
      <c r="K146" s="18">
        <f t="shared" si="14"/>
        <v>0</v>
      </c>
      <c r="L146" s="288">
        <v>0</v>
      </c>
      <c r="M146" s="291"/>
      <c r="N146" s="164"/>
      <c r="O146" s="164"/>
      <c r="P146" s="164"/>
      <c r="Q146" s="175">
        <f t="shared" si="15"/>
        <v>0</v>
      </c>
      <c r="R146" s="164"/>
      <c r="S146" s="197">
        <f t="shared" si="16"/>
        <v>0</v>
      </c>
      <c r="T146" s="201" t="str" cm="1">
        <f t="array" ref="T146">IFERROR(IF(F146="甲",IF(K146&gt;3500000,VLOOKUP(3500000,源泉DB!$B$261:$L$261,L146+3)+ROUNDDOWN((K146-3500000)*45.945%,0),IF(AND(K146&gt;2250000,K146&lt;3500000),VLOOKUP(2250000,源泉DB!$B$260:$K$260,L146+3)+ROUNDDOWN((K146-2250000)*40.84%,0),IF(AND(K146&gt;2210000,K146&lt;2250000),VLOOKUP(2210000,源泉DB!$B$259:$K$259,L146+3)+ROUNDDOWN((K146-2210000)*40.84%,0),IF(AND(K146&gt;2170000,K146&lt;2210000),VLOOKUP(2170000,源泉DB!$B$258:$K$258,L146+3)+ROUNDDOWN((K146-2170000)*40.84%,0),IF(AND(K146&gt;1700000,K146&lt;2170000),VLOOKUP(1700000,源泉DB!$B$257:$K$257,L146+3)+ROUNDDOWN((K146-1700000)*40.84%,0),IF(AND(K146&gt;950000,K146&lt;1700000),VLOOKUP(950000,源泉DB!$B$256:$K$256,L146+3)+ROUNDDOWN((K146-950000)*33.693%,0),IF(AND(K146&gt;780000,K146&lt;950000),VLOOKUP(780000,源泉DB!$B$255:$K$255,L146+3)+ROUNDDOWN((K146-780000)*23.483%,0),IF(AND(K146&gt;740000,K146&lt;780000),VLOOKUP(740000,源泉DB!$B$254:$K$254,L146+3)+ROUNDDOWN((K146-740000)*20.42%,0),VLOOKUP(K146,源泉DB!$B$8:$K$299,L146+3))))))))),IF(F146="乙",IF(K146&gt;1700000,651900+(K146-1700000) *45.945%,IF(K146=1700000,651900,IF(AND(K146&gt;740000,K146&lt;1700000),259800+(K146-740000)*40.84%,IF(K146=740000,259800,IF(K146&lt;88000,ROUNDDOWN(K146*3.063%,9),VLOOKUP(K146,源泉DB!$B$8:$L$254,11)))))),"")),"")</f>
        <v/>
      </c>
      <c r="U146" s="165"/>
      <c r="V146" s="166"/>
      <c r="W146" s="166"/>
      <c r="X146" s="166"/>
      <c r="Y146" s="166"/>
      <c r="Z146" s="178">
        <f>ROUND(IFERROR(IF(($G146="加入"),VLOOKUP($I146,年金DB!$G$16:$P$65,6,TRUE),0),0)-0.1,0)</f>
        <v>0</v>
      </c>
      <c r="AA146" s="178">
        <f>ROUND(IFERROR(IF(AND($G146="加入",$D146&gt;=40,$D146&lt;=64),VLOOKUP($I146,年金DB!$G$16:$P$65,10,TRUE),0),0)-0.1,0)</f>
        <v>0</v>
      </c>
      <c r="AB146" s="178">
        <f>ROUND(IFERROR(IF(AND($G146="加入",$D146&lt;40),VLOOKUP($J146,年金DB!$G$16:$X$62,14,TRUE),IF(AND($G146="加入",$D146&gt;=40),VLOOKUP($J146,年金DB!$G$16:$X$62,14,TRUE),"0")),0)-0.1,0)</f>
        <v>0</v>
      </c>
      <c r="AC146" s="178">
        <f t="shared" si="17"/>
        <v>0</v>
      </c>
      <c r="AD146" s="21">
        <f t="shared" si="18"/>
        <v>0</v>
      </c>
      <c r="AE146" s="173">
        <f t="shared" si="19"/>
        <v>0</v>
      </c>
      <c r="AF146" s="14" t="str">
        <f t="shared" si="20"/>
        <v/>
      </c>
      <c r="AG146" s="14"/>
      <c r="AH146" s="14"/>
    </row>
    <row r="147" spans="1:34">
      <c r="A147" s="28"/>
      <c r="B147" s="180"/>
      <c r="C147" s="188"/>
      <c r="D147" s="161"/>
      <c r="E147" s="162"/>
      <c r="F147" s="162"/>
      <c r="G147" s="163"/>
      <c r="H147" s="285"/>
      <c r="I147" s="282"/>
      <c r="J147" s="16"/>
      <c r="K147" s="18">
        <f t="shared" si="14"/>
        <v>0</v>
      </c>
      <c r="L147" s="288">
        <v>0</v>
      </c>
      <c r="M147" s="291"/>
      <c r="N147" s="164"/>
      <c r="O147" s="164"/>
      <c r="P147" s="164"/>
      <c r="Q147" s="175">
        <f t="shared" si="15"/>
        <v>0</v>
      </c>
      <c r="R147" s="164"/>
      <c r="S147" s="197">
        <f t="shared" si="16"/>
        <v>0</v>
      </c>
      <c r="T147" s="201" t="str" cm="1">
        <f t="array" ref="T147">IFERROR(IF(F147="甲",IF(K147&gt;3500000,VLOOKUP(3500000,源泉DB!$B$261:$L$261,L147+3)+ROUNDDOWN((K147-3500000)*45.945%,0),IF(AND(K147&gt;2250000,K147&lt;3500000),VLOOKUP(2250000,源泉DB!$B$260:$K$260,L147+3)+ROUNDDOWN((K147-2250000)*40.84%,0),IF(AND(K147&gt;2210000,K147&lt;2250000),VLOOKUP(2210000,源泉DB!$B$259:$K$259,L147+3)+ROUNDDOWN((K147-2210000)*40.84%,0),IF(AND(K147&gt;2170000,K147&lt;2210000),VLOOKUP(2170000,源泉DB!$B$258:$K$258,L147+3)+ROUNDDOWN((K147-2170000)*40.84%,0),IF(AND(K147&gt;1700000,K147&lt;2170000),VLOOKUP(1700000,源泉DB!$B$257:$K$257,L147+3)+ROUNDDOWN((K147-1700000)*40.84%,0),IF(AND(K147&gt;950000,K147&lt;1700000),VLOOKUP(950000,源泉DB!$B$256:$K$256,L147+3)+ROUNDDOWN((K147-950000)*33.693%,0),IF(AND(K147&gt;780000,K147&lt;950000),VLOOKUP(780000,源泉DB!$B$255:$K$255,L147+3)+ROUNDDOWN((K147-780000)*23.483%,0),IF(AND(K147&gt;740000,K147&lt;780000),VLOOKUP(740000,源泉DB!$B$254:$K$254,L147+3)+ROUNDDOWN((K147-740000)*20.42%,0),VLOOKUP(K147,源泉DB!$B$8:$K$299,L147+3))))))))),IF(F147="乙",IF(K147&gt;1700000,651900+(K147-1700000) *45.945%,IF(K147=1700000,651900,IF(AND(K147&gt;740000,K147&lt;1700000),259800+(K147-740000)*40.84%,IF(K147=740000,259800,IF(K147&lt;88000,ROUNDDOWN(K147*3.063%,9),VLOOKUP(K147,源泉DB!$B$8:$L$254,11)))))),"")),"")</f>
        <v/>
      </c>
      <c r="U147" s="165"/>
      <c r="V147" s="166"/>
      <c r="W147" s="166"/>
      <c r="X147" s="166"/>
      <c r="Y147" s="166"/>
      <c r="Z147" s="178">
        <f>ROUND(IFERROR(IF(($G147="加入"),VLOOKUP($I147,年金DB!$G$16:$P$65,6,TRUE),0),0)-0.1,0)</f>
        <v>0</v>
      </c>
      <c r="AA147" s="178">
        <f>ROUND(IFERROR(IF(AND($G147="加入",$D147&gt;=40,$D147&lt;=64),VLOOKUP($I147,年金DB!$G$16:$P$65,10,TRUE),0),0)-0.1,0)</f>
        <v>0</v>
      </c>
      <c r="AB147" s="178">
        <f>ROUND(IFERROR(IF(AND($G147="加入",$D147&lt;40),VLOOKUP($J147,年金DB!$G$16:$X$62,14,TRUE),IF(AND($G147="加入",$D147&gt;=40),VLOOKUP($J147,年金DB!$G$16:$X$62,14,TRUE),"0")),0)-0.1,0)</f>
        <v>0</v>
      </c>
      <c r="AC147" s="178">
        <f t="shared" si="17"/>
        <v>0</v>
      </c>
      <c r="AD147" s="21">
        <f t="shared" si="18"/>
        <v>0</v>
      </c>
      <c r="AE147" s="173">
        <f t="shared" si="19"/>
        <v>0</v>
      </c>
      <c r="AF147" s="14" t="str">
        <f t="shared" si="20"/>
        <v/>
      </c>
      <c r="AG147" s="14"/>
      <c r="AH147" s="14"/>
    </row>
    <row r="148" spans="1:34">
      <c r="A148" s="28"/>
      <c r="B148" s="180"/>
      <c r="C148" s="188"/>
      <c r="D148" s="161"/>
      <c r="E148" s="162"/>
      <c r="F148" s="162"/>
      <c r="G148" s="163"/>
      <c r="H148" s="285"/>
      <c r="I148" s="282"/>
      <c r="J148" s="16"/>
      <c r="K148" s="18">
        <f t="shared" si="14"/>
        <v>0</v>
      </c>
      <c r="L148" s="288">
        <v>0</v>
      </c>
      <c r="M148" s="291"/>
      <c r="N148" s="164"/>
      <c r="O148" s="164"/>
      <c r="P148" s="164"/>
      <c r="Q148" s="175">
        <f t="shared" si="15"/>
        <v>0</v>
      </c>
      <c r="R148" s="164"/>
      <c r="S148" s="197">
        <f t="shared" si="16"/>
        <v>0</v>
      </c>
      <c r="T148" s="201" t="str" cm="1">
        <f t="array" ref="T148">IFERROR(IF(F148="甲",IF(K148&gt;3500000,VLOOKUP(3500000,源泉DB!$B$261:$L$261,L148+3)+ROUNDDOWN((K148-3500000)*45.945%,0),IF(AND(K148&gt;2250000,K148&lt;3500000),VLOOKUP(2250000,源泉DB!$B$260:$K$260,L148+3)+ROUNDDOWN((K148-2250000)*40.84%,0),IF(AND(K148&gt;2210000,K148&lt;2250000),VLOOKUP(2210000,源泉DB!$B$259:$K$259,L148+3)+ROUNDDOWN((K148-2210000)*40.84%,0),IF(AND(K148&gt;2170000,K148&lt;2210000),VLOOKUP(2170000,源泉DB!$B$258:$K$258,L148+3)+ROUNDDOWN((K148-2170000)*40.84%,0),IF(AND(K148&gt;1700000,K148&lt;2170000),VLOOKUP(1700000,源泉DB!$B$257:$K$257,L148+3)+ROUNDDOWN((K148-1700000)*40.84%,0),IF(AND(K148&gt;950000,K148&lt;1700000),VLOOKUP(950000,源泉DB!$B$256:$K$256,L148+3)+ROUNDDOWN((K148-950000)*33.693%,0),IF(AND(K148&gt;780000,K148&lt;950000),VLOOKUP(780000,源泉DB!$B$255:$K$255,L148+3)+ROUNDDOWN((K148-780000)*23.483%,0),IF(AND(K148&gt;740000,K148&lt;780000),VLOOKUP(740000,源泉DB!$B$254:$K$254,L148+3)+ROUNDDOWN((K148-740000)*20.42%,0),VLOOKUP(K148,源泉DB!$B$8:$K$299,L148+3))))))))),IF(F148="乙",IF(K148&gt;1700000,651900+(K148-1700000) *45.945%,IF(K148=1700000,651900,IF(AND(K148&gt;740000,K148&lt;1700000),259800+(K148-740000)*40.84%,IF(K148=740000,259800,IF(K148&lt;88000,ROUNDDOWN(K148*3.063%,9),VLOOKUP(K148,源泉DB!$B$8:$L$254,11)))))),"")),"")</f>
        <v/>
      </c>
      <c r="U148" s="165"/>
      <c r="V148" s="166"/>
      <c r="W148" s="166"/>
      <c r="X148" s="166"/>
      <c r="Y148" s="166"/>
      <c r="Z148" s="178">
        <f>ROUND(IFERROR(IF(($G148="加入"),VLOOKUP($I148,年金DB!$G$16:$P$65,6,TRUE),0),0)-0.1,0)</f>
        <v>0</v>
      </c>
      <c r="AA148" s="178">
        <f>ROUND(IFERROR(IF(AND($G148="加入",$D148&gt;=40,$D148&lt;=64),VLOOKUP($I148,年金DB!$G$16:$P$65,10,TRUE),0),0)-0.1,0)</f>
        <v>0</v>
      </c>
      <c r="AB148" s="178">
        <f>ROUND(IFERROR(IF(AND($G148="加入",$D148&lt;40),VLOOKUP($J148,年金DB!$G$16:$X$62,14,TRUE),IF(AND($G148="加入",$D148&gt;=40),VLOOKUP($J148,年金DB!$G$16:$X$62,14,TRUE),"0")),0)-0.1,0)</f>
        <v>0</v>
      </c>
      <c r="AC148" s="178">
        <f t="shared" si="17"/>
        <v>0</v>
      </c>
      <c r="AD148" s="21">
        <f t="shared" si="18"/>
        <v>0</v>
      </c>
      <c r="AE148" s="173">
        <f t="shared" si="19"/>
        <v>0</v>
      </c>
      <c r="AF148" s="14" t="str">
        <f t="shared" si="20"/>
        <v/>
      </c>
      <c r="AG148" s="14"/>
      <c r="AH148" s="14"/>
    </row>
    <row r="149" spans="1:34">
      <c r="A149" s="28"/>
      <c r="B149" s="180"/>
      <c r="C149" s="188"/>
      <c r="D149" s="161"/>
      <c r="E149" s="162"/>
      <c r="F149" s="162"/>
      <c r="G149" s="163"/>
      <c r="H149" s="285"/>
      <c r="I149" s="282"/>
      <c r="J149" s="16"/>
      <c r="K149" s="18">
        <f t="shared" si="14"/>
        <v>0</v>
      </c>
      <c r="L149" s="288">
        <v>0</v>
      </c>
      <c r="M149" s="291"/>
      <c r="N149" s="164"/>
      <c r="O149" s="164"/>
      <c r="P149" s="164"/>
      <c r="Q149" s="175">
        <f t="shared" si="15"/>
        <v>0</v>
      </c>
      <c r="R149" s="164"/>
      <c r="S149" s="197">
        <f t="shared" si="16"/>
        <v>0</v>
      </c>
      <c r="T149" s="201" t="str" cm="1">
        <f t="array" ref="T149">IFERROR(IF(F149="甲",IF(K149&gt;3500000,VLOOKUP(3500000,源泉DB!$B$261:$L$261,L149+3)+ROUNDDOWN((K149-3500000)*45.945%,0),IF(AND(K149&gt;2250000,K149&lt;3500000),VLOOKUP(2250000,源泉DB!$B$260:$K$260,L149+3)+ROUNDDOWN((K149-2250000)*40.84%,0),IF(AND(K149&gt;2210000,K149&lt;2250000),VLOOKUP(2210000,源泉DB!$B$259:$K$259,L149+3)+ROUNDDOWN((K149-2210000)*40.84%,0),IF(AND(K149&gt;2170000,K149&lt;2210000),VLOOKUP(2170000,源泉DB!$B$258:$K$258,L149+3)+ROUNDDOWN((K149-2170000)*40.84%,0),IF(AND(K149&gt;1700000,K149&lt;2170000),VLOOKUP(1700000,源泉DB!$B$257:$K$257,L149+3)+ROUNDDOWN((K149-1700000)*40.84%,0),IF(AND(K149&gt;950000,K149&lt;1700000),VLOOKUP(950000,源泉DB!$B$256:$K$256,L149+3)+ROUNDDOWN((K149-950000)*33.693%,0),IF(AND(K149&gt;780000,K149&lt;950000),VLOOKUP(780000,源泉DB!$B$255:$K$255,L149+3)+ROUNDDOWN((K149-780000)*23.483%,0),IF(AND(K149&gt;740000,K149&lt;780000),VLOOKUP(740000,源泉DB!$B$254:$K$254,L149+3)+ROUNDDOWN((K149-740000)*20.42%,0),VLOOKUP(K149,源泉DB!$B$8:$K$299,L149+3))))))))),IF(F149="乙",IF(K149&gt;1700000,651900+(K149-1700000) *45.945%,IF(K149=1700000,651900,IF(AND(K149&gt;740000,K149&lt;1700000),259800+(K149-740000)*40.84%,IF(K149=740000,259800,IF(K149&lt;88000,ROUNDDOWN(K149*3.063%,9),VLOOKUP(K149,源泉DB!$B$8:$L$254,11)))))),"")),"")</f>
        <v/>
      </c>
      <c r="U149" s="165"/>
      <c r="V149" s="166"/>
      <c r="W149" s="166"/>
      <c r="X149" s="166"/>
      <c r="Y149" s="166"/>
      <c r="Z149" s="178">
        <f>ROUND(IFERROR(IF(($G149="加入"),VLOOKUP($I149,年金DB!$G$16:$P$65,6,TRUE),0),0)-0.1,0)</f>
        <v>0</v>
      </c>
      <c r="AA149" s="178">
        <f>ROUND(IFERROR(IF(AND($G149="加入",$D149&gt;=40,$D149&lt;=64),VLOOKUP($I149,年金DB!$G$16:$P$65,10,TRUE),0),0)-0.1,0)</f>
        <v>0</v>
      </c>
      <c r="AB149" s="178">
        <f>ROUND(IFERROR(IF(AND($G149="加入",$D149&lt;40),VLOOKUP($J149,年金DB!$G$16:$X$62,14,TRUE),IF(AND($G149="加入",$D149&gt;=40),VLOOKUP($J149,年金DB!$G$16:$X$62,14,TRUE),"0")),0)-0.1,0)</f>
        <v>0</v>
      </c>
      <c r="AC149" s="178">
        <f t="shared" si="17"/>
        <v>0</v>
      </c>
      <c r="AD149" s="21">
        <f t="shared" si="18"/>
        <v>0</v>
      </c>
      <c r="AE149" s="173">
        <f t="shared" si="19"/>
        <v>0</v>
      </c>
      <c r="AF149" s="14" t="str">
        <f t="shared" si="20"/>
        <v/>
      </c>
      <c r="AG149" s="14"/>
      <c r="AH149" s="14"/>
    </row>
    <row r="150" spans="1:34">
      <c r="A150" s="28"/>
      <c r="B150" s="180"/>
      <c r="C150" s="188"/>
      <c r="D150" s="161"/>
      <c r="E150" s="162"/>
      <c r="F150" s="162"/>
      <c r="G150" s="163"/>
      <c r="H150" s="285"/>
      <c r="I150" s="282"/>
      <c r="J150" s="16"/>
      <c r="K150" s="18">
        <f t="shared" si="14"/>
        <v>0</v>
      </c>
      <c r="L150" s="288">
        <v>0</v>
      </c>
      <c r="M150" s="291"/>
      <c r="N150" s="164"/>
      <c r="O150" s="164"/>
      <c r="P150" s="164"/>
      <c r="Q150" s="175">
        <f t="shared" si="15"/>
        <v>0</v>
      </c>
      <c r="R150" s="164"/>
      <c r="S150" s="197">
        <f t="shared" si="16"/>
        <v>0</v>
      </c>
      <c r="T150" s="201" t="str" cm="1">
        <f t="array" ref="T150">IFERROR(IF(F150="甲",IF(K150&gt;3500000,VLOOKUP(3500000,源泉DB!$B$261:$L$261,L150+3)+ROUNDDOWN((K150-3500000)*45.945%,0),IF(AND(K150&gt;2250000,K150&lt;3500000),VLOOKUP(2250000,源泉DB!$B$260:$K$260,L150+3)+ROUNDDOWN((K150-2250000)*40.84%,0),IF(AND(K150&gt;2210000,K150&lt;2250000),VLOOKUP(2210000,源泉DB!$B$259:$K$259,L150+3)+ROUNDDOWN((K150-2210000)*40.84%,0),IF(AND(K150&gt;2170000,K150&lt;2210000),VLOOKUP(2170000,源泉DB!$B$258:$K$258,L150+3)+ROUNDDOWN((K150-2170000)*40.84%,0),IF(AND(K150&gt;1700000,K150&lt;2170000),VLOOKUP(1700000,源泉DB!$B$257:$K$257,L150+3)+ROUNDDOWN((K150-1700000)*40.84%,0),IF(AND(K150&gt;950000,K150&lt;1700000),VLOOKUP(950000,源泉DB!$B$256:$K$256,L150+3)+ROUNDDOWN((K150-950000)*33.693%,0),IF(AND(K150&gt;780000,K150&lt;950000),VLOOKUP(780000,源泉DB!$B$255:$K$255,L150+3)+ROUNDDOWN((K150-780000)*23.483%,0),IF(AND(K150&gt;740000,K150&lt;780000),VLOOKUP(740000,源泉DB!$B$254:$K$254,L150+3)+ROUNDDOWN((K150-740000)*20.42%,0),VLOOKUP(K150,源泉DB!$B$8:$K$299,L150+3))))))))),IF(F150="乙",IF(K150&gt;1700000,651900+(K150-1700000) *45.945%,IF(K150=1700000,651900,IF(AND(K150&gt;740000,K150&lt;1700000),259800+(K150-740000)*40.84%,IF(K150=740000,259800,IF(K150&lt;88000,ROUNDDOWN(K150*3.063%,9),VLOOKUP(K150,源泉DB!$B$8:$L$254,11)))))),"")),"")</f>
        <v/>
      </c>
      <c r="U150" s="165"/>
      <c r="V150" s="166"/>
      <c r="W150" s="166"/>
      <c r="X150" s="166"/>
      <c r="Y150" s="166"/>
      <c r="Z150" s="178">
        <f>ROUND(IFERROR(IF(($G150="加入"),VLOOKUP($I150,年金DB!$G$16:$P$65,6,TRUE),0),0)-0.1,0)</f>
        <v>0</v>
      </c>
      <c r="AA150" s="178">
        <f>ROUND(IFERROR(IF(AND($G150="加入",$D150&gt;=40,$D150&lt;=64),VLOOKUP($I150,年金DB!$G$16:$P$65,10,TRUE),0),0)-0.1,0)</f>
        <v>0</v>
      </c>
      <c r="AB150" s="178">
        <f>ROUND(IFERROR(IF(AND($G150="加入",$D150&lt;40),VLOOKUP($J150,年金DB!$G$16:$X$62,14,TRUE),IF(AND($G150="加入",$D150&gt;=40),VLOOKUP($J150,年金DB!$G$16:$X$62,14,TRUE),"0")),0)-0.1,0)</f>
        <v>0</v>
      </c>
      <c r="AC150" s="178">
        <f t="shared" si="17"/>
        <v>0</v>
      </c>
      <c r="AD150" s="21">
        <f t="shared" si="18"/>
        <v>0</v>
      </c>
      <c r="AE150" s="173">
        <f t="shared" si="19"/>
        <v>0</v>
      </c>
      <c r="AF150" s="14" t="str">
        <f t="shared" si="20"/>
        <v/>
      </c>
      <c r="AG150" s="14"/>
      <c r="AH150" s="14"/>
    </row>
    <row r="151" spans="1:34">
      <c r="A151" s="28"/>
      <c r="B151" s="180"/>
      <c r="C151" s="188"/>
      <c r="D151" s="161"/>
      <c r="E151" s="162"/>
      <c r="F151" s="162"/>
      <c r="G151" s="163"/>
      <c r="H151" s="285"/>
      <c r="I151" s="282"/>
      <c r="J151" s="16"/>
      <c r="K151" s="18">
        <f t="shared" si="14"/>
        <v>0</v>
      </c>
      <c r="L151" s="288">
        <v>0</v>
      </c>
      <c r="M151" s="291"/>
      <c r="N151" s="164"/>
      <c r="O151" s="164"/>
      <c r="P151" s="164"/>
      <c r="Q151" s="175">
        <f t="shared" si="15"/>
        <v>0</v>
      </c>
      <c r="R151" s="164"/>
      <c r="S151" s="197">
        <f t="shared" si="16"/>
        <v>0</v>
      </c>
      <c r="T151" s="201" t="str" cm="1">
        <f t="array" ref="T151">IFERROR(IF(F151="甲",IF(K151&gt;3500000,VLOOKUP(3500000,源泉DB!$B$261:$L$261,L151+3)+ROUNDDOWN((K151-3500000)*45.945%,0),IF(AND(K151&gt;2250000,K151&lt;3500000),VLOOKUP(2250000,源泉DB!$B$260:$K$260,L151+3)+ROUNDDOWN((K151-2250000)*40.84%,0),IF(AND(K151&gt;2210000,K151&lt;2250000),VLOOKUP(2210000,源泉DB!$B$259:$K$259,L151+3)+ROUNDDOWN((K151-2210000)*40.84%,0),IF(AND(K151&gt;2170000,K151&lt;2210000),VLOOKUP(2170000,源泉DB!$B$258:$K$258,L151+3)+ROUNDDOWN((K151-2170000)*40.84%,0),IF(AND(K151&gt;1700000,K151&lt;2170000),VLOOKUP(1700000,源泉DB!$B$257:$K$257,L151+3)+ROUNDDOWN((K151-1700000)*40.84%,0),IF(AND(K151&gt;950000,K151&lt;1700000),VLOOKUP(950000,源泉DB!$B$256:$K$256,L151+3)+ROUNDDOWN((K151-950000)*33.693%,0),IF(AND(K151&gt;780000,K151&lt;950000),VLOOKUP(780000,源泉DB!$B$255:$K$255,L151+3)+ROUNDDOWN((K151-780000)*23.483%,0),IF(AND(K151&gt;740000,K151&lt;780000),VLOOKUP(740000,源泉DB!$B$254:$K$254,L151+3)+ROUNDDOWN((K151-740000)*20.42%,0),VLOOKUP(K151,源泉DB!$B$8:$K$299,L151+3))))))))),IF(F151="乙",IF(K151&gt;1700000,651900+(K151-1700000) *45.945%,IF(K151=1700000,651900,IF(AND(K151&gt;740000,K151&lt;1700000),259800+(K151-740000)*40.84%,IF(K151=740000,259800,IF(K151&lt;88000,ROUNDDOWN(K151*3.063%,9),VLOOKUP(K151,源泉DB!$B$8:$L$254,11)))))),"")),"")</f>
        <v/>
      </c>
      <c r="U151" s="165"/>
      <c r="V151" s="166"/>
      <c r="W151" s="166"/>
      <c r="X151" s="166"/>
      <c r="Y151" s="166"/>
      <c r="Z151" s="178">
        <f>ROUND(IFERROR(IF(($G151="加入"),VLOOKUP($I151,年金DB!$G$16:$P$65,6,TRUE),0),0)-0.1,0)</f>
        <v>0</v>
      </c>
      <c r="AA151" s="178">
        <f>ROUND(IFERROR(IF(AND($G151="加入",$D151&gt;=40,$D151&lt;=64),VLOOKUP($I151,年金DB!$G$16:$P$65,10,TRUE),0),0)-0.1,0)</f>
        <v>0</v>
      </c>
      <c r="AB151" s="178">
        <f>ROUND(IFERROR(IF(AND($G151="加入",$D151&lt;40),VLOOKUP($J151,年金DB!$G$16:$X$62,14,TRUE),IF(AND($G151="加入",$D151&gt;=40),VLOOKUP($J151,年金DB!$G$16:$X$62,14,TRUE),"0")),0)-0.1,0)</f>
        <v>0</v>
      </c>
      <c r="AC151" s="178">
        <f t="shared" si="17"/>
        <v>0</v>
      </c>
      <c r="AD151" s="21">
        <f t="shared" si="18"/>
        <v>0</v>
      </c>
      <c r="AE151" s="173">
        <f t="shared" si="19"/>
        <v>0</v>
      </c>
      <c r="AF151" s="14" t="str">
        <f t="shared" si="20"/>
        <v/>
      </c>
      <c r="AG151" s="14"/>
      <c r="AH151" s="14"/>
    </row>
    <row r="152" spans="1:34">
      <c r="A152" s="28"/>
      <c r="B152" s="180"/>
      <c r="C152" s="188"/>
      <c r="D152" s="161"/>
      <c r="E152" s="162"/>
      <c r="F152" s="162"/>
      <c r="G152" s="163"/>
      <c r="H152" s="285"/>
      <c r="I152" s="282"/>
      <c r="J152" s="16"/>
      <c r="K152" s="18">
        <f t="shared" si="14"/>
        <v>0</v>
      </c>
      <c r="L152" s="288">
        <v>0</v>
      </c>
      <c r="M152" s="291"/>
      <c r="N152" s="164"/>
      <c r="O152" s="164"/>
      <c r="P152" s="164"/>
      <c r="Q152" s="175">
        <f t="shared" si="15"/>
        <v>0</v>
      </c>
      <c r="R152" s="164"/>
      <c r="S152" s="197">
        <f t="shared" si="16"/>
        <v>0</v>
      </c>
      <c r="T152" s="201" t="str" cm="1">
        <f t="array" ref="T152">IFERROR(IF(F152="甲",IF(K152&gt;3500000,VLOOKUP(3500000,源泉DB!$B$261:$L$261,L152+3)+ROUNDDOWN((K152-3500000)*45.945%,0),IF(AND(K152&gt;2250000,K152&lt;3500000),VLOOKUP(2250000,源泉DB!$B$260:$K$260,L152+3)+ROUNDDOWN((K152-2250000)*40.84%,0),IF(AND(K152&gt;2210000,K152&lt;2250000),VLOOKUP(2210000,源泉DB!$B$259:$K$259,L152+3)+ROUNDDOWN((K152-2210000)*40.84%,0),IF(AND(K152&gt;2170000,K152&lt;2210000),VLOOKUP(2170000,源泉DB!$B$258:$K$258,L152+3)+ROUNDDOWN((K152-2170000)*40.84%,0),IF(AND(K152&gt;1700000,K152&lt;2170000),VLOOKUP(1700000,源泉DB!$B$257:$K$257,L152+3)+ROUNDDOWN((K152-1700000)*40.84%,0),IF(AND(K152&gt;950000,K152&lt;1700000),VLOOKUP(950000,源泉DB!$B$256:$K$256,L152+3)+ROUNDDOWN((K152-950000)*33.693%,0),IF(AND(K152&gt;780000,K152&lt;950000),VLOOKUP(780000,源泉DB!$B$255:$K$255,L152+3)+ROUNDDOWN((K152-780000)*23.483%,0),IF(AND(K152&gt;740000,K152&lt;780000),VLOOKUP(740000,源泉DB!$B$254:$K$254,L152+3)+ROUNDDOWN((K152-740000)*20.42%,0),VLOOKUP(K152,源泉DB!$B$8:$K$299,L152+3))))))))),IF(F152="乙",IF(K152&gt;1700000,651900+(K152-1700000) *45.945%,IF(K152=1700000,651900,IF(AND(K152&gt;740000,K152&lt;1700000),259800+(K152-740000)*40.84%,IF(K152=740000,259800,IF(K152&lt;88000,ROUNDDOWN(K152*3.063%,9),VLOOKUP(K152,源泉DB!$B$8:$L$254,11)))))),"")),"")</f>
        <v/>
      </c>
      <c r="U152" s="165"/>
      <c r="V152" s="166"/>
      <c r="W152" s="166"/>
      <c r="X152" s="166"/>
      <c r="Y152" s="166"/>
      <c r="Z152" s="178">
        <f>ROUND(IFERROR(IF(($G152="加入"),VLOOKUP($I152,年金DB!$G$16:$P$65,6,TRUE),0),0)-0.1,0)</f>
        <v>0</v>
      </c>
      <c r="AA152" s="178">
        <f>ROUND(IFERROR(IF(AND($G152="加入",$D152&gt;=40,$D152&lt;=64),VLOOKUP($I152,年金DB!$G$16:$P$65,10,TRUE),0),0)-0.1,0)</f>
        <v>0</v>
      </c>
      <c r="AB152" s="178">
        <f>ROUND(IFERROR(IF(AND($G152="加入",$D152&lt;40),VLOOKUP($J152,年金DB!$G$16:$X$62,14,TRUE),IF(AND($G152="加入",$D152&gt;=40),VLOOKUP($J152,年金DB!$G$16:$X$62,14,TRUE),"0")),0)-0.1,0)</f>
        <v>0</v>
      </c>
      <c r="AC152" s="178">
        <f t="shared" si="17"/>
        <v>0</v>
      </c>
      <c r="AD152" s="21">
        <f t="shared" si="18"/>
        <v>0</v>
      </c>
      <c r="AE152" s="173">
        <f t="shared" si="19"/>
        <v>0</v>
      </c>
      <c r="AF152" s="14" t="str">
        <f t="shared" si="20"/>
        <v/>
      </c>
      <c r="AG152" s="14"/>
      <c r="AH152" s="14"/>
    </row>
    <row r="153" spans="1:34">
      <c r="A153" s="28"/>
      <c r="B153" s="180"/>
      <c r="C153" s="188"/>
      <c r="D153" s="161"/>
      <c r="E153" s="162"/>
      <c r="F153" s="162"/>
      <c r="G153" s="163"/>
      <c r="H153" s="285"/>
      <c r="I153" s="282"/>
      <c r="J153" s="16"/>
      <c r="K153" s="18">
        <f t="shared" si="14"/>
        <v>0</v>
      </c>
      <c r="L153" s="288">
        <v>0</v>
      </c>
      <c r="M153" s="291"/>
      <c r="N153" s="164"/>
      <c r="O153" s="164"/>
      <c r="P153" s="164"/>
      <c r="Q153" s="175">
        <f t="shared" si="15"/>
        <v>0</v>
      </c>
      <c r="R153" s="164"/>
      <c r="S153" s="197">
        <f t="shared" si="16"/>
        <v>0</v>
      </c>
      <c r="T153" s="201" t="str" cm="1">
        <f t="array" ref="T153">IFERROR(IF(F153="甲",IF(K153&gt;3500000,VLOOKUP(3500000,源泉DB!$B$261:$L$261,L153+3)+ROUNDDOWN((K153-3500000)*45.945%,0),IF(AND(K153&gt;2250000,K153&lt;3500000),VLOOKUP(2250000,源泉DB!$B$260:$K$260,L153+3)+ROUNDDOWN((K153-2250000)*40.84%,0),IF(AND(K153&gt;2210000,K153&lt;2250000),VLOOKUP(2210000,源泉DB!$B$259:$K$259,L153+3)+ROUNDDOWN((K153-2210000)*40.84%,0),IF(AND(K153&gt;2170000,K153&lt;2210000),VLOOKUP(2170000,源泉DB!$B$258:$K$258,L153+3)+ROUNDDOWN((K153-2170000)*40.84%,0),IF(AND(K153&gt;1700000,K153&lt;2170000),VLOOKUP(1700000,源泉DB!$B$257:$K$257,L153+3)+ROUNDDOWN((K153-1700000)*40.84%,0),IF(AND(K153&gt;950000,K153&lt;1700000),VLOOKUP(950000,源泉DB!$B$256:$K$256,L153+3)+ROUNDDOWN((K153-950000)*33.693%,0),IF(AND(K153&gt;780000,K153&lt;950000),VLOOKUP(780000,源泉DB!$B$255:$K$255,L153+3)+ROUNDDOWN((K153-780000)*23.483%,0),IF(AND(K153&gt;740000,K153&lt;780000),VLOOKUP(740000,源泉DB!$B$254:$K$254,L153+3)+ROUNDDOWN((K153-740000)*20.42%,0),VLOOKUP(K153,源泉DB!$B$8:$K$299,L153+3))))))))),IF(F153="乙",IF(K153&gt;1700000,651900+(K153-1700000) *45.945%,IF(K153=1700000,651900,IF(AND(K153&gt;740000,K153&lt;1700000),259800+(K153-740000)*40.84%,IF(K153=740000,259800,IF(K153&lt;88000,ROUNDDOWN(K153*3.063%,9),VLOOKUP(K153,源泉DB!$B$8:$L$254,11)))))),"")),"")</f>
        <v/>
      </c>
      <c r="U153" s="165"/>
      <c r="V153" s="166"/>
      <c r="W153" s="166"/>
      <c r="X153" s="166"/>
      <c r="Y153" s="166"/>
      <c r="Z153" s="178">
        <f>ROUND(IFERROR(IF(($G153="加入"),VLOOKUP($I153,年金DB!$G$16:$P$65,6,TRUE),0),0)-0.1,0)</f>
        <v>0</v>
      </c>
      <c r="AA153" s="178">
        <f>ROUND(IFERROR(IF(AND($G153="加入",$D153&gt;=40,$D153&lt;=64),VLOOKUP($I153,年金DB!$G$16:$P$65,10,TRUE),0),0)-0.1,0)</f>
        <v>0</v>
      </c>
      <c r="AB153" s="178">
        <f>ROUND(IFERROR(IF(AND($G153="加入",$D153&lt;40),VLOOKUP($J153,年金DB!$G$16:$X$62,14,TRUE),IF(AND($G153="加入",$D153&gt;=40),VLOOKUP($J153,年金DB!$G$16:$X$62,14,TRUE),"0")),0)-0.1,0)</f>
        <v>0</v>
      </c>
      <c r="AC153" s="178">
        <f t="shared" si="17"/>
        <v>0</v>
      </c>
      <c r="AD153" s="21">
        <f t="shared" si="18"/>
        <v>0</v>
      </c>
      <c r="AE153" s="173">
        <f t="shared" si="19"/>
        <v>0</v>
      </c>
      <c r="AF153" s="14" t="str">
        <f t="shared" si="20"/>
        <v/>
      </c>
      <c r="AG153" s="14"/>
      <c r="AH153" s="14"/>
    </row>
    <row r="154" spans="1:34">
      <c r="A154" s="28"/>
      <c r="B154" s="180"/>
      <c r="C154" s="188"/>
      <c r="D154" s="161"/>
      <c r="E154" s="162"/>
      <c r="F154" s="162"/>
      <c r="G154" s="163"/>
      <c r="H154" s="285"/>
      <c r="I154" s="282"/>
      <c r="J154" s="16"/>
      <c r="K154" s="18">
        <f t="shared" si="14"/>
        <v>0</v>
      </c>
      <c r="L154" s="288">
        <v>0</v>
      </c>
      <c r="M154" s="291"/>
      <c r="N154" s="164"/>
      <c r="O154" s="164"/>
      <c r="P154" s="164"/>
      <c r="Q154" s="175">
        <f t="shared" si="15"/>
        <v>0</v>
      </c>
      <c r="R154" s="164"/>
      <c r="S154" s="197">
        <f t="shared" si="16"/>
        <v>0</v>
      </c>
      <c r="T154" s="201" t="str" cm="1">
        <f t="array" ref="T154">IFERROR(IF(F154="甲",IF(K154&gt;3500000,VLOOKUP(3500000,源泉DB!$B$261:$L$261,L154+3)+ROUNDDOWN((K154-3500000)*45.945%,0),IF(AND(K154&gt;2250000,K154&lt;3500000),VLOOKUP(2250000,源泉DB!$B$260:$K$260,L154+3)+ROUNDDOWN((K154-2250000)*40.84%,0),IF(AND(K154&gt;2210000,K154&lt;2250000),VLOOKUP(2210000,源泉DB!$B$259:$K$259,L154+3)+ROUNDDOWN((K154-2210000)*40.84%,0),IF(AND(K154&gt;2170000,K154&lt;2210000),VLOOKUP(2170000,源泉DB!$B$258:$K$258,L154+3)+ROUNDDOWN((K154-2170000)*40.84%,0),IF(AND(K154&gt;1700000,K154&lt;2170000),VLOOKUP(1700000,源泉DB!$B$257:$K$257,L154+3)+ROUNDDOWN((K154-1700000)*40.84%,0),IF(AND(K154&gt;950000,K154&lt;1700000),VLOOKUP(950000,源泉DB!$B$256:$K$256,L154+3)+ROUNDDOWN((K154-950000)*33.693%,0),IF(AND(K154&gt;780000,K154&lt;950000),VLOOKUP(780000,源泉DB!$B$255:$K$255,L154+3)+ROUNDDOWN((K154-780000)*23.483%,0),IF(AND(K154&gt;740000,K154&lt;780000),VLOOKUP(740000,源泉DB!$B$254:$K$254,L154+3)+ROUNDDOWN((K154-740000)*20.42%,0),VLOOKUP(K154,源泉DB!$B$8:$K$299,L154+3))))))))),IF(F154="乙",IF(K154&gt;1700000,651900+(K154-1700000) *45.945%,IF(K154=1700000,651900,IF(AND(K154&gt;740000,K154&lt;1700000),259800+(K154-740000)*40.84%,IF(K154=740000,259800,IF(K154&lt;88000,ROUNDDOWN(K154*3.063%,9),VLOOKUP(K154,源泉DB!$B$8:$L$254,11)))))),"")),"")</f>
        <v/>
      </c>
      <c r="U154" s="165"/>
      <c r="V154" s="166"/>
      <c r="W154" s="166"/>
      <c r="X154" s="166"/>
      <c r="Y154" s="166"/>
      <c r="Z154" s="178">
        <f>ROUND(IFERROR(IF(($G154="加入"),VLOOKUP($I154,年金DB!$G$16:$P$65,6,TRUE),0),0)-0.1,0)</f>
        <v>0</v>
      </c>
      <c r="AA154" s="178">
        <f>ROUND(IFERROR(IF(AND($G154="加入",$D154&gt;=40,$D154&lt;=64),VLOOKUP($I154,年金DB!$G$16:$P$65,10,TRUE),0),0)-0.1,0)</f>
        <v>0</v>
      </c>
      <c r="AB154" s="178">
        <f>ROUND(IFERROR(IF(AND($G154="加入",$D154&lt;40),VLOOKUP($J154,年金DB!$G$16:$X$62,14,TRUE),IF(AND($G154="加入",$D154&gt;=40),VLOOKUP($J154,年金DB!$G$16:$X$62,14,TRUE),"0")),0)-0.1,0)</f>
        <v>0</v>
      </c>
      <c r="AC154" s="178">
        <f t="shared" si="17"/>
        <v>0</v>
      </c>
      <c r="AD154" s="21">
        <f t="shared" si="18"/>
        <v>0</v>
      </c>
      <c r="AE154" s="173">
        <f t="shared" si="19"/>
        <v>0</v>
      </c>
      <c r="AF154" s="14" t="str">
        <f t="shared" si="20"/>
        <v/>
      </c>
      <c r="AG154" s="14"/>
      <c r="AH154" s="14"/>
    </row>
    <row r="155" spans="1:34">
      <c r="A155" s="28"/>
      <c r="B155" s="180"/>
      <c r="C155" s="188"/>
      <c r="D155" s="161"/>
      <c r="E155" s="162"/>
      <c r="F155" s="162"/>
      <c r="G155" s="163"/>
      <c r="H155" s="285"/>
      <c r="I155" s="282"/>
      <c r="J155" s="16"/>
      <c r="K155" s="18">
        <f t="shared" si="14"/>
        <v>0</v>
      </c>
      <c r="L155" s="288">
        <v>0</v>
      </c>
      <c r="M155" s="291"/>
      <c r="N155" s="164"/>
      <c r="O155" s="164"/>
      <c r="P155" s="164"/>
      <c r="Q155" s="175">
        <f t="shared" si="15"/>
        <v>0</v>
      </c>
      <c r="R155" s="164"/>
      <c r="S155" s="197">
        <f t="shared" si="16"/>
        <v>0</v>
      </c>
      <c r="T155" s="201" t="str" cm="1">
        <f t="array" ref="T155">IFERROR(IF(F155="甲",IF(K155&gt;3500000,VLOOKUP(3500000,源泉DB!$B$261:$L$261,L155+3)+ROUNDDOWN((K155-3500000)*45.945%,0),IF(AND(K155&gt;2250000,K155&lt;3500000),VLOOKUP(2250000,源泉DB!$B$260:$K$260,L155+3)+ROUNDDOWN((K155-2250000)*40.84%,0),IF(AND(K155&gt;2210000,K155&lt;2250000),VLOOKUP(2210000,源泉DB!$B$259:$K$259,L155+3)+ROUNDDOWN((K155-2210000)*40.84%,0),IF(AND(K155&gt;2170000,K155&lt;2210000),VLOOKUP(2170000,源泉DB!$B$258:$K$258,L155+3)+ROUNDDOWN((K155-2170000)*40.84%,0),IF(AND(K155&gt;1700000,K155&lt;2170000),VLOOKUP(1700000,源泉DB!$B$257:$K$257,L155+3)+ROUNDDOWN((K155-1700000)*40.84%,0),IF(AND(K155&gt;950000,K155&lt;1700000),VLOOKUP(950000,源泉DB!$B$256:$K$256,L155+3)+ROUNDDOWN((K155-950000)*33.693%,0),IF(AND(K155&gt;780000,K155&lt;950000),VLOOKUP(780000,源泉DB!$B$255:$K$255,L155+3)+ROUNDDOWN((K155-780000)*23.483%,0),IF(AND(K155&gt;740000,K155&lt;780000),VLOOKUP(740000,源泉DB!$B$254:$K$254,L155+3)+ROUNDDOWN((K155-740000)*20.42%,0),VLOOKUP(K155,源泉DB!$B$8:$K$299,L155+3))))))))),IF(F155="乙",IF(K155&gt;1700000,651900+(K155-1700000) *45.945%,IF(K155=1700000,651900,IF(AND(K155&gt;740000,K155&lt;1700000),259800+(K155-740000)*40.84%,IF(K155=740000,259800,IF(K155&lt;88000,ROUNDDOWN(K155*3.063%,9),VLOOKUP(K155,源泉DB!$B$8:$L$254,11)))))),"")),"")</f>
        <v/>
      </c>
      <c r="U155" s="165"/>
      <c r="V155" s="166"/>
      <c r="W155" s="166"/>
      <c r="X155" s="166"/>
      <c r="Y155" s="166"/>
      <c r="Z155" s="178">
        <f>ROUND(IFERROR(IF(($G155="加入"),VLOOKUP($I155,年金DB!$G$16:$P$65,6,TRUE),0),0)-0.1,0)</f>
        <v>0</v>
      </c>
      <c r="AA155" s="178">
        <f>ROUND(IFERROR(IF(AND($G155="加入",$D155&gt;=40,$D155&lt;=64),VLOOKUP($I155,年金DB!$G$16:$P$65,10,TRUE),0),0)-0.1,0)</f>
        <v>0</v>
      </c>
      <c r="AB155" s="178">
        <f>ROUND(IFERROR(IF(AND($G155="加入",$D155&lt;40),VLOOKUP($J155,年金DB!$G$16:$X$62,14,TRUE),IF(AND($G155="加入",$D155&gt;=40),VLOOKUP($J155,年金DB!$G$16:$X$62,14,TRUE),"0")),0)-0.1,0)</f>
        <v>0</v>
      </c>
      <c r="AC155" s="178">
        <f t="shared" si="17"/>
        <v>0</v>
      </c>
      <c r="AD155" s="21">
        <f t="shared" si="18"/>
        <v>0</v>
      </c>
      <c r="AE155" s="173">
        <f t="shared" si="19"/>
        <v>0</v>
      </c>
      <c r="AF155" s="14" t="str">
        <f t="shared" si="20"/>
        <v/>
      </c>
      <c r="AG155" s="14"/>
      <c r="AH155" s="14"/>
    </row>
    <row r="156" spans="1:34">
      <c r="A156" s="28"/>
      <c r="B156" s="180"/>
      <c r="C156" s="188"/>
      <c r="D156" s="161"/>
      <c r="E156" s="162"/>
      <c r="F156" s="162"/>
      <c r="G156" s="163"/>
      <c r="H156" s="285"/>
      <c r="I156" s="282"/>
      <c r="J156" s="16"/>
      <c r="K156" s="18">
        <f t="shared" si="14"/>
        <v>0</v>
      </c>
      <c r="L156" s="288">
        <v>0</v>
      </c>
      <c r="M156" s="291"/>
      <c r="N156" s="164"/>
      <c r="O156" s="164"/>
      <c r="P156" s="164"/>
      <c r="Q156" s="175">
        <f t="shared" si="15"/>
        <v>0</v>
      </c>
      <c r="R156" s="164"/>
      <c r="S156" s="197">
        <f t="shared" si="16"/>
        <v>0</v>
      </c>
      <c r="T156" s="201" t="str" cm="1">
        <f t="array" ref="T156">IFERROR(IF(F156="甲",IF(K156&gt;3500000,VLOOKUP(3500000,源泉DB!$B$261:$L$261,L156+3)+ROUNDDOWN((K156-3500000)*45.945%,0),IF(AND(K156&gt;2250000,K156&lt;3500000),VLOOKUP(2250000,源泉DB!$B$260:$K$260,L156+3)+ROUNDDOWN((K156-2250000)*40.84%,0),IF(AND(K156&gt;2210000,K156&lt;2250000),VLOOKUP(2210000,源泉DB!$B$259:$K$259,L156+3)+ROUNDDOWN((K156-2210000)*40.84%,0),IF(AND(K156&gt;2170000,K156&lt;2210000),VLOOKUP(2170000,源泉DB!$B$258:$K$258,L156+3)+ROUNDDOWN((K156-2170000)*40.84%,0),IF(AND(K156&gt;1700000,K156&lt;2170000),VLOOKUP(1700000,源泉DB!$B$257:$K$257,L156+3)+ROUNDDOWN((K156-1700000)*40.84%,0),IF(AND(K156&gt;950000,K156&lt;1700000),VLOOKUP(950000,源泉DB!$B$256:$K$256,L156+3)+ROUNDDOWN((K156-950000)*33.693%,0),IF(AND(K156&gt;780000,K156&lt;950000),VLOOKUP(780000,源泉DB!$B$255:$K$255,L156+3)+ROUNDDOWN((K156-780000)*23.483%,0),IF(AND(K156&gt;740000,K156&lt;780000),VLOOKUP(740000,源泉DB!$B$254:$K$254,L156+3)+ROUNDDOWN((K156-740000)*20.42%,0),VLOOKUP(K156,源泉DB!$B$8:$K$299,L156+3))))))))),IF(F156="乙",IF(K156&gt;1700000,651900+(K156-1700000) *45.945%,IF(K156=1700000,651900,IF(AND(K156&gt;740000,K156&lt;1700000),259800+(K156-740000)*40.84%,IF(K156=740000,259800,IF(K156&lt;88000,ROUNDDOWN(K156*3.063%,9),VLOOKUP(K156,源泉DB!$B$8:$L$254,11)))))),"")),"")</f>
        <v/>
      </c>
      <c r="U156" s="165"/>
      <c r="V156" s="166"/>
      <c r="W156" s="166"/>
      <c r="X156" s="166"/>
      <c r="Y156" s="166"/>
      <c r="Z156" s="178">
        <f>ROUND(IFERROR(IF(($G156="加入"),VLOOKUP($I156,年金DB!$G$16:$P$65,6,TRUE),0),0)-0.1,0)</f>
        <v>0</v>
      </c>
      <c r="AA156" s="178">
        <f>ROUND(IFERROR(IF(AND($G156="加入",$D156&gt;=40,$D156&lt;=64),VLOOKUP($I156,年金DB!$G$16:$P$65,10,TRUE),0),0)-0.1,0)</f>
        <v>0</v>
      </c>
      <c r="AB156" s="178">
        <f>ROUND(IFERROR(IF(AND($G156="加入",$D156&lt;40),VLOOKUP($J156,年金DB!$G$16:$X$62,14,TRUE),IF(AND($G156="加入",$D156&gt;=40),VLOOKUP($J156,年金DB!$G$16:$X$62,14,TRUE),"0")),0)-0.1,0)</f>
        <v>0</v>
      </c>
      <c r="AC156" s="178">
        <f t="shared" si="17"/>
        <v>0</v>
      </c>
      <c r="AD156" s="21">
        <f t="shared" si="18"/>
        <v>0</v>
      </c>
      <c r="AE156" s="173">
        <f t="shared" si="19"/>
        <v>0</v>
      </c>
      <c r="AF156" s="14" t="str">
        <f t="shared" si="20"/>
        <v/>
      </c>
      <c r="AG156" s="14"/>
      <c r="AH156" s="14"/>
    </row>
    <row r="157" spans="1:34">
      <c r="A157" s="28"/>
      <c r="B157" s="180"/>
      <c r="C157" s="188"/>
      <c r="D157" s="161"/>
      <c r="E157" s="162"/>
      <c r="F157" s="162"/>
      <c r="G157" s="163"/>
      <c r="H157" s="285"/>
      <c r="I157" s="282"/>
      <c r="J157" s="16"/>
      <c r="K157" s="18">
        <f t="shared" si="14"/>
        <v>0</v>
      </c>
      <c r="L157" s="288">
        <v>0</v>
      </c>
      <c r="M157" s="291"/>
      <c r="N157" s="164"/>
      <c r="O157" s="164"/>
      <c r="P157" s="164"/>
      <c r="Q157" s="175">
        <f t="shared" si="15"/>
        <v>0</v>
      </c>
      <c r="R157" s="164"/>
      <c r="S157" s="197">
        <f t="shared" si="16"/>
        <v>0</v>
      </c>
      <c r="T157" s="201" t="str" cm="1">
        <f t="array" ref="T157">IFERROR(IF(F157="甲",IF(K157&gt;3500000,VLOOKUP(3500000,源泉DB!$B$261:$L$261,L157+3)+ROUNDDOWN((K157-3500000)*45.945%,0),IF(AND(K157&gt;2250000,K157&lt;3500000),VLOOKUP(2250000,源泉DB!$B$260:$K$260,L157+3)+ROUNDDOWN((K157-2250000)*40.84%,0),IF(AND(K157&gt;2210000,K157&lt;2250000),VLOOKUP(2210000,源泉DB!$B$259:$K$259,L157+3)+ROUNDDOWN((K157-2210000)*40.84%,0),IF(AND(K157&gt;2170000,K157&lt;2210000),VLOOKUP(2170000,源泉DB!$B$258:$K$258,L157+3)+ROUNDDOWN((K157-2170000)*40.84%,0),IF(AND(K157&gt;1700000,K157&lt;2170000),VLOOKUP(1700000,源泉DB!$B$257:$K$257,L157+3)+ROUNDDOWN((K157-1700000)*40.84%,0),IF(AND(K157&gt;950000,K157&lt;1700000),VLOOKUP(950000,源泉DB!$B$256:$K$256,L157+3)+ROUNDDOWN((K157-950000)*33.693%,0),IF(AND(K157&gt;780000,K157&lt;950000),VLOOKUP(780000,源泉DB!$B$255:$K$255,L157+3)+ROUNDDOWN((K157-780000)*23.483%,0),IF(AND(K157&gt;740000,K157&lt;780000),VLOOKUP(740000,源泉DB!$B$254:$K$254,L157+3)+ROUNDDOWN((K157-740000)*20.42%,0),VLOOKUP(K157,源泉DB!$B$8:$K$299,L157+3))))))))),IF(F157="乙",IF(K157&gt;1700000,651900+(K157-1700000) *45.945%,IF(K157=1700000,651900,IF(AND(K157&gt;740000,K157&lt;1700000),259800+(K157-740000)*40.84%,IF(K157=740000,259800,IF(K157&lt;88000,ROUNDDOWN(K157*3.063%,9),VLOOKUP(K157,源泉DB!$B$8:$L$254,11)))))),"")),"")</f>
        <v/>
      </c>
      <c r="U157" s="165"/>
      <c r="V157" s="166"/>
      <c r="W157" s="166"/>
      <c r="X157" s="166"/>
      <c r="Y157" s="166"/>
      <c r="Z157" s="178">
        <f>ROUND(IFERROR(IF(($G157="加入"),VLOOKUP($I157,年金DB!$G$16:$P$65,6,TRUE),0),0)-0.1,0)</f>
        <v>0</v>
      </c>
      <c r="AA157" s="178">
        <f>ROUND(IFERROR(IF(AND($G157="加入",$D157&gt;=40,$D157&lt;=64),VLOOKUP($I157,年金DB!$G$16:$P$65,10,TRUE),0),0)-0.1,0)</f>
        <v>0</v>
      </c>
      <c r="AB157" s="178">
        <f>ROUND(IFERROR(IF(AND($G157="加入",$D157&lt;40),VLOOKUP($J157,年金DB!$G$16:$X$62,14,TRUE),IF(AND($G157="加入",$D157&gt;=40),VLOOKUP($J157,年金DB!$G$16:$X$62,14,TRUE),"0")),0)-0.1,0)</f>
        <v>0</v>
      </c>
      <c r="AC157" s="178">
        <f t="shared" si="17"/>
        <v>0</v>
      </c>
      <c r="AD157" s="21">
        <f t="shared" si="18"/>
        <v>0</v>
      </c>
      <c r="AE157" s="173">
        <f t="shared" si="19"/>
        <v>0</v>
      </c>
      <c r="AF157" s="14" t="str">
        <f t="shared" si="20"/>
        <v/>
      </c>
      <c r="AG157" s="14"/>
      <c r="AH157" s="14"/>
    </row>
    <row r="158" spans="1:34">
      <c r="A158" s="28"/>
      <c r="B158" s="180"/>
      <c r="C158" s="188"/>
      <c r="D158" s="161"/>
      <c r="E158" s="162"/>
      <c r="F158" s="162"/>
      <c r="G158" s="163"/>
      <c r="H158" s="285"/>
      <c r="I158" s="282"/>
      <c r="J158" s="16"/>
      <c r="K158" s="18">
        <f t="shared" si="14"/>
        <v>0</v>
      </c>
      <c r="L158" s="288">
        <v>0</v>
      </c>
      <c r="M158" s="291"/>
      <c r="N158" s="164"/>
      <c r="O158" s="164"/>
      <c r="P158" s="164"/>
      <c r="Q158" s="175">
        <f t="shared" si="15"/>
        <v>0</v>
      </c>
      <c r="R158" s="164"/>
      <c r="S158" s="197">
        <f t="shared" si="16"/>
        <v>0</v>
      </c>
      <c r="T158" s="201" t="str" cm="1">
        <f t="array" ref="T158">IFERROR(IF(F158="甲",IF(K158&gt;3500000,VLOOKUP(3500000,源泉DB!$B$261:$L$261,L158+3)+ROUNDDOWN((K158-3500000)*45.945%,0),IF(AND(K158&gt;2250000,K158&lt;3500000),VLOOKUP(2250000,源泉DB!$B$260:$K$260,L158+3)+ROUNDDOWN((K158-2250000)*40.84%,0),IF(AND(K158&gt;2210000,K158&lt;2250000),VLOOKUP(2210000,源泉DB!$B$259:$K$259,L158+3)+ROUNDDOWN((K158-2210000)*40.84%,0),IF(AND(K158&gt;2170000,K158&lt;2210000),VLOOKUP(2170000,源泉DB!$B$258:$K$258,L158+3)+ROUNDDOWN((K158-2170000)*40.84%,0),IF(AND(K158&gt;1700000,K158&lt;2170000),VLOOKUP(1700000,源泉DB!$B$257:$K$257,L158+3)+ROUNDDOWN((K158-1700000)*40.84%,0),IF(AND(K158&gt;950000,K158&lt;1700000),VLOOKUP(950000,源泉DB!$B$256:$K$256,L158+3)+ROUNDDOWN((K158-950000)*33.693%,0),IF(AND(K158&gt;780000,K158&lt;950000),VLOOKUP(780000,源泉DB!$B$255:$K$255,L158+3)+ROUNDDOWN((K158-780000)*23.483%,0),IF(AND(K158&gt;740000,K158&lt;780000),VLOOKUP(740000,源泉DB!$B$254:$K$254,L158+3)+ROUNDDOWN((K158-740000)*20.42%,0),VLOOKUP(K158,源泉DB!$B$8:$K$299,L158+3))))))))),IF(F158="乙",IF(K158&gt;1700000,651900+(K158-1700000) *45.945%,IF(K158=1700000,651900,IF(AND(K158&gt;740000,K158&lt;1700000),259800+(K158-740000)*40.84%,IF(K158=740000,259800,IF(K158&lt;88000,ROUNDDOWN(K158*3.063%,9),VLOOKUP(K158,源泉DB!$B$8:$L$254,11)))))),"")),"")</f>
        <v/>
      </c>
      <c r="U158" s="165"/>
      <c r="V158" s="166"/>
      <c r="W158" s="166"/>
      <c r="X158" s="166"/>
      <c r="Y158" s="166"/>
      <c r="Z158" s="178">
        <f>ROUND(IFERROR(IF(($G158="加入"),VLOOKUP($I158,年金DB!$G$16:$P$65,6,TRUE),0),0)-0.1,0)</f>
        <v>0</v>
      </c>
      <c r="AA158" s="178">
        <f>ROUND(IFERROR(IF(AND($G158="加入",$D158&gt;=40,$D158&lt;=64),VLOOKUP($I158,年金DB!$G$16:$P$65,10,TRUE),0),0)-0.1,0)</f>
        <v>0</v>
      </c>
      <c r="AB158" s="178">
        <f>ROUND(IFERROR(IF(AND($G158="加入",$D158&lt;40),VLOOKUP($J158,年金DB!$G$16:$X$62,14,TRUE),IF(AND($G158="加入",$D158&gt;=40),VLOOKUP($J158,年金DB!$G$16:$X$62,14,TRUE),"0")),0)-0.1,0)</f>
        <v>0</v>
      </c>
      <c r="AC158" s="178">
        <f t="shared" si="17"/>
        <v>0</v>
      </c>
      <c r="AD158" s="21">
        <f t="shared" si="18"/>
        <v>0</v>
      </c>
      <c r="AE158" s="173">
        <f t="shared" si="19"/>
        <v>0</v>
      </c>
      <c r="AF158" s="14" t="str">
        <f t="shared" si="20"/>
        <v/>
      </c>
      <c r="AG158" s="14"/>
      <c r="AH158" s="14"/>
    </row>
    <row r="159" spans="1:34">
      <c r="A159" s="28"/>
      <c r="B159" s="180"/>
      <c r="C159" s="188"/>
      <c r="D159" s="161"/>
      <c r="E159" s="162"/>
      <c r="F159" s="162"/>
      <c r="G159" s="163"/>
      <c r="H159" s="285"/>
      <c r="I159" s="282"/>
      <c r="J159" s="16"/>
      <c r="K159" s="18">
        <f t="shared" si="14"/>
        <v>0</v>
      </c>
      <c r="L159" s="288">
        <v>0</v>
      </c>
      <c r="M159" s="291"/>
      <c r="N159" s="164"/>
      <c r="O159" s="164"/>
      <c r="P159" s="164"/>
      <c r="Q159" s="175">
        <f t="shared" si="15"/>
        <v>0</v>
      </c>
      <c r="R159" s="164"/>
      <c r="S159" s="197">
        <f t="shared" si="16"/>
        <v>0</v>
      </c>
      <c r="T159" s="201" t="str" cm="1">
        <f t="array" ref="T159">IFERROR(IF(F159="甲",IF(K159&gt;3500000,VLOOKUP(3500000,源泉DB!$B$261:$L$261,L159+3)+ROUNDDOWN((K159-3500000)*45.945%,0),IF(AND(K159&gt;2250000,K159&lt;3500000),VLOOKUP(2250000,源泉DB!$B$260:$K$260,L159+3)+ROUNDDOWN((K159-2250000)*40.84%,0),IF(AND(K159&gt;2210000,K159&lt;2250000),VLOOKUP(2210000,源泉DB!$B$259:$K$259,L159+3)+ROUNDDOWN((K159-2210000)*40.84%,0),IF(AND(K159&gt;2170000,K159&lt;2210000),VLOOKUP(2170000,源泉DB!$B$258:$K$258,L159+3)+ROUNDDOWN((K159-2170000)*40.84%,0),IF(AND(K159&gt;1700000,K159&lt;2170000),VLOOKUP(1700000,源泉DB!$B$257:$K$257,L159+3)+ROUNDDOWN((K159-1700000)*40.84%,0),IF(AND(K159&gt;950000,K159&lt;1700000),VLOOKUP(950000,源泉DB!$B$256:$K$256,L159+3)+ROUNDDOWN((K159-950000)*33.693%,0),IF(AND(K159&gt;780000,K159&lt;950000),VLOOKUP(780000,源泉DB!$B$255:$K$255,L159+3)+ROUNDDOWN((K159-780000)*23.483%,0),IF(AND(K159&gt;740000,K159&lt;780000),VLOOKUP(740000,源泉DB!$B$254:$K$254,L159+3)+ROUNDDOWN((K159-740000)*20.42%,0),VLOOKUP(K159,源泉DB!$B$8:$K$299,L159+3))))))))),IF(F159="乙",IF(K159&gt;1700000,651900+(K159-1700000) *45.945%,IF(K159=1700000,651900,IF(AND(K159&gt;740000,K159&lt;1700000),259800+(K159-740000)*40.84%,IF(K159=740000,259800,IF(K159&lt;88000,ROUNDDOWN(K159*3.063%,9),VLOOKUP(K159,源泉DB!$B$8:$L$254,11)))))),"")),"")</f>
        <v/>
      </c>
      <c r="U159" s="165"/>
      <c r="V159" s="166"/>
      <c r="W159" s="166"/>
      <c r="X159" s="166"/>
      <c r="Y159" s="166"/>
      <c r="Z159" s="178">
        <f>ROUND(IFERROR(IF(($G159="加入"),VLOOKUP($I159,年金DB!$G$16:$P$65,6,TRUE),0),0)-0.1,0)</f>
        <v>0</v>
      </c>
      <c r="AA159" s="178">
        <f>ROUND(IFERROR(IF(AND($G159="加入",$D159&gt;=40,$D159&lt;=64),VLOOKUP($I159,年金DB!$G$16:$P$65,10,TRUE),0),0)-0.1,0)</f>
        <v>0</v>
      </c>
      <c r="AB159" s="178">
        <f>ROUND(IFERROR(IF(AND($G159="加入",$D159&lt;40),VLOOKUP($J159,年金DB!$G$16:$X$62,14,TRUE),IF(AND($G159="加入",$D159&gt;=40),VLOOKUP($J159,年金DB!$G$16:$X$62,14,TRUE),"0")),0)-0.1,0)</f>
        <v>0</v>
      </c>
      <c r="AC159" s="178">
        <f t="shared" si="17"/>
        <v>0</v>
      </c>
      <c r="AD159" s="21">
        <f t="shared" si="18"/>
        <v>0</v>
      </c>
      <c r="AE159" s="173">
        <f t="shared" si="19"/>
        <v>0</v>
      </c>
      <c r="AF159" s="14" t="str">
        <f t="shared" si="20"/>
        <v/>
      </c>
      <c r="AG159" s="14"/>
      <c r="AH159" s="14"/>
    </row>
    <row r="160" spans="1:34">
      <c r="A160" s="28"/>
      <c r="B160" s="180"/>
      <c r="C160" s="188"/>
      <c r="D160" s="161"/>
      <c r="E160" s="162"/>
      <c r="F160" s="162"/>
      <c r="G160" s="163"/>
      <c r="H160" s="285"/>
      <c r="I160" s="282"/>
      <c r="J160" s="16"/>
      <c r="K160" s="18">
        <f t="shared" si="14"/>
        <v>0</v>
      </c>
      <c r="L160" s="288">
        <v>0</v>
      </c>
      <c r="M160" s="291"/>
      <c r="N160" s="164"/>
      <c r="O160" s="164"/>
      <c r="P160" s="164"/>
      <c r="Q160" s="175">
        <f t="shared" si="15"/>
        <v>0</v>
      </c>
      <c r="R160" s="164"/>
      <c r="S160" s="197">
        <f t="shared" si="16"/>
        <v>0</v>
      </c>
      <c r="T160" s="201" t="str" cm="1">
        <f t="array" ref="T160">IFERROR(IF(F160="甲",IF(K160&gt;3500000,VLOOKUP(3500000,源泉DB!$B$261:$L$261,L160+3)+ROUNDDOWN((K160-3500000)*45.945%,0),IF(AND(K160&gt;2250000,K160&lt;3500000),VLOOKUP(2250000,源泉DB!$B$260:$K$260,L160+3)+ROUNDDOWN((K160-2250000)*40.84%,0),IF(AND(K160&gt;2210000,K160&lt;2250000),VLOOKUP(2210000,源泉DB!$B$259:$K$259,L160+3)+ROUNDDOWN((K160-2210000)*40.84%,0),IF(AND(K160&gt;2170000,K160&lt;2210000),VLOOKUP(2170000,源泉DB!$B$258:$K$258,L160+3)+ROUNDDOWN((K160-2170000)*40.84%,0),IF(AND(K160&gt;1700000,K160&lt;2170000),VLOOKUP(1700000,源泉DB!$B$257:$K$257,L160+3)+ROUNDDOWN((K160-1700000)*40.84%,0),IF(AND(K160&gt;950000,K160&lt;1700000),VLOOKUP(950000,源泉DB!$B$256:$K$256,L160+3)+ROUNDDOWN((K160-950000)*33.693%,0),IF(AND(K160&gt;780000,K160&lt;950000),VLOOKUP(780000,源泉DB!$B$255:$K$255,L160+3)+ROUNDDOWN((K160-780000)*23.483%,0),IF(AND(K160&gt;740000,K160&lt;780000),VLOOKUP(740000,源泉DB!$B$254:$K$254,L160+3)+ROUNDDOWN((K160-740000)*20.42%,0),VLOOKUP(K160,源泉DB!$B$8:$K$299,L160+3))))))))),IF(F160="乙",IF(K160&gt;1700000,651900+(K160-1700000) *45.945%,IF(K160=1700000,651900,IF(AND(K160&gt;740000,K160&lt;1700000),259800+(K160-740000)*40.84%,IF(K160=740000,259800,IF(K160&lt;88000,ROUNDDOWN(K160*3.063%,9),VLOOKUP(K160,源泉DB!$B$8:$L$254,11)))))),"")),"")</f>
        <v/>
      </c>
      <c r="U160" s="165"/>
      <c r="V160" s="166"/>
      <c r="W160" s="166"/>
      <c r="X160" s="166"/>
      <c r="Y160" s="166"/>
      <c r="Z160" s="178">
        <f>ROUND(IFERROR(IF(($G160="加入"),VLOOKUP($I160,年金DB!$G$16:$P$65,6,TRUE),0),0)-0.1,0)</f>
        <v>0</v>
      </c>
      <c r="AA160" s="178">
        <f>ROUND(IFERROR(IF(AND($G160="加入",$D160&gt;=40,$D160&lt;=64),VLOOKUP($I160,年金DB!$G$16:$P$65,10,TRUE),0),0)-0.1,0)</f>
        <v>0</v>
      </c>
      <c r="AB160" s="178">
        <f>ROUND(IFERROR(IF(AND($G160="加入",$D160&lt;40),VLOOKUP($J160,年金DB!$G$16:$X$62,14,TRUE),IF(AND($G160="加入",$D160&gt;=40),VLOOKUP($J160,年金DB!$G$16:$X$62,14,TRUE),"0")),0)-0.1,0)</f>
        <v>0</v>
      </c>
      <c r="AC160" s="178">
        <f t="shared" si="17"/>
        <v>0</v>
      </c>
      <c r="AD160" s="21">
        <f t="shared" si="18"/>
        <v>0</v>
      </c>
      <c r="AE160" s="173">
        <f t="shared" si="19"/>
        <v>0</v>
      </c>
      <c r="AF160" s="14" t="str">
        <f t="shared" si="20"/>
        <v/>
      </c>
      <c r="AG160" s="14"/>
      <c r="AH160" s="14"/>
    </row>
    <row r="161" spans="1:34">
      <c r="A161" s="28"/>
      <c r="B161" s="180"/>
      <c r="C161" s="188"/>
      <c r="D161" s="161"/>
      <c r="E161" s="162"/>
      <c r="F161" s="162"/>
      <c r="G161" s="163"/>
      <c r="H161" s="285"/>
      <c r="I161" s="282"/>
      <c r="J161" s="16"/>
      <c r="K161" s="18">
        <f t="shared" si="14"/>
        <v>0</v>
      </c>
      <c r="L161" s="288">
        <v>0</v>
      </c>
      <c r="M161" s="291"/>
      <c r="N161" s="164"/>
      <c r="O161" s="164"/>
      <c r="P161" s="164"/>
      <c r="Q161" s="175">
        <f t="shared" si="15"/>
        <v>0</v>
      </c>
      <c r="R161" s="164"/>
      <c r="S161" s="197">
        <f t="shared" si="16"/>
        <v>0</v>
      </c>
      <c r="T161" s="201" t="str" cm="1">
        <f t="array" ref="T161">IFERROR(IF(F161="甲",IF(K161&gt;3500000,VLOOKUP(3500000,源泉DB!$B$261:$L$261,L161+3)+ROUNDDOWN((K161-3500000)*45.945%,0),IF(AND(K161&gt;2250000,K161&lt;3500000),VLOOKUP(2250000,源泉DB!$B$260:$K$260,L161+3)+ROUNDDOWN((K161-2250000)*40.84%,0),IF(AND(K161&gt;2210000,K161&lt;2250000),VLOOKUP(2210000,源泉DB!$B$259:$K$259,L161+3)+ROUNDDOWN((K161-2210000)*40.84%,0),IF(AND(K161&gt;2170000,K161&lt;2210000),VLOOKUP(2170000,源泉DB!$B$258:$K$258,L161+3)+ROUNDDOWN((K161-2170000)*40.84%,0),IF(AND(K161&gt;1700000,K161&lt;2170000),VLOOKUP(1700000,源泉DB!$B$257:$K$257,L161+3)+ROUNDDOWN((K161-1700000)*40.84%,0),IF(AND(K161&gt;950000,K161&lt;1700000),VLOOKUP(950000,源泉DB!$B$256:$K$256,L161+3)+ROUNDDOWN((K161-950000)*33.693%,0),IF(AND(K161&gt;780000,K161&lt;950000),VLOOKUP(780000,源泉DB!$B$255:$K$255,L161+3)+ROUNDDOWN((K161-780000)*23.483%,0),IF(AND(K161&gt;740000,K161&lt;780000),VLOOKUP(740000,源泉DB!$B$254:$K$254,L161+3)+ROUNDDOWN((K161-740000)*20.42%,0),VLOOKUP(K161,源泉DB!$B$8:$K$299,L161+3))))))))),IF(F161="乙",IF(K161&gt;1700000,651900+(K161-1700000) *45.945%,IF(K161=1700000,651900,IF(AND(K161&gt;740000,K161&lt;1700000),259800+(K161-740000)*40.84%,IF(K161=740000,259800,IF(K161&lt;88000,ROUNDDOWN(K161*3.063%,9),VLOOKUP(K161,源泉DB!$B$8:$L$254,11)))))),"")),"")</f>
        <v/>
      </c>
      <c r="U161" s="165"/>
      <c r="V161" s="166"/>
      <c r="W161" s="166"/>
      <c r="X161" s="166"/>
      <c r="Y161" s="166"/>
      <c r="Z161" s="178">
        <f>ROUND(IFERROR(IF(($G161="加入"),VLOOKUP($I161,年金DB!$G$16:$P$65,6,TRUE),0),0)-0.1,0)</f>
        <v>0</v>
      </c>
      <c r="AA161" s="178">
        <f>ROUND(IFERROR(IF(AND($G161="加入",$D161&gt;=40,$D161&lt;=64),VLOOKUP($I161,年金DB!$G$16:$P$65,10,TRUE),0),0)-0.1,0)</f>
        <v>0</v>
      </c>
      <c r="AB161" s="178">
        <f>ROUND(IFERROR(IF(AND($G161="加入",$D161&lt;40),VLOOKUP($J161,年金DB!$G$16:$X$62,14,TRUE),IF(AND($G161="加入",$D161&gt;=40),VLOOKUP($J161,年金DB!$G$16:$X$62,14,TRUE),"0")),0)-0.1,0)</f>
        <v>0</v>
      </c>
      <c r="AC161" s="178">
        <f t="shared" si="17"/>
        <v>0</v>
      </c>
      <c r="AD161" s="21">
        <f t="shared" si="18"/>
        <v>0</v>
      </c>
      <c r="AE161" s="173">
        <f t="shared" si="19"/>
        <v>0</v>
      </c>
      <c r="AF161" s="14" t="str">
        <f t="shared" si="20"/>
        <v/>
      </c>
      <c r="AG161" s="14"/>
      <c r="AH161" s="14"/>
    </row>
    <row r="162" spans="1:34">
      <c r="A162" s="28"/>
      <c r="B162" s="180"/>
      <c r="C162" s="188"/>
      <c r="D162" s="161"/>
      <c r="E162" s="162"/>
      <c r="F162" s="162"/>
      <c r="G162" s="163"/>
      <c r="H162" s="285"/>
      <c r="I162" s="282"/>
      <c r="J162" s="16"/>
      <c r="K162" s="18">
        <f t="shared" si="14"/>
        <v>0</v>
      </c>
      <c r="L162" s="288">
        <v>0</v>
      </c>
      <c r="M162" s="291"/>
      <c r="N162" s="164"/>
      <c r="O162" s="164"/>
      <c r="P162" s="164"/>
      <c r="Q162" s="175">
        <f t="shared" si="15"/>
        <v>0</v>
      </c>
      <c r="R162" s="164"/>
      <c r="S162" s="197">
        <f t="shared" si="16"/>
        <v>0</v>
      </c>
      <c r="T162" s="201" t="str" cm="1">
        <f t="array" ref="T162">IFERROR(IF(F162="甲",IF(K162&gt;3500000,VLOOKUP(3500000,源泉DB!$B$261:$L$261,L162+3)+ROUNDDOWN((K162-3500000)*45.945%,0),IF(AND(K162&gt;2250000,K162&lt;3500000),VLOOKUP(2250000,源泉DB!$B$260:$K$260,L162+3)+ROUNDDOWN((K162-2250000)*40.84%,0),IF(AND(K162&gt;2210000,K162&lt;2250000),VLOOKUP(2210000,源泉DB!$B$259:$K$259,L162+3)+ROUNDDOWN((K162-2210000)*40.84%,0),IF(AND(K162&gt;2170000,K162&lt;2210000),VLOOKUP(2170000,源泉DB!$B$258:$K$258,L162+3)+ROUNDDOWN((K162-2170000)*40.84%,0),IF(AND(K162&gt;1700000,K162&lt;2170000),VLOOKUP(1700000,源泉DB!$B$257:$K$257,L162+3)+ROUNDDOWN((K162-1700000)*40.84%,0),IF(AND(K162&gt;950000,K162&lt;1700000),VLOOKUP(950000,源泉DB!$B$256:$K$256,L162+3)+ROUNDDOWN((K162-950000)*33.693%,0),IF(AND(K162&gt;780000,K162&lt;950000),VLOOKUP(780000,源泉DB!$B$255:$K$255,L162+3)+ROUNDDOWN((K162-780000)*23.483%,0),IF(AND(K162&gt;740000,K162&lt;780000),VLOOKUP(740000,源泉DB!$B$254:$K$254,L162+3)+ROUNDDOWN((K162-740000)*20.42%,0),VLOOKUP(K162,源泉DB!$B$8:$K$299,L162+3))))))))),IF(F162="乙",IF(K162&gt;1700000,651900+(K162-1700000) *45.945%,IF(K162=1700000,651900,IF(AND(K162&gt;740000,K162&lt;1700000),259800+(K162-740000)*40.84%,IF(K162=740000,259800,IF(K162&lt;88000,ROUNDDOWN(K162*3.063%,9),VLOOKUP(K162,源泉DB!$B$8:$L$254,11)))))),"")),"")</f>
        <v/>
      </c>
      <c r="U162" s="165"/>
      <c r="V162" s="166"/>
      <c r="W162" s="166"/>
      <c r="X162" s="166"/>
      <c r="Y162" s="166"/>
      <c r="Z162" s="178">
        <f>ROUND(IFERROR(IF(($G162="加入"),VLOOKUP($I162,年金DB!$G$16:$P$65,6,TRUE),0),0)-0.1,0)</f>
        <v>0</v>
      </c>
      <c r="AA162" s="178">
        <f>ROUND(IFERROR(IF(AND($G162="加入",$D162&gt;=40,$D162&lt;=64),VLOOKUP($I162,年金DB!$G$16:$P$65,10,TRUE),0),0)-0.1,0)</f>
        <v>0</v>
      </c>
      <c r="AB162" s="178">
        <f>ROUND(IFERROR(IF(AND($G162="加入",$D162&lt;40),VLOOKUP($J162,年金DB!$G$16:$X$62,14,TRUE),IF(AND($G162="加入",$D162&gt;=40),VLOOKUP($J162,年金DB!$G$16:$X$62,14,TRUE),"0")),0)-0.1,0)</f>
        <v>0</v>
      </c>
      <c r="AC162" s="178">
        <f t="shared" si="17"/>
        <v>0</v>
      </c>
      <c r="AD162" s="21">
        <f t="shared" si="18"/>
        <v>0</v>
      </c>
      <c r="AE162" s="173">
        <f t="shared" si="19"/>
        <v>0</v>
      </c>
      <c r="AF162" s="14" t="str">
        <f t="shared" si="20"/>
        <v/>
      </c>
      <c r="AG162" s="14"/>
      <c r="AH162" s="14"/>
    </row>
    <row r="163" spans="1:34">
      <c r="A163" s="28"/>
      <c r="B163" s="180"/>
      <c r="C163" s="188"/>
      <c r="D163" s="161"/>
      <c r="E163" s="162"/>
      <c r="F163" s="162"/>
      <c r="G163" s="163"/>
      <c r="H163" s="285"/>
      <c r="I163" s="282"/>
      <c r="J163" s="16"/>
      <c r="K163" s="18">
        <f t="shared" si="14"/>
        <v>0</v>
      </c>
      <c r="L163" s="288">
        <v>0</v>
      </c>
      <c r="M163" s="291"/>
      <c r="N163" s="164"/>
      <c r="O163" s="164"/>
      <c r="P163" s="164"/>
      <c r="Q163" s="175">
        <f t="shared" si="15"/>
        <v>0</v>
      </c>
      <c r="R163" s="164"/>
      <c r="S163" s="197">
        <f t="shared" si="16"/>
        <v>0</v>
      </c>
      <c r="T163" s="201" t="str" cm="1">
        <f t="array" ref="T163">IFERROR(IF(F163="甲",IF(K163&gt;3500000,VLOOKUP(3500000,源泉DB!$B$261:$L$261,L163+3)+ROUNDDOWN((K163-3500000)*45.945%,0),IF(AND(K163&gt;2250000,K163&lt;3500000),VLOOKUP(2250000,源泉DB!$B$260:$K$260,L163+3)+ROUNDDOWN((K163-2250000)*40.84%,0),IF(AND(K163&gt;2210000,K163&lt;2250000),VLOOKUP(2210000,源泉DB!$B$259:$K$259,L163+3)+ROUNDDOWN((K163-2210000)*40.84%,0),IF(AND(K163&gt;2170000,K163&lt;2210000),VLOOKUP(2170000,源泉DB!$B$258:$K$258,L163+3)+ROUNDDOWN((K163-2170000)*40.84%,0),IF(AND(K163&gt;1700000,K163&lt;2170000),VLOOKUP(1700000,源泉DB!$B$257:$K$257,L163+3)+ROUNDDOWN((K163-1700000)*40.84%,0),IF(AND(K163&gt;950000,K163&lt;1700000),VLOOKUP(950000,源泉DB!$B$256:$K$256,L163+3)+ROUNDDOWN((K163-950000)*33.693%,0),IF(AND(K163&gt;780000,K163&lt;950000),VLOOKUP(780000,源泉DB!$B$255:$K$255,L163+3)+ROUNDDOWN((K163-780000)*23.483%,0),IF(AND(K163&gt;740000,K163&lt;780000),VLOOKUP(740000,源泉DB!$B$254:$K$254,L163+3)+ROUNDDOWN((K163-740000)*20.42%,0),VLOOKUP(K163,源泉DB!$B$8:$K$299,L163+3))))))))),IF(F163="乙",IF(K163&gt;1700000,651900+(K163-1700000) *45.945%,IF(K163=1700000,651900,IF(AND(K163&gt;740000,K163&lt;1700000),259800+(K163-740000)*40.84%,IF(K163=740000,259800,IF(K163&lt;88000,ROUNDDOWN(K163*3.063%,9),VLOOKUP(K163,源泉DB!$B$8:$L$254,11)))))),"")),"")</f>
        <v/>
      </c>
      <c r="U163" s="165"/>
      <c r="V163" s="166"/>
      <c r="W163" s="166"/>
      <c r="X163" s="166"/>
      <c r="Y163" s="166"/>
      <c r="Z163" s="178">
        <f>ROUND(IFERROR(IF(($G163="加入"),VLOOKUP($I163,年金DB!$G$16:$P$65,6,TRUE),0),0)-0.1,0)</f>
        <v>0</v>
      </c>
      <c r="AA163" s="178">
        <f>ROUND(IFERROR(IF(AND($G163="加入",$D163&gt;=40,$D163&lt;=64),VLOOKUP($I163,年金DB!$G$16:$P$65,10,TRUE),0),0)-0.1,0)</f>
        <v>0</v>
      </c>
      <c r="AB163" s="178">
        <f>ROUND(IFERROR(IF(AND($G163="加入",$D163&lt;40),VLOOKUP($J163,年金DB!$G$16:$X$62,14,TRUE),IF(AND($G163="加入",$D163&gt;=40),VLOOKUP($J163,年金DB!$G$16:$X$62,14,TRUE),"0")),0)-0.1,0)</f>
        <v>0</v>
      </c>
      <c r="AC163" s="178">
        <f t="shared" si="17"/>
        <v>0</v>
      </c>
      <c r="AD163" s="21">
        <f t="shared" si="18"/>
        <v>0</v>
      </c>
      <c r="AE163" s="173">
        <f t="shared" si="19"/>
        <v>0</v>
      </c>
      <c r="AF163" s="14" t="str">
        <f t="shared" si="20"/>
        <v/>
      </c>
      <c r="AG163" s="14"/>
      <c r="AH163" s="14"/>
    </row>
    <row r="164" spans="1:34">
      <c r="A164" s="28"/>
      <c r="B164" s="180"/>
      <c r="C164" s="188"/>
      <c r="D164" s="161"/>
      <c r="E164" s="162"/>
      <c r="F164" s="162"/>
      <c r="G164" s="163"/>
      <c r="H164" s="285"/>
      <c r="I164" s="282"/>
      <c r="J164" s="16"/>
      <c r="K164" s="18">
        <f t="shared" si="14"/>
        <v>0</v>
      </c>
      <c r="L164" s="288">
        <v>0</v>
      </c>
      <c r="M164" s="291"/>
      <c r="N164" s="164"/>
      <c r="O164" s="164"/>
      <c r="P164" s="164"/>
      <c r="Q164" s="175">
        <f t="shared" si="15"/>
        <v>0</v>
      </c>
      <c r="R164" s="164"/>
      <c r="S164" s="197">
        <f t="shared" si="16"/>
        <v>0</v>
      </c>
      <c r="T164" s="201" t="str" cm="1">
        <f t="array" ref="T164">IFERROR(IF(F164="甲",IF(K164&gt;3500000,VLOOKUP(3500000,源泉DB!$B$261:$L$261,L164+3)+ROUNDDOWN((K164-3500000)*45.945%,0),IF(AND(K164&gt;2250000,K164&lt;3500000),VLOOKUP(2250000,源泉DB!$B$260:$K$260,L164+3)+ROUNDDOWN((K164-2250000)*40.84%,0),IF(AND(K164&gt;2210000,K164&lt;2250000),VLOOKUP(2210000,源泉DB!$B$259:$K$259,L164+3)+ROUNDDOWN((K164-2210000)*40.84%,0),IF(AND(K164&gt;2170000,K164&lt;2210000),VLOOKUP(2170000,源泉DB!$B$258:$K$258,L164+3)+ROUNDDOWN((K164-2170000)*40.84%,0),IF(AND(K164&gt;1700000,K164&lt;2170000),VLOOKUP(1700000,源泉DB!$B$257:$K$257,L164+3)+ROUNDDOWN((K164-1700000)*40.84%,0),IF(AND(K164&gt;950000,K164&lt;1700000),VLOOKUP(950000,源泉DB!$B$256:$K$256,L164+3)+ROUNDDOWN((K164-950000)*33.693%,0),IF(AND(K164&gt;780000,K164&lt;950000),VLOOKUP(780000,源泉DB!$B$255:$K$255,L164+3)+ROUNDDOWN((K164-780000)*23.483%,0),IF(AND(K164&gt;740000,K164&lt;780000),VLOOKUP(740000,源泉DB!$B$254:$K$254,L164+3)+ROUNDDOWN((K164-740000)*20.42%,0),VLOOKUP(K164,源泉DB!$B$8:$K$299,L164+3))))))))),IF(F164="乙",IF(K164&gt;1700000,651900+(K164-1700000) *45.945%,IF(K164=1700000,651900,IF(AND(K164&gt;740000,K164&lt;1700000),259800+(K164-740000)*40.84%,IF(K164=740000,259800,IF(K164&lt;88000,ROUNDDOWN(K164*3.063%,9),VLOOKUP(K164,源泉DB!$B$8:$L$254,11)))))),"")),"")</f>
        <v/>
      </c>
      <c r="U164" s="165"/>
      <c r="V164" s="166"/>
      <c r="W164" s="166"/>
      <c r="X164" s="166"/>
      <c r="Y164" s="166"/>
      <c r="Z164" s="178">
        <f>ROUND(IFERROR(IF(($G164="加入"),VLOOKUP($I164,年金DB!$G$16:$P$65,6,TRUE),0),0)-0.1,0)</f>
        <v>0</v>
      </c>
      <c r="AA164" s="178">
        <f>ROUND(IFERROR(IF(AND($G164="加入",$D164&gt;=40,$D164&lt;=64),VLOOKUP($I164,年金DB!$G$16:$P$65,10,TRUE),0),0)-0.1,0)</f>
        <v>0</v>
      </c>
      <c r="AB164" s="178">
        <f>ROUND(IFERROR(IF(AND($G164="加入",$D164&lt;40),VLOOKUP($J164,年金DB!$G$16:$X$62,14,TRUE),IF(AND($G164="加入",$D164&gt;=40),VLOOKUP($J164,年金DB!$G$16:$X$62,14,TRUE),"0")),0)-0.1,0)</f>
        <v>0</v>
      </c>
      <c r="AC164" s="178">
        <f t="shared" si="17"/>
        <v>0</v>
      </c>
      <c r="AD164" s="21">
        <f t="shared" si="18"/>
        <v>0</v>
      </c>
      <c r="AE164" s="173">
        <f t="shared" si="19"/>
        <v>0</v>
      </c>
      <c r="AF164" s="14" t="str">
        <f t="shared" si="20"/>
        <v/>
      </c>
      <c r="AG164" s="14"/>
      <c r="AH164" s="14"/>
    </row>
    <row r="165" spans="1:34">
      <c r="A165" s="28"/>
      <c r="B165" s="180"/>
      <c r="C165" s="188"/>
      <c r="D165" s="161"/>
      <c r="E165" s="162"/>
      <c r="F165" s="162"/>
      <c r="G165" s="163"/>
      <c r="H165" s="285"/>
      <c r="I165" s="282"/>
      <c r="J165" s="16"/>
      <c r="K165" s="18">
        <f t="shared" si="14"/>
        <v>0</v>
      </c>
      <c r="L165" s="288">
        <v>0</v>
      </c>
      <c r="M165" s="291"/>
      <c r="N165" s="164"/>
      <c r="O165" s="164"/>
      <c r="P165" s="164"/>
      <c r="Q165" s="175">
        <f t="shared" si="15"/>
        <v>0</v>
      </c>
      <c r="R165" s="164"/>
      <c r="S165" s="197">
        <f t="shared" si="16"/>
        <v>0</v>
      </c>
      <c r="T165" s="201" t="str" cm="1">
        <f t="array" ref="T165">IFERROR(IF(F165="甲",IF(K165&gt;3500000,VLOOKUP(3500000,源泉DB!$B$261:$L$261,L165+3)+ROUNDDOWN((K165-3500000)*45.945%,0),IF(AND(K165&gt;2250000,K165&lt;3500000),VLOOKUP(2250000,源泉DB!$B$260:$K$260,L165+3)+ROUNDDOWN((K165-2250000)*40.84%,0),IF(AND(K165&gt;2210000,K165&lt;2250000),VLOOKUP(2210000,源泉DB!$B$259:$K$259,L165+3)+ROUNDDOWN((K165-2210000)*40.84%,0),IF(AND(K165&gt;2170000,K165&lt;2210000),VLOOKUP(2170000,源泉DB!$B$258:$K$258,L165+3)+ROUNDDOWN((K165-2170000)*40.84%,0),IF(AND(K165&gt;1700000,K165&lt;2170000),VLOOKUP(1700000,源泉DB!$B$257:$K$257,L165+3)+ROUNDDOWN((K165-1700000)*40.84%,0),IF(AND(K165&gt;950000,K165&lt;1700000),VLOOKUP(950000,源泉DB!$B$256:$K$256,L165+3)+ROUNDDOWN((K165-950000)*33.693%,0),IF(AND(K165&gt;780000,K165&lt;950000),VLOOKUP(780000,源泉DB!$B$255:$K$255,L165+3)+ROUNDDOWN((K165-780000)*23.483%,0),IF(AND(K165&gt;740000,K165&lt;780000),VLOOKUP(740000,源泉DB!$B$254:$K$254,L165+3)+ROUNDDOWN((K165-740000)*20.42%,0),VLOOKUP(K165,源泉DB!$B$8:$K$299,L165+3))))))))),IF(F165="乙",IF(K165&gt;1700000,651900+(K165-1700000) *45.945%,IF(K165=1700000,651900,IF(AND(K165&gt;740000,K165&lt;1700000),259800+(K165-740000)*40.84%,IF(K165=740000,259800,IF(K165&lt;88000,ROUNDDOWN(K165*3.063%,9),VLOOKUP(K165,源泉DB!$B$8:$L$254,11)))))),"")),"")</f>
        <v/>
      </c>
      <c r="U165" s="165"/>
      <c r="V165" s="166"/>
      <c r="W165" s="166"/>
      <c r="X165" s="166"/>
      <c r="Y165" s="166"/>
      <c r="Z165" s="178">
        <f>ROUND(IFERROR(IF(($G165="加入"),VLOOKUP($I165,年金DB!$G$16:$P$65,6,TRUE),0),0)-0.1,0)</f>
        <v>0</v>
      </c>
      <c r="AA165" s="178">
        <f>ROUND(IFERROR(IF(AND($G165="加入",$D165&gt;=40,$D165&lt;=64),VLOOKUP($I165,年金DB!$G$16:$P$65,10,TRUE),0),0)-0.1,0)</f>
        <v>0</v>
      </c>
      <c r="AB165" s="178">
        <f>ROUND(IFERROR(IF(AND($G165="加入",$D165&lt;40),VLOOKUP($J165,年金DB!$G$16:$X$62,14,TRUE),IF(AND($G165="加入",$D165&gt;=40),VLOOKUP($J165,年金DB!$G$16:$X$62,14,TRUE),"0")),0)-0.1,0)</f>
        <v>0</v>
      </c>
      <c r="AC165" s="178">
        <f t="shared" si="17"/>
        <v>0</v>
      </c>
      <c r="AD165" s="21">
        <f t="shared" si="18"/>
        <v>0</v>
      </c>
      <c r="AE165" s="173">
        <f t="shared" si="19"/>
        <v>0</v>
      </c>
      <c r="AF165" s="14" t="str">
        <f t="shared" si="20"/>
        <v/>
      </c>
      <c r="AG165" s="14"/>
      <c r="AH165" s="14"/>
    </row>
    <row r="166" spans="1:34">
      <c r="A166" s="28"/>
      <c r="B166" s="180"/>
      <c r="C166" s="188"/>
      <c r="D166" s="161"/>
      <c r="E166" s="162"/>
      <c r="F166" s="162"/>
      <c r="G166" s="163"/>
      <c r="H166" s="285"/>
      <c r="I166" s="282"/>
      <c r="J166" s="16"/>
      <c r="K166" s="18">
        <f t="shared" si="14"/>
        <v>0</v>
      </c>
      <c r="L166" s="288">
        <v>0</v>
      </c>
      <c r="M166" s="291"/>
      <c r="N166" s="164"/>
      <c r="O166" s="164"/>
      <c r="P166" s="164"/>
      <c r="Q166" s="175">
        <f t="shared" si="15"/>
        <v>0</v>
      </c>
      <c r="R166" s="164"/>
      <c r="S166" s="197">
        <f t="shared" si="16"/>
        <v>0</v>
      </c>
      <c r="T166" s="201" t="str" cm="1">
        <f t="array" ref="T166">IFERROR(IF(F166="甲",IF(K166&gt;3500000,VLOOKUP(3500000,源泉DB!$B$261:$L$261,L166+3)+ROUNDDOWN((K166-3500000)*45.945%,0),IF(AND(K166&gt;2250000,K166&lt;3500000),VLOOKUP(2250000,源泉DB!$B$260:$K$260,L166+3)+ROUNDDOWN((K166-2250000)*40.84%,0),IF(AND(K166&gt;2210000,K166&lt;2250000),VLOOKUP(2210000,源泉DB!$B$259:$K$259,L166+3)+ROUNDDOWN((K166-2210000)*40.84%,0),IF(AND(K166&gt;2170000,K166&lt;2210000),VLOOKUP(2170000,源泉DB!$B$258:$K$258,L166+3)+ROUNDDOWN((K166-2170000)*40.84%,0),IF(AND(K166&gt;1700000,K166&lt;2170000),VLOOKUP(1700000,源泉DB!$B$257:$K$257,L166+3)+ROUNDDOWN((K166-1700000)*40.84%,0),IF(AND(K166&gt;950000,K166&lt;1700000),VLOOKUP(950000,源泉DB!$B$256:$K$256,L166+3)+ROUNDDOWN((K166-950000)*33.693%,0),IF(AND(K166&gt;780000,K166&lt;950000),VLOOKUP(780000,源泉DB!$B$255:$K$255,L166+3)+ROUNDDOWN((K166-780000)*23.483%,0),IF(AND(K166&gt;740000,K166&lt;780000),VLOOKUP(740000,源泉DB!$B$254:$K$254,L166+3)+ROUNDDOWN((K166-740000)*20.42%,0),VLOOKUP(K166,源泉DB!$B$8:$K$299,L166+3))))))))),IF(F166="乙",IF(K166&gt;1700000,651900+(K166-1700000) *45.945%,IF(K166=1700000,651900,IF(AND(K166&gt;740000,K166&lt;1700000),259800+(K166-740000)*40.84%,IF(K166=740000,259800,IF(K166&lt;88000,ROUNDDOWN(K166*3.063%,9),VLOOKUP(K166,源泉DB!$B$8:$L$254,11)))))),"")),"")</f>
        <v/>
      </c>
      <c r="U166" s="165"/>
      <c r="V166" s="166"/>
      <c r="W166" s="166"/>
      <c r="X166" s="166"/>
      <c r="Y166" s="166"/>
      <c r="Z166" s="178">
        <f>ROUND(IFERROR(IF(($G166="加入"),VLOOKUP($I166,年金DB!$G$16:$P$65,6,TRUE),0),0)-0.1,0)</f>
        <v>0</v>
      </c>
      <c r="AA166" s="178">
        <f>ROUND(IFERROR(IF(AND($G166="加入",$D166&gt;=40,$D166&lt;=64),VLOOKUP($I166,年金DB!$G$16:$P$65,10,TRUE),0),0)-0.1,0)</f>
        <v>0</v>
      </c>
      <c r="AB166" s="178">
        <f>ROUND(IFERROR(IF(AND($G166="加入",$D166&lt;40),VLOOKUP($J166,年金DB!$G$16:$X$62,14,TRUE),IF(AND($G166="加入",$D166&gt;=40),VLOOKUP($J166,年金DB!$G$16:$X$62,14,TRUE),"0")),0)-0.1,0)</f>
        <v>0</v>
      </c>
      <c r="AC166" s="178">
        <f t="shared" si="17"/>
        <v>0</v>
      </c>
      <c r="AD166" s="21">
        <f t="shared" si="18"/>
        <v>0</v>
      </c>
      <c r="AE166" s="173">
        <f t="shared" si="19"/>
        <v>0</v>
      </c>
      <c r="AF166" s="14" t="str">
        <f t="shared" si="20"/>
        <v/>
      </c>
      <c r="AG166" s="14"/>
      <c r="AH166" s="14"/>
    </row>
    <row r="167" spans="1:34">
      <c r="A167" s="28"/>
      <c r="B167" s="180"/>
      <c r="C167" s="188"/>
      <c r="D167" s="161"/>
      <c r="E167" s="162"/>
      <c r="F167" s="162"/>
      <c r="G167" s="163"/>
      <c r="H167" s="285"/>
      <c r="I167" s="282"/>
      <c r="J167" s="16"/>
      <c r="K167" s="18">
        <f t="shared" si="14"/>
        <v>0</v>
      </c>
      <c r="L167" s="288">
        <v>0</v>
      </c>
      <c r="M167" s="291"/>
      <c r="N167" s="164"/>
      <c r="O167" s="164"/>
      <c r="P167" s="164"/>
      <c r="Q167" s="175">
        <f t="shared" si="15"/>
        <v>0</v>
      </c>
      <c r="R167" s="164"/>
      <c r="S167" s="197">
        <f t="shared" si="16"/>
        <v>0</v>
      </c>
      <c r="T167" s="201" t="str" cm="1">
        <f t="array" ref="T167">IFERROR(IF(F167="甲",IF(K167&gt;3500000,VLOOKUP(3500000,源泉DB!$B$261:$L$261,L167+3)+ROUNDDOWN((K167-3500000)*45.945%,0),IF(AND(K167&gt;2250000,K167&lt;3500000),VLOOKUP(2250000,源泉DB!$B$260:$K$260,L167+3)+ROUNDDOWN((K167-2250000)*40.84%,0),IF(AND(K167&gt;2210000,K167&lt;2250000),VLOOKUP(2210000,源泉DB!$B$259:$K$259,L167+3)+ROUNDDOWN((K167-2210000)*40.84%,0),IF(AND(K167&gt;2170000,K167&lt;2210000),VLOOKUP(2170000,源泉DB!$B$258:$K$258,L167+3)+ROUNDDOWN((K167-2170000)*40.84%,0),IF(AND(K167&gt;1700000,K167&lt;2170000),VLOOKUP(1700000,源泉DB!$B$257:$K$257,L167+3)+ROUNDDOWN((K167-1700000)*40.84%,0),IF(AND(K167&gt;950000,K167&lt;1700000),VLOOKUP(950000,源泉DB!$B$256:$K$256,L167+3)+ROUNDDOWN((K167-950000)*33.693%,0),IF(AND(K167&gt;780000,K167&lt;950000),VLOOKUP(780000,源泉DB!$B$255:$K$255,L167+3)+ROUNDDOWN((K167-780000)*23.483%,0),IF(AND(K167&gt;740000,K167&lt;780000),VLOOKUP(740000,源泉DB!$B$254:$K$254,L167+3)+ROUNDDOWN((K167-740000)*20.42%,0),VLOOKUP(K167,源泉DB!$B$8:$K$299,L167+3))))))))),IF(F167="乙",IF(K167&gt;1700000,651900+(K167-1700000) *45.945%,IF(K167=1700000,651900,IF(AND(K167&gt;740000,K167&lt;1700000),259800+(K167-740000)*40.84%,IF(K167=740000,259800,IF(K167&lt;88000,ROUNDDOWN(K167*3.063%,9),VLOOKUP(K167,源泉DB!$B$8:$L$254,11)))))),"")),"")</f>
        <v/>
      </c>
      <c r="U167" s="165"/>
      <c r="V167" s="166"/>
      <c r="W167" s="166"/>
      <c r="X167" s="166"/>
      <c r="Y167" s="166"/>
      <c r="Z167" s="178">
        <f>ROUND(IFERROR(IF(($G167="加入"),VLOOKUP($I167,年金DB!$G$16:$P$65,6,TRUE),0),0)-0.1,0)</f>
        <v>0</v>
      </c>
      <c r="AA167" s="178">
        <f>ROUND(IFERROR(IF(AND($G167="加入",$D167&gt;=40,$D167&lt;=64),VLOOKUP($I167,年金DB!$G$16:$P$65,10,TRUE),0),0)-0.1,0)</f>
        <v>0</v>
      </c>
      <c r="AB167" s="178">
        <f>ROUND(IFERROR(IF(AND($G167="加入",$D167&lt;40),VLOOKUP($J167,年金DB!$G$16:$X$62,14,TRUE),IF(AND($G167="加入",$D167&gt;=40),VLOOKUP($J167,年金DB!$G$16:$X$62,14,TRUE),"0")),0)-0.1,0)</f>
        <v>0</v>
      </c>
      <c r="AC167" s="178">
        <f t="shared" si="17"/>
        <v>0</v>
      </c>
      <c r="AD167" s="21">
        <f t="shared" si="18"/>
        <v>0</v>
      </c>
      <c r="AE167" s="173">
        <f t="shared" si="19"/>
        <v>0</v>
      </c>
      <c r="AF167" s="14" t="str">
        <f t="shared" si="20"/>
        <v/>
      </c>
      <c r="AG167" s="14"/>
      <c r="AH167" s="14"/>
    </row>
    <row r="168" spans="1:34">
      <c r="A168" s="28"/>
      <c r="B168" s="180"/>
      <c r="C168" s="188"/>
      <c r="D168" s="161"/>
      <c r="E168" s="162"/>
      <c r="F168" s="162"/>
      <c r="G168" s="163"/>
      <c r="H168" s="285"/>
      <c r="I168" s="282"/>
      <c r="J168" s="16"/>
      <c r="K168" s="18">
        <f t="shared" si="14"/>
        <v>0</v>
      </c>
      <c r="L168" s="288">
        <v>0</v>
      </c>
      <c r="M168" s="291"/>
      <c r="N168" s="164"/>
      <c r="O168" s="164"/>
      <c r="P168" s="164"/>
      <c r="Q168" s="175">
        <f t="shared" si="15"/>
        <v>0</v>
      </c>
      <c r="R168" s="164"/>
      <c r="S168" s="197">
        <f t="shared" si="16"/>
        <v>0</v>
      </c>
      <c r="T168" s="201" t="str" cm="1">
        <f t="array" ref="T168">IFERROR(IF(F168="甲",IF(K168&gt;3500000,VLOOKUP(3500000,源泉DB!$B$261:$L$261,L168+3)+ROUNDDOWN((K168-3500000)*45.945%,0),IF(AND(K168&gt;2250000,K168&lt;3500000),VLOOKUP(2250000,源泉DB!$B$260:$K$260,L168+3)+ROUNDDOWN((K168-2250000)*40.84%,0),IF(AND(K168&gt;2210000,K168&lt;2250000),VLOOKUP(2210000,源泉DB!$B$259:$K$259,L168+3)+ROUNDDOWN((K168-2210000)*40.84%,0),IF(AND(K168&gt;2170000,K168&lt;2210000),VLOOKUP(2170000,源泉DB!$B$258:$K$258,L168+3)+ROUNDDOWN((K168-2170000)*40.84%,0),IF(AND(K168&gt;1700000,K168&lt;2170000),VLOOKUP(1700000,源泉DB!$B$257:$K$257,L168+3)+ROUNDDOWN((K168-1700000)*40.84%,0),IF(AND(K168&gt;950000,K168&lt;1700000),VLOOKUP(950000,源泉DB!$B$256:$K$256,L168+3)+ROUNDDOWN((K168-950000)*33.693%,0),IF(AND(K168&gt;780000,K168&lt;950000),VLOOKUP(780000,源泉DB!$B$255:$K$255,L168+3)+ROUNDDOWN((K168-780000)*23.483%,0),IF(AND(K168&gt;740000,K168&lt;780000),VLOOKUP(740000,源泉DB!$B$254:$K$254,L168+3)+ROUNDDOWN((K168-740000)*20.42%,0),VLOOKUP(K168,源泉DB!$B$8:$K$299,L168+3))))))))),IF(F168="乙",IF(K168&gt;1700000,651900+(K168-1700000) *45.945%,IF(K168=1700000,651900,IF(AND(K168&gt;740000,K168&lt;1700000),259800+(K168-740000)*40.84%,IF(K168=740000,259800,IF(K168&lt;88000,ROUNDDOWN(K168*3.063%,9),VLOOKUP(K168,源泉DB!$B$8:$L$254,11)))))),"")),"")</f>
        <v/>
      </c>
      <c r="U168" s="165"/>
      <c r="V168" s="166"/>
      <c r="W168" s="166"/>
      <c r="X168" s="166"/>
      <c r="Y168" s="166"/>
      <c r="Z168" s="178">
        <f>ROUND(IFERROR(IF(($G168="加入"),VLOOKUP($I168,年金DB!$G$16:$P$65,6,TRUE),0),0)-0.1,0)</f>
        <v>0</v>
      </c>
      <c r="AA168" s="178">
        <f>ROUND(IFERROR(IF(AND($G168="加入",$D168&gt;=40,$D168&lt;=64),VLOOKUP($I168,年金DB!$G$16:$P$65,10,TRUE),0),0)-0.1,0)</f>
        <v>0</v>
      </c>
      <c r="AB168" s="178">
        <f>ROUND(IFERROR(IF(AND($G168="加入",$D168&lt;40),VLOOKUP($J168,年金DB!$G$16:$X$62,14,TRUE),IF(AND($G168="加入",$D168&gt;=40),VLOOKUP($J168,年金DB!$G$16:$X$62,14,TRUE),"0")),0)-0.1,0)</f>
        <v>0</v>
      </c>
      <c r="AC168" s="178">
        <f t="shared" si="17"/>
        <v>0</v>
      </c>
      <c r="AD168" s="21">
        <f t="shared" si="18"/>
        <v>0</v>
      </c>
      <c r="AE168" s="173">
        <f t="shared" si="19"/>
        <v>0</v>
      </c>
      <c r="AF168" s="14" t="str">
        <f t="shared" si="20"/>
        <v/>
      </c>
      <c r="AG168" s="14"/>
      <c r="AH168" s="14"/>
    </row>
    <row r="169" spans="1:34">
      <c r="A169" s="28"/>
      <c r="B169" s="180"/>
      <c r="C169" s="188"/>
      <c r="D169" s="161"/>
      <c r="E169" s="162"/>
      <c r="F169" s="162"/>
      <c r="G169" s="163"/>
      <c r="H169" s="285"/>
      <c r="I169" s="282"/>
      <c r="J169" s="16"/>
      <c r="K169" s="18">
        <f t="shared" si="14"/>
        <v>0</v>
      </c>
      <c r="L169" s="288">
        <v>0</v>
      </c>
      <c r="M169" s="291"/>
      <c r="N169" s="164"/>
      <c r="O169" s="164"/>
      <c r="P169" s="164"/>
      <c r="Q169" s="175">
        <f t="shared" si="15"/>
        <v>0</v>
      </c>
      <c r="R169" s="164"/>
      <c r="S169" s="197">
        <f t="shared" si="16"/>
        <v>0</v>
      </c>
      <c r="T169" s="201" t="str" cm="1">
        <f t="array" ref="T169">IFERROR(IF(F169="甲",IF(K169&gt;3500000,VLOOKUP(3500000,源泉DB!$B$261:$L$261,L169+3)+ROUNDDOWN((K169-3500000)*45.945%,0),IF(AND(K169&gt;2250000,K169&lt;3500000),VLOOKUP(2250000,源泉DB!$B$260:$K$260,L169+3)+ROUNDDOWN((K169-2250000)*40.84%,0),IF(AND(K169&gt;2210000,K169&lt;2250000),VLOOKUP(2210000,源泉DB!$B$259:$K$259,L169+3)+ROUNDDOWN((K169-2210000)*40.84%,0),IF(AND(K169&gt;2170000,K169&lt;2210000),VLOOKUP(2170000,源泉DB!$B$258:$K$258,L169+3)+ROUNDDOWN((K169-2170000)*40.84%,0),IF(AND(K169&gt;1700000,K169&lt;2170000),VLOOKUP(1700000,源泉DB!$B$257:$K$257,L169+3)+ROUNDDOWN((K169-1700000)*40.84%,0),IF(AND(K169&gt;950000,K169&lt;1700000),VLOOKUP(950000,源泉DB!$B$256:$K$256,L169+3)+ROUNDDOWN((K169-950000)*33.693%,0),IF(AND(K169&gt;780000,K169&lt;950000),VLOOKUP(780000,源泉DB!$B$255:$K$255,L169+3)+ROUNDDOWN((K169-780000)*23.483%,0),IF(AND(K169&gt;740000,K169&lt;780000),VLOOKUP(740000,源泉DB!$B$254:$K$254,L169+3)+ROUNDDOWN((K169-740000)*20.42%,0),VLOOKUP(K169,源泉DB!$B$8:$K$299,L169+3))))))))),IF(F169="乙",IF(K169&gt;1700000,651900+(K169-1700000) *45.945%,IF(K169=1700000,651900,IF(AND(K169&gt;740000,K169&lt;1700000),259800+(K169-740000)*40.84%,IF(K169=740000,259800,IF(K169&lt;88000,ROUNDDOWN(K169*3.063%,9),VLOOKUP(K169,源泉DB!$B$8:$L$254,11)))))),"")),"")</f>
        <v/>
      </c>
      <c r="U169" s="165"/>
      <c r="V169" s="166"/>
      <c r="W169" s="166"/>
      <c r="X169" s="166"/>
      <c r="Y169" s="166"/>
      <c r="Z169" s="178">
        <f>ROUND(IFERROR(IF(($G169="加入"),VLOOKUP($I169,年金DB!$G$16:$P$65,6,TRUE),0),0)-0.1,0)</f>
        <v>0</v>
      </c>
      <c r="AA169" s="178">
        <f>ROUND(IFERROR(IF(AND($G169="加入",$D169&gt;=40,$D169&lt;=64),VLOOKUP($I169,年金DB!$G$16:$P$65,10,TRUE),0),0)-0.1,0)</f>
        <v>0</v>
      </c>
      <c r="AB169" s="178">
        <f>ROUND(IFERROR(IF(AND($G169="加入",$D169&lt;40),VLOOKUP($J169,年金DB!$G$16:$X$62,14,TRUE),IF(AND($G169="加入",$D169&gt;=40),VLOOKUP($J169,年金DB!$G$16:$X$62,14,TRUE),"0")),0)-0.1,0)</f>
        <v>0</v>
      </c>
      <c r="AC169" s="178">
        <f t="shared" si="17"/>
        <v>0</v>
      </c>
      <c r="AD169" s="21">
        <f t="shared" si="18"/>
        <v>0</v>
      </c>
      <c r="AE169" s="173">
        <f t="shared" si="19"/>
        <v>0</v>
      </c>
      <c r="AF169" s="14" t="str">
        <f t="shared" si="20"/>
        <v/>
      </c>
      <c r="AG169" s="14"/>
      <c r="AH169" s="14"/>
    </row>
    <row r="170" spans="1:34">
      <c r="A170" s="28"/>
      <c r="B170" s="180"/>
      <c r="C170" s="188"/>
      <c r="D170" s="161"/>
      <c r="E170" s="162"/>
      <c r="F170" s="162"/>
      <c r="G170" s="163"/>
      <c r="H170" s="285"/>
      <c r="I170" s="282"/>
      <c r="J170" s="16"/>
      <c r="K170" s="18">
        <f t="shared" si="14"/>
        <v>0</v>
      </c>
      <c r="L170" s="288">
        <v>0</v>
      </c>
      <c r="M170" s="291"/>
      <c r="N170" s="164"/>
      <c r="O170" s="164"/>
      <c r="P170" s="164"/>
      <c r="Q170" s="175">
        <f t="shared" si="15"/>
        <v>0</v>
      </c>
      <c r="R170" s="164"/>
      <c r="S170" s="197">
        <f t="shared" si="16"/>
        <v>0</v>
      </c>
      <c r="T170" s="201" t="str" cm="1">
        <f t="array" ref="T170">IFERROR(IF(F170="甲",IF(K170&gt;3500000,VLOOKUP(3500000,源泉DB!$B$261:$L$261,L170+3)+ROUNDDOWN((K170-3500000)*45.945%,0),IF(AND(K170&gt;2250000,K170&lt;3500000),VLOOKUP(2250000,源泉DB!$B$260:$K$260,L170+3)+ROUNDDOWN((K170-2250000)*40.84%,0),IF(AND(K170&gt;2210000,K170&lt;2250000),VLOOKUP(2210000,源泉DB!$B$259:$K$259,L170+3)+ROUNDDOWN((K170-2210000)*40.84%,0),IF(AND(K170&gt;2170000,K170&lt;2210000),VLOOKUP(2170000,源泉DB!$B$258:$K$258,L170+3)+ROUNDDOWN((K170-2170000)*40.84%,0),IF(AND(K170&gt;1700000,K170&lt;2170000),VLOOKUP(1700000,源泉DB!$B$257:$K$257,L170+3)+ROUNDDOWN((K170-1700000)*40.84%,0),IF(AND(K170&gt;950000,K170&lt;1700000),VLOOKUP(950000,源泉DB!$B$256:$K$256,L170+3)+ROUNDDOWN((K170-950000)*33.693%,0),IF(AND(K170&gt;780000,K170&lt;950000),VLOOKUP(780000,源泉DB!$B$255:$K$255,L170+3)+ROUNDDOWN((K170-780000)*23.483%,0),IF(AND(K170&gt;740000,K170&lt;780000),VLOOKUP(740000,源泉DB!$B$254:$K$254,L170+3)+ROUNDDOWN((K170-740000)*20.42%,0),VLOOKUP(K170,源泉DB!$B$8:$K$299,L170+3))))))))),IF(F170="乙",IF(K170&gt;1700000,651900+(K170-1700000) *45.945%,IF(K170=1700000,651900,IF(AND(K170&gt;740000,K170&lt;1700000),259800+(K170-740000)*40.84%,IF(K170=740000,259800,IF(K170&lt;88000,ROUNDDOWN(K170*3.063%,9),VLOOKUP(K170,源泉DB!$B$8:$L$254,11)))))),"")),"")</f>
        <v/>
      </c>
      <c r="U170" s="165"/>
      <c r="V170" s="166"/>
      <c r="W170" s="166"/>
      <c r="X170" s="166"/>
      <c r="Y170" s="166"/>
      <c r="Z170" s="178">
        <f>ROUND(IFERROR(IF(($G170="加入"),VLOOKUP($I170,年金DB!$G$16:$P$65,6,TRUE),0),0)-0.1,0)</f>
        <v>0</v>
      </c>
      <c r="AA170" s="178">
        <f>ROUND(IFERROR(IF(AND($G170="加入",$D170&gt;=40,$D170&lt;=64),VLOOKUP($I170,年金DB!$G$16:$P$65,10,TRUE),0),0)-0.1,0)</f>
        <v>0</v>
      </c>
      <c r="AB170" s="178">
        <f>ROUND(IFERROR(IF(AND($G170="加入",$D170&lt;40),VLOOKUP($J170,年金DB!$G$16:$X$62,14,TRUE),IF(AND($G170="加入",$D170&gt;=40),VLOOKUP($J170,年金DB!$G$16:$X$62,14,TRUE),"0")),0)-0.1,0)</f>
        <v>0</v>
      </c>
      <c r="AC170" s="178">
        <f t="shared" si="17"/>
        <v>0</v>
      </c>
      <c r="AD170" s="21">
        <f t="shared" si="18"/>
        <v>0</v>
      </c>
      <c r="AE170" s="173">
        <f t="shared" si="19"/>
        <v>0</v>
      </c>
      <c r="AF170" s="14" t="str">
        <f t="shared" si="20"/>
        <v/>
      </c>
      <c r="AG170" s="14"/>
      <c r="AH170" s="14"/>
    </row>
    <row r="171" spans="1:34">
      <c r="A171" s="28"/>
      <c r="B171" s="180"/>
      <c r="C171" s="188"/>
      <c r="D171" s="161"/>
      <c r="E171" s="162"/>
      <c r="F171" s="162"/>
      <c r="G171" s="163"/>
      <c r="H171" s="285"/>
      <c r="I171" s="282"/>
      <c r="J171" s="16"/>
      <c r="K171" s="18">
        <f t="shared" si="14"/>
        <v>0</v>
      </c>
      <c r="L171" s="288">
        <v>0</v>
      </c>
      <c r="M171" s="291"/>
      <c r="N171" s="164"/>
      <c r="O171" s="164"/>
      <c r="P171" s="164"/>
      <c r="Q171" s="175">
        <f t="shared" si="15"/>
        <v>0</v>
      </c>
      <c r="R171" s="164"/>
      <c r="S171" s="197">
        <f t="shared" si="16"/>
        <v>0</v>
      </c>
      <c r="T171" s="201" t="str" cm="1">
        <f t="array" ref="T171">IFERROR(IF(F171="甲",IF(K171&gt;3500000,VLOOKUP(3500000,源泉DB!$B$261:$L$261,L171+3)+ROUNDDOWN((K171-3500000)*45.945%,0),IF(AND(K171&gt;2250000,K171&lt;3500000),VLOOKUP(2250000,源泉DB!$B$260:$K$260,L171+3)+ROUNDDOWN((K171-2250000)*40.84%,0),IF(AND(K171&gt;2210000,K171&lt;2250000),VLOOKUP(2210000,源泉DB!$B$259:$K$259,L171+3)+ROUNDDOWN((K171-2210000)*40.84%,0),IF(AND(K171&gt;2170000,K171&lt;2210000),VLOOKUP(2170000,源泉DB!$B$258:$K$258,L171+3)+ROUNDDOWN((K171-2170000)*40.84%,0),IF(AND(K171&gt;1700000,K171&lt;2170000),VLOOKUP(1700000,源泉DB!$B$257:$K$257,L171+3)+ROUNDDOWN((K171-1700000)*40.84%,0),IF(AND(K171&gt;950000,K171&lt;1700000),VLOOKUP(950000,源泉DB!$B$256:$K$256,L171+3)+ROUNDDOWN((K171-950000)*33.693%,0),IF(AND(K171&gt;780000,K171&lt;950000),VLOOKUP(780000,源泉DB!$B$255:$K$255,L171+3)+ROUNDDOWN((K171-780000)*23.483%,0),IF(AND(K171&gt;740000,K171&lt;780000),VLOOKUP(740000,源泉DB!$B$254:$K$254,L171+3)+ROUNDDOWN((K171-740000)*20.42%,0),VLOOKUP(K171,源泉DB!$B$8:$K$299,L171+3))))))))),IF(F171="乙",IF(K171&gt;1700000,651900+(K171-1700000) *45.945%,IF(K171=1700000,651900,IF(AND(K171&gt;740000,K171&lt;1700000),259800+(K171-740000)*40.84%,IF(K171=740000,259800,IF(K171&lt;88000,ROUNDDOWN(K171*3.063%,9),VLOOKUP(K171,源泉DB!$B$8:$L$254,11)))))),"")),"")</f>
        <v/>
      </c>
      <c r="U171" s="165"/>
      <c r="V171" s="166"/>
      <c r="W171" s="166"/>
      <c r="X171" s="166"/>
      <c r="Y171" s="166"/>
      <c r="Z171" s="178">
        <f>ROUND(IFERROR(IF(($G171="加入"),VLOOKUP($I171,年金DB!$G$16:$P$65,6,TRUE),0),0)-0.1,0)</f>
        <v>0</v>
      </c>
      <c r="AA171" s="178">
        <f>ROUND(IFERROR(IF(AND($G171="加入",$D171&gt;=40,$D171&lt;=64),VLOOKUP($I171,年金DB!$G$16:$P$65,10,TRUE),0),0)-0.1,0)</f>
        <v>0</v>
      </c>
      <c r="AB171" s="178">
        <f>ROUND(IFERROR(IF(AND($G171="加入",$D171&lt;40),VLOOKUP($J171,年金DB!$G$16:$X$62,14,TRUE),IF(AND($G171="加入",$D171&gt;=40),VLOOKUP($J171,年金DB!$G$16:$X$62,14,TRUE),"0")),0)-0.1,0)</f>
        <v>0</v>
      </c>
      <c r="AC171" s="178">
        <f t="shared" si="17"/>
        <v>0</v>
      </c>
      <c r="AD171" s="21">
        <f t="shared" si="18"/>
        <v>0</v>
      </c>
      <c r="AE171" s="173">
        <f t="shared" si="19"/>
        <v>0</v>
      </c>
      <c r="AF171" s="14" t="str">
        <f t="shared" si="20"/>
        <v/>
      </c>
      <c r="AG171" s="14"/>
      <c r="AH171" s="14"/>
    </row>
    <row r="172" spans="1:34">
      <c r="A172" s="28"/>
      <c r="B172" s="180"/>
      <c r="C172" s="188"/>
      <c r="D172" s="161"/>
      <c r="E172" s="162"/>
      <c r="F172" s="162"/>
      <c r="G172" s="163"/>
      <c r="H172" s="285"/>
      <c r="I172" s="282"/>
      <c r="J172" s="16"/>
      <c r="K172" s="18">
        <f t="shared" si="14"/>
        <v>0</v>
      </c>
      <c r="L172" s="288">
        <v>0</v>
      </c>
      <c r="M172" s="291"/>
      <c r="N172" s="164"/>
      <c r="O172" s="164"/>
      <c r="P172" s="164"/>
      <c r="Q172" s="175">
        <f t="shared" si="15"/>
        <v>0</v>
      </c>
      <c r="R172" s="164"/>
      <c r="S172" s="197">
        <f t="shared" si="16"/>
        <v>0</v>
      </c>
      <c r="T172" s="201" t="str" cm="1">
        <f t="array" ref="T172">IFERROR(IF(F172="甲",IF(K172&gt;3500000,VLOOKUP(3500000,源泉DB!$B$261:$L$261,L172+3)+ROUNDDOWN((K172-3500000)*45.945%,0),IF(AND(K172&gt;2250000,K172&lt;3500000),VLOOKUP(2250000,源泉DB!$B$260:$K$260,L172+3)+ROUNDDOWN((K172-2250000)*40.84%,0),IF(AND(K172&gt;2210000,K172&lt;2250000),VLOOKUP(2210000,源泉DB!$B$259:$K$259,L172+3)+ROUNDDOWN((K172-2210000)*40.84%,0),IF(AND(K172&gt;2170000,K172&lt;2210000),VLOOKUP(2170000,源泉DB!$B$258:$K$258,L172+3)+ROUNDDOWN((K172-2170000)*40.84%,0),IF(AND(K172&gt;1700000,K172&lt;2170000),VLOOKUP(1700000,源泉DB!$B$257:$K$257,L172+3)+ROUNDDOWN((K172-1700000)*40.84%,0),IF(AND(K172&gt;950000,K172&lt;1700000),VLOOKUP(950000,源泉DB!$B$256:$K$256,L172+3)+ROUNDDOWN((K172-950000)*33.693%,0),IF(AND(K172&gt;780000,K172&lt;950000),VLOOKUP(780000,源泉DB!$B$255:$K$255,L172+3)+ROUNDDOWN((K172-780000)*23.483%,0),IF(AND(K172&gt;740000,K172&lt;780000),VLOOKUP(740000,源泉DB!$B$254:$K$254,L172+3)+ROUNDDOWN((K172-740000)*20.42%,0),VLOOKUP(K172,源泉DB!$B$8:$K$299,L172+3))))))))),IF(F172="乙",IF(K172&gt;1700000,651900+(K172-1700000) *45.945%,IF(K172=1700000,651900,IF(AND(K172&gt;740000,K172&lt;1700000),259800+(K172-740000)*40.84%,IF(K172=740000,259800,IF(K172&lt;88000,ROUNDDOWN(K172*3.063%,9),VLOOKUP(K172,源泉DB!$B$8:$L$254,11)))))),"")),"")</f>
        <v/>
      </c>
      <c r="U172" s="165"/>
      <c r="V172" s="166"/>
      <c r="W172" s="166"/>
      <c r="X172" s="166"/>
      <c r="Y172" s="166"/>
      <c r="Z172" s="178">
        <f>ROUND(IFERROR(IF(($G172="加入"),VLOOKUP($I172,年金DB!$G$16:$P$65,6,TRUE),0),0)-0.1,0)</f>
        <v>0</v>
      </c>
      <c r="AA172" s="178">
        <f>ROUND(IFERROR(IF(AND($G172="加入",$D172&gt;=40,$D172&lt;=64),VLOOKUP($I172,年金DB!$G$16:$P$65,10,TRUE),0),0)-0.1,0)</f>
        <v>0</v>
      </c>
      <c r="AB172" s="178">
        <f>ROUND(IFERROR(IF(AND($G172="加入",$D172&lt;40),VLOOKUP($J172,年金DB!$G$16:$X$62,14,TRUE),IF(AND($G172="加入",$D172&gt;=40),VLOOKUP($J172,年金DB!$G$16:$X$62,14,TRUE),"0")),0)-0.1,0)</f>
        <v>0</v>
      </c>
      <c r="AC172" s="178">
        <f t="shared" si="17"/>
        <v>0</v>
      </c>
      <c r="AD172" s="21">
        <f t="shared" si="18"/>
        <v>0</v>
      </c>
      <c r="AE172" s="173">
        <f t="shared" si="19"/>
        <v>0</v>
      </c>
      <c r="AF172" s="14" t="str">
        <f t="shared" si="20"/>
        <v/>
      </c>
      <c r="AG172" s="14"/>
      <c r="AH172" s="14"/>
    </row>
    <row r="173" spans="1:34">
      <c r="A173" s="28"/>
      <c r="B173" s="180"/>
      <c r="C173" s="188"/>
      <c r="D173" s="161"/>
      <c r="E173" s="162"/>
      <c r="F173" s="162"/>
      <c r="G173" s="163"/>
      <c r="H173" s="285"/>
      <c r="I173" s="282"/>
      <c r="J173" s="16"/>
      <c r="K173" s="18">
        <f t="shared" si="14"/>
        <v>0</v>
      </c>
      <c r="L173" s="288">
        <v>0</v>
      </c>
      <c r="M173" s="291"/>
      <c r="N173" s="164"/>
      <c r="O173" s="164"/>
      <c r="P173" s="164"/>
      <c r="Q173" s="175">
        <f t="shared" si="15"/>
        <v>0</v>
      </c>
      <c r="R173" s="164"/>
      <c r="S173" s="197">
        <f t="shared" si="16"/>
        <v>0</v>
      </c>
      <c r="T173" s="201" t="str" cm="1">
        <f t="array" ref="T173">IFERROR(IF(F173="甲",IF(K173&gt;3500000,VLOOKUP(3500000,源泉DB!$B$261:$L$261,L173+3)+ROUNDDOWN((K173-3500000)*45.945%,0),IF(AND(K173&gt;2250000,K173&lt;3500000),VLOOKUP(2250000,源泉DB!$B$260:$K$260,L173+3)+ROUNDDOWN((K173-2250000)*40.84%,0),IF(AND(K173&gt;2210000,K173&lt;2250000),VLOOKUP(2210000,源泉DB!$B$259:$K$259,L173+3)+ROUNDDOWN((K173-2210000)*40.84%,0),IF(AND(K173&gt;2170000,K173&lt;2210000),VLOOKUP(2170000,源泉DB!$B$258:$K$258,L173+3)+ROUNDDOWN((K173-2170000)*40.84%,0),IF(AND(K173&gt;1700000,K173&lt;2170000),VLOOKUP(1700000,源泉DB!$B$257:$K$257,L173+3)+ROUNDDOWN((K173-1700000)*40.84%,0),IF(AND(K173&gt;950000,K173&lt;1700000),VLOOKUP(950000,源泉DB!$B$256:$K$256,L173+3)+ROUNDDOWN((K173-950000)*33.693%,0),IF(AND(K173&gt;780000,K173&lt;950000),VLOOKUP(780000,源泉DB!$B$255:$K$255,L173+3)+ROUNDDOWN((K173-780000)*23.483%,0),IF(AND(K173&gt;740000,K173&lt;780000),VLOOKUP(740000,源泉DB!$B$254:$K$254,L173+3)+ROUNDDOWN((K173-740000)*20.42%,0),VLOOKUP(K173,源泉DB!$B$8:$K$299,L173+3))))))))),IF(F173="乙",IF(K173&gt;1700000,651900+(K173-1700000) *45.945%,IF(K173=1700000,651900,IF(AND(K173&gt;740000,K173&lt;1700000),259800+(K173-740000)*40.84%,IF(K173=740000,259800,IF(K173&lt;88000,ROUNDDOWN(K173*3.063%,9),VLOOKUP(K173,源泉DB!$B$8:$L$254,11)))))),"")),"")</f>
        <v/>
      </c>
      <c r="U173" s="165"/>
      <c r="V173" s="166"/>
      <c r="W173" s="166"/>
      <c r="X173" s="166"/>
      <c r="Y173" s="166"/>
      <c r="Z173" s="178">
        <f>ROUND(IFERROR(IF(($G173="加入"),VLOOKUP($I173,年金DB!$G$16:$P$65,6,TRUE),0),0)-0.1,0)</f>
        <v>0</v>
      </c>
      <c r="AA173" s="178">
        <f>ROUND(IFERROR(IF(AND($G173="加入",$D173&gt;=40,$D173&lt;=64),VLOOKUP($I173,年金DB!$G$16:$P$65,10,TRUE),0),0)-0.1,0)</f>
        <v>0</v>
      </c>
      <c r="AB173" s="178">
        <f>ROUND(IFERROR(IF(AND($G173="加入",$D173&lt;40),VLOOKUP($J173,年金DB!$G$16:$X$62,14,TRUE),IF(AND($G173="加入",$D173&gt;=40),VLOOKUP($J173,年金DB!$G$16:$X$62,14,TRUE),"0")),0)-0.1,0)</f>
        <v>0</v>
      </c>
      <c r="AC173" s="178">
        <f t="shared" si="17"/>
        <v>0</v>
      </c>
      <c r="AD173" s="21">
        <f t="shared" si="18"/>
        <v>0</v>
      </c>
      <c r="AE173" s="173">
        <f t="shared" si="19"/>
        <v>0</v>
      </c>
      <c r="AF173" s="14" t="str">
        <f t="shared" si="20"/>
        <v/>
      </c>
      <c r="AG173" s="14"/>
      <c r="AH173" s="14"/>
    </row>
    <row r="174" spans="1:34">
      <c r="A174" s="28"/>
      <c r="B174" s="180"/>
      <c r="C174" s="188"/>
      <c r="D174" s="161"/>
      <c r="E174" s="162"/>
      <c r="F174" s="162"/>
      <c r="G174" s="163"/>
      <c r="H174" s="285"/>
      <c r="I174" s="282"/>
      <c r="J174" s="16"/>
      <c r="K174" s="18">
        <f t="shared" si="14"/>
        <v>0</v>
      </c>
      <c r="L174" s="288">
        <v>0</v>
      </c>
      <c r="M174" s="291"/>
      <c r="N174" s="164"/>
      <c r="O174" s="164"/>
      <c r="P174" s="164"/>
      <c r="Q174" s="175">
        <f t="shared" si="15"/>
        <v>0</v>
      </c>
      <c r="R174" s="164"/>
      <c r="S174" s="197">
        <f t="shared" si="16"/>
        <v>0</v>
      </c>
      <c r="T174" s="201" t="str" cm="1">
        <f t="array" ref="T174">IFERROR(IF(F174="甲",IF(K174&gt;3500000,VLOOKUP(3500000,源泉DB!$B$261:$L$261,L174+3)+ROUNDDOWN((K174-3500000)*45.945%,0),IF(AND(K174&gt;2250000,K174&lt;3500000),VLOOKUP(2250000,源泉DB!$B$260:$K$260,L174+3)+ROUNDDOWN((K174-2250000)*40.84%,0),IF(AND(K174&gt;2210000,K174&lt;2250000),VLOOKUP(2210000,源泉DB!$B$259:$K$259,L174+3)+ROUNDDOWN((K174-2210000)*40.84%,0),IF(AND(K174&gt;2170000,K174&lt;2210000),VLOOKUP(2170000,源泉DB!$B$258:$K$258,L174+3)+ROUNDDOWN((K174-2170000)*40.84%,0),IF(AND(K174&gt;1700000,K174&lt;2170000),VLOOKUP(1700000,源泉DB!$B$257:$K$257,L174+3)+ROUNDDOWN((K174-1700000)*40.84%,0),IF(AND(K174&gt;950000,K174&lt;1700000),VLOOKUP(950000,源泉DB!$B$256:$K$256,L174+3)+ROUNDDOWN((K174-950000)*33.693%,0),IF(AND(K174&gt;780000,K174&lt;950000),VLOOKUP(780000,源泉DB!$B$255:$K$255,L174+3)+ROUNDDOWN((K174-780000)*23.483%,0),IF(AND(K174&gt;740000,K174&lt;780000),VLOOKUP(740000,源泉DB!$B$254:$K$254,L174+3)+ROUNDDOWN((K174-740000)*20.42%,0),VLOOKUP(K174,源泉DB!$B$8:$K$299,L174+3))))))))),IF(F174="乙",IF(K174&gt;1700000,651900+(K174-1700000) *45.945%,IF(K174=1700000,651900,IF(AND(K174&gt;740000,K174&lt;1700000),259800+(K174-740000)*40.84%,IF(K174=740000,259800,IF(K174&lt;88000,ROUNDDOWN(K174*3.063%,9),VLOOKUP(K174,源泉DB!$B$8:$L$254,11)))))),"")),"")</f>
        <v/>
      </c>
      <c r="U174" s="165"/>
      <c r="V174" s="166"/>
      <c r="W174" s="166"/>
      <c r="X174" s="166"/>
      <c r="Y174" s="166"/>
      <c r="Z174" s="178">
        <f>ROUND(IFERROR(IF(($G174="加入"),VLOOKUP($I174,年金DB!$G$16:$P$65,6,TRUE),0),0)-0.1,0)</f>
        <v>0</v>
      </c>
      <c r="AA174" s="178">
        <f>ROUND(IFERROR(IF(AND($G174="加入",$D174&gt;=40,$D174&lt;=64),VLOOKUP($I174,年金DB!$G$16:$P$65,10,TRUE),0),0)-0.1,0)</f>
        <v>0</v>
      </c>
      <c r="AB174" s="178">
        <f>ROUND(IFERROR(IF(AND($G174="加入",$D174&lt;40),VLOOKUP($J174,年金DB!$G$16:$X$62,14,TRUE),IF(AND($G174="加入",$D174&gt;=40),VLOOKUP($J174,年金DB!$G$16:$X$62,14,TRUE),"0")),0)-0.1,0)</f>
        <v>0</v>
      </c>
      <c r="AC174" s="178">
        <f t="shared" si="17"/>
        <v>0</v>
      </c>
      <c r="AD174" s="21">
        <f t="shared" si="18"/>
        <v>0</v>
      </c>
      <c r="AE174" s="173">
        <f t="shared" si="19"/>
        <v>0</v>
      </c>
      <c r="AF174" s="14" t="str">
        <f t="shared" si="20"/>
        <v/>
      </c>
      <c r="AG174" s="14"/>
      <c r="AH174" s="14"/>
    </row>
    <row r="175" spans="1:34">
      <c r="A175" s="28"/>
      <c r="B175" s="180"/>
      <c r="C175" s="188"/>
      <c r="D175" s="161"/>
      <c r="E175" s="162"/>
      <c r="F175" s="162"/>
      <c r="G175" s="163"/>
      <c r="H175" s="285"/>
      <c r="I175" s="282"/>
      <c r="J175" s="16"/>
      <c r="K175" s="18">
        <f t="shared" si="14"/>
        <v>0</v>
      </c>
      <c r="L175" s="288">
        <v>0</v>
      </c>
      <c r="M175" s="291"/>
      <c r="N175" s="164"/>
      <c r="O175" s="164"/>
      <c r="P175" s="164"/>
      <c r="Q175" s="175">
        <f t="shared" si="15"/>
        <v>0</v>
      </c>
      <c r="R175" s="164"/>
      <c r="S175" s="197">
        <f t="shared" si="16"/>
        <v>0</v>
      </c>
      <c r="T175" s="201" t="str" cm="1">
        <f t="array" ref="T175">IFERROR(IF(F175="甲",IF(K175&gt;3500000,VLOOKUP(3500000,源泉DB!$B$261:$L$261,L175+3)+ROUNDDOWN((K175-3500000)*45.945%,0),IF(AND(K175&gt;2250000,K175&lt;3500000),VLOOKUP(2250000,源泉DB!$B$260:$K$260,L175+3)+ROUNDDOWN((K175-2250000)*40.84%,0),IF(AND(K175&gt;2210000,K175&lt;2250000),VLOOKUP(2210000,源泉DB!$B$259:$K$259,L175+3)+ROUNDDOWN((K175-2210000)*40.84%,0),IF(AND(K175&gt;2170000,K175&lt;2210000),VLOOKUP(2170000,源泉DB!$B$258:$K$258,L175+3)+ROUNDDOWN((K175-2170000)*40.84%,0),IF(AND(K175&gt;1700000,K175&lt;2170000),VLOOKUP(1700000,源泉DB!$B$257:$K$257,L175+3)+ROUNDDOWN((K175-1700000)*40.84%,0),IF(AND(K175&gt;950000,K175&lt;1700000),VLOOKUP(950000,源泉DB!$B$256:$K$256,L175+3)+ROUNDDOWN((K175-950000)*33.693%,0),IF(AND(K175&gt;780000,K175&lt;950000),VLOOKUP(780000,源泉DB!$B$255:$K$255,L175+3)+ROUNDDOWN((K175-780000)*23.483%,0),IF(AND(K175&gt;740000,K175&lt;780000),VLOOKUP(740000,源泉DB!$B$254:$K$254,L175+3)+ROUNDDOWN((K175-740000)*20.42%,0),VLOOKUP(K175,源泉DB!$B$8:$K$299,L175+3))))))))),IF(F175="乙",IF(K175&gt;1700000,651900+(K175-1700000) *45.945%,IF(K175=1700000,651900,IF(AND(K175&gt;740000,K175&lt;1700000),259800+(K175-740000)*40.84%,IF(K175=740000,259800,IF(K175&lt;88000,ROUNDDOWN(K175*3.063%,9),VLOOKUP(K175,源泉DB!$B$8:$L$254,11)))))),"")),"")</f>
        <v/>
      </c>
      <c r="U175" s="165"/>
      <c r="V175" s="166"/>
      <c r="W175" s="166"/>
      <c r="X175" s="166"/>
      <c r="Y175" s="166"/>
      <c r="Z175" s="178">
        <f>ROUND(IFERROR(IF(($G175="加入"),VLOOKUP($I175,年金DB!$G$16:$P$65,6,TRUE),0),0)-0.1,0)</f>
        <v>0</v>
      </c>
      <c r="AA175" s="178">
        <f>ROUND(IFERROR(IF(AND($G175="加入",$D175&gt;=40,$D175&lt;=64),VLOOKUP($I175,年金DB!$G$16:$P$65,10,TRUE),0),0)-0.1,0)</f>
        <v>0</v>
      </c>
      <c r="AB175" s="178">
        <f>ROUND(IFERROR(IF(AND($G175="加入",$D175&lt;40),VLOOKUP($J175,年金DB!$G$16:$X$62,14,TRUE),IF(AND($G175="加入",$D175&gt;=40),VLOOKUP($J175,年金DB!$G$16:$X$62,14,TRUE),"0")),0)-0.1,0)</f>
        <v>0</v>
      </c>
      <c r="AC175" s="178">
        <f t="shared" si="17"/>
        <v>0</v>
      </c>
      <c r="AD175" s="21">
        <f t="shared" si="18"/>
        <v>0</v>
      </c>
      <c r="AE175" s="173">
        <f t="shared" si="19"/>
        <v>0</v>
      </c>
      <c r="AF175" s="14" t="str">
        <f t="shared" si="20"/>
        <v/>
      </c>
      <c r="AG175" s="14"/>
      <c r="AH175" s="14"/>
    </row>
    <row r="176" spans="1:34">
      <c r="A176" s="28"/>
      <c r="B176" s="180"/>
      <c r="C176" s="188"/>
      <c r="D176" s="161"/>
      <c r="E176" s="162"/>
      <c r="F176" s="162"/>
      <c r="G176" s="163"/>
      <c r="H176" s="285"/>
      <c r="I176" s="282"/>
      <c r="J176" s="16"/>
      <c r="K176" s="18">
        <f t="shared" si="14"/>
        <v>0</v>
      </c>
      <c r="L176" s="288">
        <v>0</v>
      </c>
      <c r="M176" s="291"/>
      <c r="N176" s="164"/>
      <c r="O176" s="164"/>
      <c r="P176" s="164"/>
      <c r="Q176" s="175">
        <f t="shared" si="15"/>
        <v>0</v>
      </c>
      <c r="R176" s="164"/>
      <c r="S176" s="197">
        <f t="shared" si="16"/>
        <v>0</v>
      </c>
      <c r="T176" s="201" t="str" cm="1">
        <f t="array" ref="T176">IFERROR(IF(F176="甲",IF(K176&gt;3500000,VLOOKUP(3500000,源泉DB!$B$261:$L$261,L176+3)+ROUNDDOWN((K176-3500000)*45.945%,0),IF(AND(K176&gt;2250000,K176&lt;3500000),VLOOKUP(2250000,源泉DB!$B$260:$K$260,L176+3)+ROUNDDOWN((K176-2250000)*40.84%,0),IF(AND(K176&gt;2210000,K176&lt;2250000),VLOOKUP(2210000,源泉DB!$B$259:$K$259,L176+3)+ROUNDDOWN((K176-2210000)*40.84%,0),IF(AND(K176&gt;2170000,K176&lt;2210000),VLOOKUP(2170000,源泉DB!$B$258:$K$258,L176+3)+ROUNDDOWN((K176-2170000)*40.84%,0),IF(AND(K176&gt;1700000,K176&lt;2170000),VLOOKUP(1700000,源泉DB!$B$257:$K$257,L176+3)+ROUNDDOWN((K176-1700000)*40.84%,0),IF(AND(K176&gt;950000,K176&lt;1700000),VLOOKUP(950000,源泉DB!$B$256:$K$256,L176+3)+ROUNDDOWN((K176-950000)*33.693%,0),IF(AND(K176&gt;780000,K176&lt;950000),VLOOKUP(780000,源泉DB!$B$255:$K$255,L176+3)+ROUNDDOWN((K176-780000)*23.483%,0),IF(AND(K176&gt;740000,K176&lt;780000),VLOOKUP(740000,源泉DB!$B$254:$K$254,L176+3)+ROUNDDOWN((K176-740000)*20.42%,0),VLOOKUP(K176,源泉DB!$B$8:$K$299,L176+3))))))))),IF(F176="乙",IF(K176&gt;1700000,651900+(K176-1700000) *45.945%,IF(K176=1700000,651900,IF(AND(K176&gt;740000,K176&lt;1700000),259800+(K176-740000)*40.84%,IF(K176=740000,259800,IF(K176&lt;88000,ROUNDDOWN(K176*3.063%,9),VLOOKUP(K176,源泉DB!$B$8:$L$254,11)))))),"")),"")</f>
        <v/>
      </c>
      <c r="U176" s="165"/>
      <c r="V176" s="166"/>
      <c r="W176" s="166"/>
      <c r="X176" s="166"/>
      <c r="Y176" s="166"/>
      <c r="Z176" s="178">
        <f>ROUND(IFERROR(IF(($G176="加入"),VLOOKUP($I176,年金DB!$G$16:$P$65,6,TRUE),0),0)-0.1,0)</f>
        <v>0</v>
      </c>
      <c r="AA176" s="178">
        <f>ROUND(IFERROR(IF(AND($G176="加入",$D176&gt;=40,$D176&lt;=64),VLOOKUP($I176,年金DB!$G$16:$P$65,10,TRUE),0),0)-0.1,0)</f>
        <v>0</v>
      </c>
      <c r="AB176" s="178">
        <f>ROUND(IFERROR(IF(AND($G176="加入",$D176&lt;40),VLOOKUP($J176,年金DB!$G$16:$X$62,14,TRUE),IF(AND($G176="加入",$D176&gt;=40),VLOOKUP($J176,年金DB!$G$16:$X$62,14,TRUE),"0")),0)-0.1,0)</f>
        <v>0</v>
      </c>
      <c r="AC176" s="178">
        <f t="shared" si="17"/>
        <v>0</v>
      </c>
      <c r="AD176" s="21">
        <f t="shared" si="18"/>
        <v>0</v>
      </c>
      <c r="AE176" s="173">
        <f t="shared" si="19"/>
        <v>0</v>
      </c>
      <c r="AF176" s="14" t="str">
        <f t="shared" si="20"/>
        <v/>
      </c>
      <c r="AG176" s="14"/>
      <c r="AH176" s="14"/>
    </row>
    <row r="177" spans="1:34">
      <c r="A177" s="28"/>
      <c r="B177" s="180"/>
      <c r="C177" s="188"/>
      <c r="D177" s="161"/>
      <c r="E177" s="162"/>
      <c r="F177" s="162"/>
      <c r="G177" s="163"/>
      <c r="H177" s="285"/>
      <c r="I177" s="282"/>
      <c r="J177" s="16"/>
      <c r="K177" s="18">
        <f t="shared" si="14"/>
        <v>0</v>
      </c>
      <c r="L177" s="288">
        <v>0</v>
      </c>
      <c r="M177" s="291"/>
      <c r="N177" s="164"/>
      <c r="O177" s="164"/>
      <c r="P177" s="164"/>
      <c r="Q177" s="175">
        <f t="shared" si="15"/>
        <v>0</v>
      </c>
      <c r="R177" s="164"/>
      <c r="S177" s="197">
        <f t="shared" si="16"/>
        <v>0</v>
      </c>
      <c r="T177" s="201" t="str" cm="1">
        <f t="array" ref="T177">IFERROR(IF(F177="甲",IF(K177&gt;3500000,VLOOKUP(3500000,源泉DB!$B$261:$L$261,L177+3)+ROUNDDOWN((K177-3500000)*45.945%,0),IF(AND(K177&gt;2250000,K177&lt;3500000),VLOOKUP(2250000,源泉DB!$B$260:$K$260,L177+3)+ROUNDDOWN((K177-2250000)*40.84%,0),IF(AND(K177&gt;2210000,K177&lt;2250000),VLOOKUP(2210000,源泉DB!$B$259:$K$259,L177+3)+ROUNDDOWN((K177-2210000)*40.84%,0),IF(AND(K177&gt;2170000,K177&lt;2210000),VLOOKUP(2170000,源泉DB!$B$258:$K$258,L177+3)+ROUNDDOWN((K177-2170000)*40.84%,0),IF(AND(K177&gt;1700000,K177&lt;2170000),VLOOKUP(1700000,源泉DB!$B$257:$K$257,L177+3)+ROUNDDOWN((K177-1700000)*40.84%,0),IF(AND(K177&gt;950000,K177&lt;1700000),VLOOKUP(950000,源泉DB!$B$256:$K$256,L177+3)+ROUNDDOWN((K177-950000)*33.693%,0),IF(AND(K177&gt;780000,K177&lt;950000),VLOOKUP(780000,源泉DB!$B$255:$K$255,L177+3)+ROUNDDOWN((K177-780000)*23.483%,0),IF(AND(K177&gt;740000,K177&lt;780000),VLOOKUP(740000,源泉DB!$B$254:$K$254,L177+3)+ROUNDDOWN((K177-740000)*20.42%,0),VLOOKUP(K177,源泉DB!$B$8:$K$299,L177+3))))))))),IF(F177="乙",IF(K177&gt;1700000,651900+(K177-1700000) *45.945%,IF(K177=1700000,651900,IF(AND(K177&gt;740000,K177&lt;1700000),259800+(K177-740000)*40.84%,IF(K177=740000,259800,IF(K177&lt;88000,ROUNDDOWN(K177*3.063%,9),VLOOKUP(K177,源泉DB!$B$8:$L$254,11)))))),"")),"")</f>
        <v/>
      </c>
      <c r="U177" s="165"/>
      <c r="V177" s="166"/>
      <c r="W177" s="166"/>
      <c r="X177" s="166"/>
      <c r="Y177" s="166"/>
      <c r="Z177" s="178">
        <f>ROUND(IFERROR(IF(($G177="加入"),VLOOKUP($I177,年金DB!$G$16:$P$65,6,TRUE),0),0)-0.1,0)</f>
        <v>0</v>
      </c>
      <c r="AA177" s="178">
        <f>ROUND(IFERROR(IF(AND($G177="加入",$D177&gt;=40,$D177&lt;=64),VLOOKUP($I177,年金DB!$G$16:$P$65,10,TRUE),0),0)-0.1,0)</f>
        <v>0</v>
      </c>
      <c r="AB177" s="178">
        <f>ROUND(IFERROR(IF(AND($G177="加入",$D177&lt;40),VLOOKUP($J177,年金DB!$G$16:$X$62,14,TRUE),IF(AND($G177="加入",$D177&gt;=40),VLOOKUP($J177,年金DB!$G$16:$X$62,14,TRUE),"0")),0)-0.1,0)</f>
        <v>0</v>
      </c>
      <c r="AC177" s="178">
        <f t="shared" si="17"/>
        <v>0</v>
      </c>
      <c r="AD177" s="21">
        <f t="shared" si="18"/>
        <v>0</v>
      </c>
      <c r="AE177" s="173">
        <f t="shared" si="19"/>
        <v>0</v>
      </c>
      <c r="AF177" s="14" t="str">
        <f t="shared" si="20"/>
        <v/>
      </c>
      <c r="AG177" s="14"/>
      <c r="AH177" s="14"/>
    </row>
    <row r="178" spans="1:34">
      <c r="A178" s="28"/>
      <c r="B178" s="180"/>
      <c r="C178" s="188"/>
      <c r="D178" s="161"/>
      <c r="E178" s="162"/>
      <c r="F178" s="162"/>
      <c r="G178" s="163"/>
      <c r="H178" s="285"/>
      <c r="I178" s="282"/>
      <c r="J178" s="16"/>
      <c r="K178" s="18">
        <f t="shared" si="14"/>
        <v>0</v>
      </c>
      <c r="L178" s="288">
        <v>0</v>
      </c>
      <c r="M178" s="291"/>
      <c r="N178" s="164"/>
      <c r="O178" s="164"/>
      <c r="P178" s="164"/>
      <c r="Q178" s="175">
        <f t="shared" si="15"/>
        <v>0</v>
      </c>
      <c r="R178" s="164"/>
      <c r="S178" s="197">
        <f t="shared" si="16"/>
        <v>0</v>
      </c>
      <c r="T178" s="201" t="str" cm="1">
        <f t="array" ref="T178">IFERROR(IF(F178="甲",IF(K178&gt;3500000,VLOOKUP(3500000,源泉DB!$B$261:$L$261,L178+3)+ROUNDDOWN((K178-3500000)*45.945%,0),IF(AND(K178&gt;2250000,K178&lt;3500000),VLOOKUP(2250000,源泉DB!$B$260:$K$260,L178+3)+ROUNDDOWN((K178-2250000)*40.84%,0),IF(AND(K178&gt;2210000,K178&lt;2250000),VLOOKUP(2210000,源泉DB!$B$259:$K$259,L178+3)+ROUNDDOWN((K178-2210000)*40.84%,0),IF(AND(K178&gt;2170000,K178&lt;2210000),VLOOKUP(2170000,源泉DB!$B$258:$K$258,L178+3)+ROUNDDOWN((K178-2170000)*40.84%,0),IF(AND(K178&gt;1700000,K178&lt;2170000),VLOOKUP(1700000,源泉DB!$B$257:$K$257,L178+3)+ROUNDDOWN((K178-1700000)*40.84%,0),IF(AND(K178&gt;950000,K178&lt;1700000),VLOOKUP(950000,源泉DB!$B$256:$K$256,L178+3)+ROUNDDOWN((K178-950000)*33.693%,0),IF(AND(K178&gt;780000,K178&lt;950000),VLOOKUP(780000,源泉DB!$B$255:$K$255,L178+3)+ROUNDDOWN((K178-780000)*23.483%,0),IF(AND(K178&gt;740000,K178&lt;780000),VLOOKUP(740000,源泉DB!$B$254:$K$254,L178+3)+ROUNDDOWN((K178-740000)*20.42%,0),VLOOKUP(K178,源泉DB!$B$8:$K$299,L178+3))))))))),IF(F178="乙",IF(K178&gt;1700000,651900+(K178-1700000) *45.945%,IF(K178=1700000,651900,IF(AND(K178&gt;740000,K178&lt;1700000),259800+(K178-740000)*40.84%,IF(K178=740000,259800,IF(K178&lt;88000,ROUNDDOWN(K178*3.063%,9),VLOOKUP(K178,源泉DB!$B$8:$L$254,11)))))),"")),"")</f>
        <v/>
      </c>
      <c r="U178" s="165"/>
      <c r="V178" s="166"/>
      <c r="W178" s="166"/>
      <c r="X178" s="166"/>
      <c r="Y178" s="166"/>
      <c r="Z178" s="178">
        <f>ROUND(IFERROR(IF(($G178="加入"),VLOOKUP($I178,年金DB!$G$16:$P$65,6,TRUE),0),0)-0.1,0)</f>
        <v>0</v>
      </c>
      <c r="AA178" s="178">
        <f>ROUND(IFERROR(IF(AND($G178="加入",$D178&gt;=40,$D178&lt;=64),VLOOKUP($I178,年金DB!$G$16:$P$65,10,TRUE),0),0)-0.1,0)</f>
        <v>0</v>
      </c>
      <c r="AB178" s="178">
        <f>ROUND(IFERROR(IF(AND($G178="加入",$D178&lt;40),VLOOKUP($J178,年金DB!$G$16:$X$62,14,TRUE),IF(AND($G178="加入",$D178&gt;=40),VLOOKUP($J178,年金DB!$G$16:$X$62,14,TRUE),"0")),0)-0.1,0)</f>
        <v>0</v>
      </c>
      <c r="AC178" s="178">
        <f t="shared" si="17"/>
        <v>0</v>
      </c>
      <c r="AD178" s="21">
        <f t="shared" si="18"/>
        <v>0</v>
      </c>
      <c r="AE178" s="173">
        <f t="shared" si="19"/>
        <v>0</v>
      </c>
      <c r="AF178" s="14" t="str">
        <f t="shared" si="20"/>
        <v/>
      </c>
      <c r="AG178" s="14"/>
      <c r="AH178" s="14"/>
    </row>
    <row r="179" spans="1:34">
      <c r="A179" s="28"/>
      <c r="B179" s="180"/>
      <c r="C179" s="188"/>
      <c r="D179" s="161"/>
      <c r="E179" s="162"/>
      <c r="F179" s="162"/>
      <c r="G179" s="163"/>
      <c r="H179" s="285"/>
      <c r="I179" s="282"/>
      <c r="J179" s="16"/>
      <c r="K179" s="18">
        <f t="shared" si="14"/>
        <v>0</v>
      </c>
      <c r="L179" s="288">
        <v>0</v>
      </c>
      <c r="M179" s="291"/>
      <c r="N179" s="164"/>
      <c r="O179" s="164"/>
      <c r="P179" s="164"/>
      <c r="Q179" s="175">
        <f t="shared" si="15"/>
        <v>0</v>
      </c>
      <c r="R179" s="164"/>
      <c r="S179" s="197">
        <f t="shared" si="16"/>
        <v>0</v>
      </c>
      <c r="T179" s="201" t="str" cm="1">
        <f t="array" ref="T179">IFERROR(IF(F179="甲",IF(K179&gt;3500000,VLOOKUP(3500000,源泉DB!$B$261:$L$261,L179+3)+ROUNDDOWN((K179-3500000)*45.945%,0),IF(AND(K179&gt;2250000,K179&lt;3500000),VLOOKUP(2250000,源泉DB!$B$260:$K$260,L179+3)+ROUNDDOWN((K179-2250000)*40.84%,0),IF(AND(K179&gt;2210000,K179&lt;2250000),VLOOKUP(2210000,源泉DB!$B$259:$K$259,L179+3)+ROUNDDOWN((K179-2210000)*40.84%,0),IF(AND(K179&gt;2170000,K179&lt;2210000),VLOOKUP(2170000,源泉DB!$B$258:$K$258,L179+3)+ROUNDDOWN((K179-2170000)*40.84%,0),IF(AND(K179&gt;1700000,K179&lt;2170000),VLOOKUP(1700000,源泉DB!$B$257:$K$257,L179+3)+ROUNDDOWN((K179-1700000)*40.84%,0),IF(AND(K179&gt;950000,K179&lt;1700000),VLOOKUP(950000,源泉DB!$B$256:$K$256,L179+3)+ROUNDDOWN((K179-950000)*33.693%,0),IF(AND(K179&gt;780000,K179&lt;950000),VLOOKUP(780000,源泉DB!$B$255:$K$255,L179+3)+ROUNDDOWN((K179-780000)*23.483%,0),IF(AND(K179&gt;740000,K179&lt;780000),VLOOKUP(740000,源泉DB!$B$254:$K$254,L179+3)+ROUNDDOWN((K179-740000)*20.42%,0),VLOOKUP(K179,源泉DB!$B$8:$K$299,L179+3))))))))),IF(F179="乙",IF(K179&gt;1700000,651900+(K179-1700000) *45.945%,IF(K179=1700000,651900,IF(AND(K179&gt;740000,K179&lt;1700000),259800+(K179-740000)*40.84%,IF(K179=740000,259800,IF(K179&lt;88000,ROUNDDOWN(K179*3.063%,9),VLOOKUP(K179,源泉DB!$B$8:$L$254,11)))))),"")),"")</f>
        <v/>
      </c>
      <c r="U179" s="165"/>
      <c r="V179" s="166"/>
      <c r="W179" s="166"/>
      <c r="X179" s="166"/>
      <c r="Y179" s="166"/>
      <c r="Z179" s="178">
        <f>ROUND(IFERROR(IF(($G179="加入"),VLOOKUP($I179,年金DB!$G$16:$P$65,6,TRUE),0),0)-0.1,0)</f>
        <v>0</v>
      </c>
      <c r="AA179" s="178">
        <f>ROUND(IFERROR(IF(AND($G179="加入",$D179&gt;=40,$D179&lt;=64),VLOOKUP($I179,年金DB!$G$16:$P$65,10,TRUE),0),0)-0.1,0)</f>
        <v>0</v>
      </c>
      <c r="AB179" s="178">
        <f>ROUND(IFERROR(IF(AND($G179="加入",$D179&lt;40),VLOOKUP($J179,年金DB!$G$16:$X$62,14,TRUE),IF(AND($G179="加入",$D179&gt;=40),VLOOKUP($J179,年金DB!$G$16:$X$62,14,TRUE),"0")),0)-0.1,0)</f>
        <v>0</v>
      </c>
      <c r="AC179" s="178">
        <f t="shared" si="17"/>
        <v>0</v>
      </c>
      <c r="AD179" s="21">
        <f t="shared" si="18"/>
        <v>0</v>
      </c>
      <c r="AE179" s="173">
        <f t="shared" si="19"/>
        <v>0</v>
      </c>
      <c r="AF179" s="14" t="str">
        <f t="shared" si="20"/>
        <v/>
      </c>
      <c r="AG179" s="14"/>
      <c r="AH179" s="14"/>
    </row>
    <row r="180" spans="1:34">
      <c r="A180" s="28"/>
      <c r="B180" s="180"/>
      <c r="C180" s="188"/>
      <c r="D180" s="161"/>
      <c r="E180" s="162"/>
      <c r="F180" s="162"/>
      <c r="G180" s="163"/>
      <c r="H180" s="285"/>
      <c r="I180" s="282"/>
      <c r="J180" s="16"/>
      <c r="K180" s="18">
        <f t="shared" si="14"/>
        <v>0</v>
      </c>
      <c r="L180" s="288">
        <v>0</v>
      </c>
      <c r="M180" s="291"/>
      <c r="N180" s="164"/>
      <c r="O180" s="164"/>
      <c r="P180" s="164"/>
      <c r="Q180" s="175">
        <f t="shared" si="15"/>
        <v>0</v>
      </c>
      <c r="R180" s="164"/>
      <c r="S180" s="197">
        <f t="shared" si="16"/>
        <v>0</v>
      </c>
      <c r="T180" s="201" t="str" cm="1">
        <f t="array" ref="T180">IFERROR(IF(F180="甲",IF(K180&gt;3500000,VLOOKUP(3500000,源泉DB!$B$261:$L$261,L180+3)+ROUNDDOWN((K180-3500000)*45.945%,0),IF(AND(K180&gt;2250000,K180&lt;3500000),VLOOKUP(2250000,源泉DB!$B$260:$K$260,L180+3)+ROUNDDOWN((K180-2250000)*40.84%,0),IF(AND(K180&gt;2210000,K180&lt;2250000),VLOOKUP(2210000,源泉DB!$B$259:$K$259,L180+3)+ROUNDDOWN((K180-2210000)*40.84%,0),IF(AND(K180&gt;2170000,K180&lt;2210000),VLOOKUP(2170000,源泉DB!$B$258:$K$258,L180+3)+ROUNDDOWN((K180-2170000)*40.84%,0),IF(AND(K180&gt;1700000,K180&lt;2170000),VLOOKUP(1700000,源泉DB!$B$257:$K$257,L180+3)+ROUNDDOWN((K180-1700000)*40.84%,0),IF(AND(K180&gt;950000,K180&lt;1700000),VLOOKUP(950000,源泉DB!$B$256:$K$256,L180+3)+ROUNDDOWN((K180-950000)*33.693%,0),IF(AND(K180&gt;780000,K180&lt;950000),VLOOKUP(780000,源泉DB!$B$255:$K$255,L180+3)+ROUNDDOWN((K180-780000)*23.483%,0),IF(AND(K180&gt;740000,K180&lt;780000),VLOOKUP(740000,源泉DB!$B$254:$K$254,L180+3)+ROUNDDOWN((K180-740000)*20.42%,0),VLOOKUP(K180,源泉DB!$B$8:$K$299,L180+3))))))))),IF(F180="乙",IF(K180&gt;1700000,651900+(K180-1700000) *45.945%,IF(K180=1700000,651900,IF(AND(K180&gt;740000,K180&lt;1700000),259800+(K180-740000)*40.84%,IF(K180=740000,259800,IF(K180&lt;88000,ROUNDDOWN(K180*3.063%,9),VLOOKUP(K180,源泉DB!$B$8:$L$254,11)))))),"")),"")</f>
        <v/>
      </c>
      <c r="U180" s="165"/>
      <c r="V180" s="166"/>
      <c r="W180" s="166"/>
      <c r="X180" s="166"/>
      <c r="Y180" s="166"/>
      <c r="Z180" s="178">
        <f>ROUND(IFERROR(IF(($G180="加入"),VLOOKUP($I180,年金DB!$G$16:$P$65,6,TRUE),0),0)-0.1,0)</f>
        <v>0</v>
      </c>
      <c r="AA180" s="178">
        <f>ROUND(IFERROR(IF(AND($G180="加入",$D180&gt;=40,$D180&lt;=64),VLOOKUP($I180,年金DB!$G$16:$P$65,10,TRUE),0),0)-0.1,0)</f>
        <v>0</v>
      </c>
      <c r="AB180" s="178">
        <f>ROUND(IFERROR(IF(AND($G180="加入",$D180&lt;40),VLOOKUP($J180,年金DB!$G$16:$X$62,14,TRUE),IF(AND($G180="加入",$D180&gt;=40),VLOOKUP($J180,年金DB!$G$16:$X$62,14,TRUE),"0")),0)-0.1,0)</f>
        <v>0</v>
      </c>
      <c r="AC180" s="178">
        <f t="shared" si="17"/>
        <v>0</v>
      </c>
      <c r="AD180" s="21">
        <f t="shared" si="18"/>
        <v>0</v>
      </c>
      <c r="AE180" s="173">
        <f t="shared" si="19"/>
        <v>0</v>
      </c>
      <c r="AF180" s="14" t="str">
        <f t="shared" si="20"/>
        <v/>
      </c>
      <c r="AG180" s="14"/>
      <c r="AH180" s="14"/>
    </row>
    <row r="181" spans="1:34">
      <c r="A181" s="28"/>
      <c r="B181" s="180"/>
      <c r="C181" s="188"/>
      <c r="D181" s="161"/>
      <c r="E181" s="162"/>
      <c r="F181" s="162"/>
      <c r="G181" s="163"/>
      <c r="H181" s="285"/>
      <c r="I181" s="282"/>
      <c r="J181" s="16"/>
      <c r="K181" s="18">
        <f t="shared" si="14"/>
        <v>0</v>
      </c>
      <c r="L181" s="288">
        <v>0</v>
      </c>
      <c r="M181" s="291"/>
      <c r="N181" s="164"/>
      <c r="O181" s="164"/>
      <c r="P181" s="164"/>
      <c r="Q181" s="175">
        <f t="shared" si="15"/>
        <v>0</v>
      </c>
      <c r="R181" s="164"/>
      <c r="S181" s="197">
        <f t="shared" si="16"/>
        <v>0</v>
      </c>
      <c r="T181" s="201" t="str" cm="1">
        <f t="array" ref="T181">IFERROR(IF(F181="甲",IF(K181&gt;3500000,VLOOKUP(3500000,源泉DB!$B$261:$L$261,L181+3)+ROUNDDOWN((K181-3500000)*45.945%,0),IF(AND(K181&gt;2250000,K181&lt;3500000),VLOOKUP(2250000,源泉DB!$B$260:$K$260,L181+3)+ROUNDDOWN((K181-2250000)*40.84%,0),IF(AND(K181&gt;2210000,K181&lt;2250000),VLOOKUP(2210000,源泉DB!$B$259:$K$259,L181+3)+ROUNDDOWN((K181-2210000)*40.84%,0),IF(AND(K181&gt;2170000,K181&lt;2210000),VLOOKUP(2170000,源泉DB!$B$258:$K$258,L181+3)+ROUNDDOWN((K181-2170000)*40.84%,0),IF(AND(K181&gt;1700000,K181&lt;2170000),VLOOKUP(1700000,源泉DB!$B$257:$K$257,L181+3)+ROUNDDOWN((K181-1700000)*40.84%,0),IF(AND(K181&gt;950000,K181&lt;1700000),VLOOKUP(950000,源泉DB!$B$256:$K$256,L181+3)+ROUNDDOWN((K181-950000)*33.693%,0),IF(AND(K181&gt;780000,K181&lt;950000),VLOOKUP(780000,源泉DB!$B$255:$K$255,L181+3)+ROUNDDOWN((K181-780000)*23.483%,0),IF(AND(K181&gt;740000,K181&lt;780000),VLOOKUP(740000,源泉DB!$B$254:$K$254,L181+3)+ROUNDDOWN((K181-740000)*20.42%,0),VLOOKUP(K181,源泉DB!$B$8:$K$299,L181+3))))))))),IF(F181="乙",IF(K181&gt;1700000,651900+(K181-1700000) *45.945%,IF(K181=1700000,651900,IF(AND(K181&gt;740000,K181&lt;1700000),259800+(K181-740000)*40.84%,IF(K181=740000,259800,IF(K181&lt;88000,ROUNDDOWN(K181*3.063%,9),VLOOKUP(K181,源泉DB!$B$8:$L$254,11)))))),"")),"")</f>
        <v/>
      </c>
      <c r="U181" s="165"/>
      <c r="V181" s="166"/>
      <c r="W181" s="166"/>
      <c r="X181" s="166"/>
      <c r="Y181" s="166"/>
      <c r="Z181" s="178">
        <f>ROUND(IFERROR(IF(($G181="加入"),VLOOKUP($I181,年金DB!$G$16:$P$65,6,TRUE),0),0)-0.1,0)</f>
        <v>0</v>
      </c>
      <c r="AA181" s="178">
        <f>ROUND(IFERROR(IF(AND($G181="加入",$D181&gt;=40,$D181&lt;=64),VLOOKUP($I181,年金DB!$G$16:$P$65,10,TRUE),0),0)-0.1,0)</f>
        <v>0</v>
      </c>
      <c r="AB181" s="178">
        <f>ROUND(IFERROR(IF(AND($G181="加入",$D181&lt;40),VLOOKUP($J181,年金DB!$G$16:$X$62,14,TRUE),IF(AND($G181="加入",$D181&gt;=40),VLOOKUP($J181,年金DB!$G$16:$X$62,14,TRUE),"0")),0)-0.1,0)</f>
        <v>0</v>
      </c>
      <c r="AC181" s="178">
        <f t="shared" si="17"/>
        <v>0</v>
      </c>
      <c r="AD181" s="21">
        <f t="shared" si="18"/>
        <v>0</v>
      </c>
      <c r="AE181" s="173">
        <f t="shared" si="19"/>
        <v>0</v>
      </c>
      <c r="AF181" s="14" t="str">
        <f t="shared" si="20"/>
        <v/>
      </c>
      <c r="AG181" s="14"/>
      <c r="AH181" s="14"/>
    </row>
    <row r="182" spans="1:34">
      <c r="A182" s="28"/>
      <c r="B182" s="180"/>
      <c r="C182" s="188"/>
      <c r="D182" s="161"/>
      <c r="E182" s="162"/>
      <c r="F182" s="162"/>
      <c r="G182" s="163"/>
      <c r="H182" s="285"/>
      <c r="I182" s="282"/>
      <c r="J182" s="16"/>
      <c r="K182" s="18">
        <f t="shared" si="14"/>
        <v>0</v>
      </c>
      <c r="L182" s="288">
        <v>0</v>
      </c>
      <c r="M182" s="291"/>
      <c r="N182" s="164"/>
      <c r="O182" s="164"/>
      <c r="P182" s="164"/>
      <c r="Q182" s="175">
        <f t="shared" si="15"/>
        <v>0</v>
      </c>
      <c r="R182" s="164"/>
      <c r="S182" s="197">
        <f t="shared" si="16"/>
        <v>0</v>
      </c>
      <c r="T182" s="201" t="str" cm="1">
        <f t="array" ref="T182">IFERROR(IF(F182="甲",IF(K182&gt;3500000,VLOOKUP(3500000,源泉DB!$B$261:$L$261,L182+3)+ROUNDDOWN((K182-3500000)*45.945%,0),IF(AND(K182&gt;2250000,K182&lt;3500000),VLOOKUP(2250000,源泉DB!$B$260:$K$260,L182+3)+ROUNDDOWN((K182-2250000)*40.84%,0),IF(AND(K182&gt;2210000,K182&lt;2250000),VLOOKUP(2210000,源泉DB!$B$259:$K$259,L182+3)+ROUNDDOWN((K182-2210000)*40.84%,0),IF(AND(K182&gt;2170000,K182&lt;2210000),VLOOKUP(2170000,源泉DB!$B$258:$K$258,L182+3)+ROUNDDOWN((K182-2170000)*40.84%,0),IF(AND(K182&gt;1700000,K182&lt;2170000),VLOOKUP(1700000,源泉DB!$B$257:$K$257,L182+3)+ROUNDDOWN((K182-1700000)*40.84%,0),IF(AND(K182&gt;950000,K182&lt;1700000),VLOOKUP(950000,源泉DB!$B$256:$K$256,L182+3)+ROUNDDOWN((K182-950000)*33.693%,0),IF(AND(K182&gt;780000,K182&lt;950000),VLOOKUP(780000,源泉DB!$B$255:$K$255,L182+3)+ROUNDDOWN((K182-780000)*23.483%,0),IF(AND(K182&gt;740000,K182&lt;780000),VLOOKUP(740000,源泉DB!$B$254:$K$254,L182+3)+ROUNDDOWN((K182-740000)*20.42%,0),VLOOKUP(K182,源泉DB!$B$8:$K$299,L182+3))))))))),IF(F182="乙",IF(K182&gt;1700000,651900+(K182-1700000) *45.945%,IF(K182=1700000,651900,IF(AND(K182&gt;740000,K182&lt;1700000),259800+(K182-740000)*40.84%,IF(K182=740000,259800,IF(K182&lt;88000,ROUNDDOWN(K182*3.063%,9),VLOOKUP(K182,源泉DB!$B$8:$L$254,11)))))),"")),"")</f>
        <v/>
      </c>
      <c r="U182" s="165"/>
      <c r="V182" s="166"/>
      <c r="W182" s="166"/>
      <c r="X182" s="166"/>
      <c r="Y182" s="166"/>
      <c r="Z182" s="178">
        <f>ROUND(IFERROR(IF(($G182="加入"),VLOOKUP($I182,年金DB!$G$16:$P$65,6,TRUE),0),0)-0.1,0)</f>
        <v>0</v>
      </c>
      <c r="AA182" s="178">
        <f>ROUND(IFERROR(IF(AND($G182="加入",$D182&gt;=40,$D182&lt;=64),VLOOKUP($I182,年金DB!$G$16:$P$65,10,TRUE),0),0)-0.1,0)</f>
        <v>0</v>
      </c>
      <c r="AB182" s="178">
        <f>ROUND(IFERROR(IF(AND($G182="加入",$D182&lt;40),VLOOKUP($J182,年金DB!$G$16:$X$62,14,TRUE),IF(AND($G182="加入",$D182&gt;=40),VLOOKUP($J182,年金DB!$G$16:$X$62,14,TRUE),"0")),0)-0.1,0)</f>
        <v>0</v>
      </c>
      <c r="AC182" s="178">
        <f t="shared" si="17"/>
        <v>0</v>
      </c>
      <c r="AD182" s="21">
        <f t="shared" si="18"/>
        <v>0</v>
      </c>
      <c r="AE182" s="173">
        <f t="shared" si="19"/>
        <v>0</v>
      </c>
      <c r="AF182" s="14" t="str">
        <f t="shared" si="20"/>
        <v/>
      </c>
      <c r="AG182" s="14"/>
      <c r="AH182" s="14"/>
    </row>
    <row r="183" spans="1:34">
      <c r="A183" s="28"/>
      <c r="B183" s="180"/>
      <c r="C183" s="188"/>
      <c r="D183" s="161"/>
      <c r="E183" s="162"/>
      <c r="F183" s="162"/>
      <c r="G183" s="163"/>
      <c r="H183" s="285"/>
      <c r="I183" s="282"/>
      <c r="J183" s="16"/>
      <c r="K183" s="18">
        <f t="shared" si="14"/>
        <v>0</v>
      </c>
      <c r="L183" s="288">
        <v>0</v>
      </c>
      <c r="M183" s="291"/>
      <c r="N183" s="164"/>
      <c r="O183" s="164"/>
      <c r="P183" s="164"/>
      <c r="Q183" s="175">
        <f t="shared" si="15"/>
        <v>0</v>
      </c>
      <c r="R183" s="164"/>
      <c r="S183" s="197">
        <f t="shared" si="16"/>
        <v>0</v>
      </c>
      <c r="T183" s="201" t="str" cm="1">
        <f t="array" ref="T183">IFERROR(IF(F183="甲",IF(K183&gt;3500000,VLOOKUP(3500000,源泉DB!$B$261:$L$261,L183+3)+ROUNDDOWN((K183-3500000)*45.945%,0),IF(AND(K183&gt;2250000,K183&lt;3500000),VLOOKUP(2250000,源泉DB!$B$260:$K$260,L183+3)+ROUNDDOWN((K183-2250000)*40.84%,0),IF(AND(K183&gt;2210000,K183&lt;2250000),VLOOKUP(2210000,源泉DB!$B$259:$K$259,L183+3)+ROUNDDOWN((K183-2210000)*40.84%,0),IF(AND(K183&gt;2170000,K183&lt;2210000),VLOOKUP(2170000,源泉DB!$B$258:$K$258,L183+3)+ROUNDDOWN((K183-2170000)*40.84%,0),IF(AND(K183&gt;1700000,K183&lt;2170000),VLOOKUP(1700000,源泉DB!$B$257:$K$257,L183+3)+ROUNDDOWN((K183-1700000)*40.84%,0),IF(AND(K183&gt;950000,K183&lt;1700000),VLOOKUP(950000,源泉DB!$B$256:$K$256,L183+3)+ROUNDDOWN((K183-950000)*33.693%,0),IF(AND(K183&gt;780000,K183&lt;950000),VLOOKUP(780000,源泉DB!$B$255:$K$255,L183+3)+ROUNDDOWN((K183-780000)*23.483%,0),IF(AND(K183&gt;740000,K183&lt;780000),VLOOKUP(740000,源泉DB!$B$254:$K$254,L183+3)+ROUNDDOWN((K183-740000)*20.42%,0),VLOOKUP(K183,源泉DB!$B$8:$K$299,L183+3))))))))),IF(F183="乙",IF(K183&gt;1700000,651900+(K183-1700000) *45.945%,IF(K183=1700000,651900,IF(AND(K183&gt;740000,K183&lt;1700000),259800+(K183-740000)*40.84%,IF(K183=740000,259800,IF(K183&lt;88000,ROUNDDOWN(K183*3.063%,9),VLOOKUP(K183,源泉DB!$B$8:$L$254,11)))))),"")),"")</f>
        <v/>
      </c>
      <c r="U183" s="165"/>
      <c r="V183" s="166"/>
      <c r="W183" s="166"/>
      <c r="X183" s="166"/>
      <c r="Y183" s="166"/>
      <c r="Z183" s="178">
        <f>ROUND(IFERROR(IF(($G183="加入"),VLOOKUP($I183,年金DB!$G$16:$P$65,6,TRUE),0),0)-0.1,0)</f>
        <v>0</v>
      </c>
      <c r="AA183" s="178">
        <f>ROUND(IFERROR(IF(AND($G183="加入",$D183&gt;=40,$D183&lt;=64),VLOOKUP($I183,年金DB!$G$16:$P$65,10,TRUE),0),0)-0.1,0)</f>
        <v>0</v>
      </c>
      <c r="AB183" s="178">
        <f>ROUND(IFERROR(IF(AND($G183="加入",$D183&lt;40),VLOOKUP($J183,年金DB!$G$16:$X$62,14,TRUE),IF(AND($G183="加入",$D183&gt;=40),VLOOKUP($J183,年金DB!$G$16:$X$62,14,TRUE),"0")),0)-0.1,0)</f>
        <v>0</v>
      </c>
      <c r="AC183" s="178">
        <f t="shared" si="17"/>
        <v>0</v>
      </c>
      <c r="AD183" s="21">
        <f t="shared" si="18"/>
        <v>0</v>
      </c>
      <c r="AE183" s="173">
        <f t="shared" si="19"/>
        <v>0</v>
      </c>
      <c r="AF183" s="14" t="str">
        <f t="shared" si="20"/>
        <v/>
      </c>
      <c r="AG183" s="14"/>
      <c r="AH183" s="14"/>
    </row>
    <row r="184" spans="1:34">
      <c r="A184" s="28"/>
      <c r="B184" s="180"/>
      <c r="C184" s="188"/>
      <c r="D184" s="161"/>
      <c r="E184" s="162"/>
      <c r="F184" s="162"/>
      <c r="G184" s="163"/>
      <c r="H184" s="285"/>
      <c r="I184" s="282"/>
      <c r="J184" s="16"/>
      <c r="K184" s="18">
        <f t="shared" si="14"/>
        <v>0</v>
      </c>
      <c r="L184" s="288">
        <v>0</v>
      </c>
      <c r="M184" s="291"/>
      <c r="N184" s="164"/>
      <c r="O184" s="164"/>
      <c r="P184" s="164"/>
      <c r="Q184" s="175">
        <f t="shared" si="15"/>
        <v>0</v>
      </c>
      <c r="R184" s="164"/>
      <c r="S184" s="197">
        <f t="shared" si="16"/>
        <v>0</v>
      </c>
      <c r="T184" s="201" t="str" cm="1">
        <f t="array" ref="T184">IFERROR(IF(F184="甲",IF(K184&gt;3500000,VLOOKUP(3500000,源泉DB!$B$261:$L$261,L184+3)+ROUNDDOWN((K184-3500000)*45.945%,0),IF(AND(K184&gt;2250000,K184&lt;3500000),VLOOKUP(2250000,源泉DB!$B$260:$K$260,L184+3)+ROUNDDOWN((K184-2250000)*40.84%,0),IF(AND(K184&gt;2210000,K184&lt;2250000),VLOOKUP(2210000,源泉DB!$B$259:$K$259,L184+3)+ROUNDDOWN((K184-2210000)*40.84%,0),IF(AND(K184&gt;2170000,K184&lt;2210000),VLOOKUP(2170000,源泉DB!$B$258:$K$258,L184+3)+ROUNDDOWN((K184-2170000)*40.84%,0),IF(AND(K184&gt;1700000,K184&lt;2170000),VLOOKUP(1700000,源泉DB!$B$257:$K$257,L184+3)+ROUNDDOWN((K184-1700000)*40.84%,0),IF(AND(K184&gt;950000,K184&lt;1700000),VLOOKUP(950000,源泉DB!$B$256:$K$256,L184+3)+ROUNDDOWN((K184-950000)*33.693%,0),IF(AND(K184&gt;780000,K184&lt;950000),VLOOKUP(780000,源泉DB!$B$255:$K$255,L184+3)+ROUNDDOWN((K184-780000)*23.483%,0),IF(AND(K184&gt;740000,K184&lt;780000),VLOOKUP(740000,源泉DB!$B$254:$K$254,L184+3)+ROUNDDOWN((K184-740000)*20.42%,0),VLOOKUP(K184,源泉DB!$B$8:$K$299,L184+3))))))))),IF(F184="乙",IF(K184&gt;1700000,651900+(K184-1700000) *45.945%,IF(K184=1700000,651900,IF(AND(K184&gt;740000,K184&lt;1700000),259800+(K184-740000)*40.84%,IF(K184=740000,259800,IF(K184&lt;88000,ROUNDDOWN(K184*3.063%,9),VLOOKUP(K184,源泉DB!$B$8:$L$254,11)))))),"")),"")</f>
        <v/>
      </c>
      <c r="U184" s="165"/>
      <c r="V184" s="166"/>
      <c r="W184" s="166"/>
      <c r="X184" s="166"/>
      <c r="Y184" s="166"/>
      <c r="Z184" s="178">
        <f>ROUND(IFERROR(IF(($G184="加入"),VLOOKUP($I184,年金DB!$G$16:$P$65,6,TRUE),0),0)-0.1,0)</f>
        <v>0</v>
      </c>
      <c r="AA184" s="178">
        <f>ROUND(IFERROR(IF(AND($G184="加入",$D184&gt;=40,$D184&lt;=64),VLOOKUP($I184,年金DB!$G$16:$P$65,10,TRUE),0),0)-0.1,0)</f>
        <v>0</v>
      </c>
      <c r="AB184" s="178">
        <f>ROUND(IFERROR(IF(AND($G184="加入",$D184&lt;40),VLOOKUP($J184,年金DB!$G$16:$X$62,14,TRUE),IF(AND($G184="加入",$D184&gt;=40),VLOOKUP($J184,年金DB!$G$16:$X$62,14,TRUE),"0")),0)-0.1,0)</f>
        <v>0</v>
      </c>
      <c r="AC184" s="178">
        <f t="shared" si="17"/>
        <v>0</v>
      </c>
      <c r="AD184" s="21">
        <f t="shared" si="18"/>
        <v>0</v>
      </c>
      <c r="AE184" s="173">
        <f t="shared" si="19"/>
        <v>0</v>
      </c>
      <c r="AF184" s="14" t="str">
        <f t="shared" si="20"/>
        <v/>
      </c>
      <c r="AG184" s="14"/>
      <c r="AH184" s="14"/>
    </row>
    <row r="185" spans="1:34">
      <c r="A185" s="28"/>
      <c r="B185" s="180"/>
      <c r="C185" s="188"/>
      <c r="D185" s="161"/>
      <c r="E185" s="162"/>
      <c r="F185" s="162"/>
      <c r="G185" s="163"/>
      <c r="H185" s="285"/>
      <c r="I185" s="282"/>
      <c r="J185" s="16"/>
      <c r="K185" s="18">
        <f t="shared" si="14"/>
        <v>0</v>
      </c>
      <c r="L185" s="288">
        <v>0</v>
      </c>
      <c r="M185" s="291"/>
      <c r="N185" s="164"/>
      <c r="O185" s="164"/>
      <c r="P185" s="164"/>
      <c r="Q185" s="175">
        <f t="shared" si="15"/>
        <v>0</v>
      </c>
      <c r="R185" s="164"/>
      <c r="S185" s="197">
        <f t="shared" si="16"/>
        <v>0</v>
      </c>
      <c r="T185" s="201" t="str" cm="1">
        <f t="array" ref="T185">IFERROR(IF(F185="甲",IF(K185&gt;3500000,VLOOKUP(3500000,源泉DB!$B$261:$L$261,L185+3)+ROUNDDOWN((K185-3500000)*45.945%,0),IF(AND(K185&gt;2250000,K185&lt;3500000),VLOOKUP(2250000,源泉DB!$B$260:$K$260,L185+3)+ROUNDDOWN((K185-2250000)*40.84%,0),IF(AND(K185&gt;2210000,K185&lt;2250000),VLOOKUP(2210000,源泉DB!$B$259:$K$259,L185+3)+ROUNDDOWN((K185-2210000)*40.84%,0),IF(AND(K185&gt;2170000,K185&lt;2210000),VLOOKUP(2170000,源泉DB!$B$258:$K$258,L185+3)+ROUNDDOWN((K185-2170000)*40.84%,0),IF(AND(K185&gt;1700000,K185&lt;2170000),VLOOKUP(1700000,源泉DB!$B$257:$K$257,L185+3)+ROUNDDOWN((K185-1700000)*40.84%,0),IF(AND(K185&gt;950000,K185&lt;1700000),VLOOKUP(950000,源泉DB!$B$256:$K$256,L185+3)+ROUNDDOWN((K185-950000)*33.693%,0),IF(AND(K185&gt;780000,K185&lt;950000),VLOOKUP(780000,源泉DB!$B$255:$K$255,L185+3)+ROUNDDOWN((K185-780000)*23.483%,0),IF(AND(K185&gt;740000,K185&lt;780000),VLOOKUP(740000,源泉DB!$B$254:$K$254,L185+3)+ROUNDDOWN((K185-740000)*20.42%,0),VLOOKUP(K185,源泉DB!$B$8:$K$299,L185+3))))))))),IF(F185="乙",IF(K185&gt;1700000,651900+(K185-1700000) *45.945%,IF(K185=1700000,651900,IF(AND(K185&gt;740000,K185&lt;1700000),259800+(K185-740000)*40.84%,IF(K185=740000,259800,IF(K185&lt;88000,ROUNDDOWN(K185*3.063%,9),VLOOKUP(K185,源泉DB!$B$8:$L$254,11)))))),"")),"")</f>
        <v/>
      </c>
      <c r="U185" s="165"/>
      <c r="V185" s="166"/>
      <c r="W185" s="166"/>
      <c r="X185" s="166"/>
      <c r="Y185" s="166"/>
      <c r="Z185" s="178">
        <f>ROUND(IFERROR(IF(($G185="加入"),VLOOKUP($I185,年金DB!$G$16:$P$65,6,TRUE),0),0)-0.1,0)</f>
        <v>0</v>
      </c>
      <c r="AA185" s="178">
        <f>ROUND(IFERROR(IF(AND($G185="加入",$D185&gt;=40,$D185&lt;=64),VLOOKUP($I185,年金DB!$G$16:$P$65,10,TRUE),0),0)-0.1,0)</f>
        <v>0</v>
      </c>
      <c r="AB185" s="178">
        <f>ROUND(IFERROR(IF(AND($G185="加入",$D185&lt;40),VLOOKUP($J185,年金DB!$G$16:$X$62,14,TRUE),IF(AND($G185="加入",$D185&gt;=40),VLOOKUP($J185,年金DB!$G$16:$X$62,14,TRUE),"0")),0)-0.1,0)</f>
        <v>0</v>
      </c>
      <c r="AC185" s="178">
        <f t="shared" si="17"/>
        <v>0</v>
      </c>
      <c r="AD185" s="21">
        <f t="shared" si="18"/>
        <v>0</v>
      </c>
      <c r="AE185" s="173">
        <f t="shared" si="19"/>
        <v>0</v>
      </c>
      <c r="AF185" s="14" t="str">
        <f t="shared" si="20"/>
        <v/>
      </c>
      <c r="AG185" s="14"/>
      <c r="AH185" s="14"/>
    </row>
    <row r="186" spans="1:34">
      <c r="A186" s="28"/>
      <c r="B186" s="180"/>
      <c r="C186" s="188"/>
      <c r="D186" s="161"/>
      <c r="E186" s="162"/>
      <c r="F186" s="162"/>
      <c r="G186" s="163"/>
      <c r="H186" s="285"/>
      <c r="I186" s="282"/>
      <c r="J186" s="16"/>
      <c r="K186" s="18">
        <f t="shared" si="14"/>
        <v>0</v>
      </c>
      <c r="L186" s="288">
        <v>0</v>
      </c>
      <c r="M186" s="291"/>
      <c r="N186" s="164"/>
      <c r="O186" s="164"/>
      <c r="P186" s="164"/>
      <c r="Q186" s="175">
        <f t="shared" si="15"/>
        <v>0</v>
      </c>
      <c r="R186" s="164"/>
      <c r="S186" s="197">
        <f t="shared" si="16"/>
        <v>0</v>
      </c>
      <c r="T186" s="201" t="str" cm="1">
        <f t="array" ref="T186">IFERROR(IF(F186="甲",IF(K186&gt;3500000,VLOOKUP(3500000,源泉DB!$B$261:$L$261,L186+3)+ROUNDDOWN((K186-3500000)*45.945%,0),IF(AND(K186&gt;2250000,K186&lt;3500000),VLOOKUP(2250000,源泉DB!$B$260:$K$260,L186+3)+ROUNDDOWN((K186-2250000)*40.84%,0),IF(AND(K186&gt;2210000,K186&lt;2250000),VLOOKUP(2210000,源泉DB!$B$259:$K$259,L186+3)+ROUNDDOWN((K186-2210000)*40.84%,0),IF(AND(K186&gt;2170000,K186&lt;2210000),VLOOKUP(2170000,源泉DB!$B$258:$K$258,L186+3)+ROUNDDOWN((K186-2170000)*40.84%,0),IF(AND(K186&gt;1700000,K186&lt;2170000),VLOOKUP(1700000,源泉DB!$B$257:$K$257,L186+3)+ROUNDDOWN((K186-1700000)*40.84%,0),IF(AND(K186&gt;950000,K186&lt;1700000),VLOOKUP(950000,源泉DB!$B$256:$K$256,L186+3)+ROUNDDOWN((K186-950000)*33.693%,0),IF(AND(K186&gt;780000,K186&lt;950000),VLOOKUP(780000,源泉DB!$B$255:$K$255,L186+3)+ROUNDDOWN((K186-780000)*23.483%,0),IF(AND(K186&gt;740000,K186&lt;780000),VLOOKUP(740000,源泉DB!$B$254:$K$254,L186+3)+ROUNDDOWN((K186-740000)*20.42%,0),VLOOKUP(K186,源泉DB!$B$8:$K$299,L186+3))))))))),IF(F186="乙",IF(K186&gt;1700000,651900+(K186-1700000) *45.945%,IF(K186=1700000,651900,IF(AND(K186&gt;740000,K186&lt;1700000),259800+(K186-740000)*40.84%,IF(K186=740000,259800,IF(K186&lt;88000,ROUNDDOWN(K186*3.063%,9),VLOOKUP(K186,源泉DB!$B$8:$L$254,11)))))),"")),"")</f>
        <v/>
      </c>
      <c r="U186" s="165"/>
      <c r="V186" s="166"/>
      <c r="W186" s="166"/>
      <c r="X186" s="166"/>
      <c r="Y186" s="166"/>
      <c r="Z186" s="178">
        <f>ROUND(IFERROR(IF(($G186="加入"),VLOOKUP($I186,年金DB!$G$16:$P$65,6,TRUE),0),0)-0.1,0)</f>
        <v>0</v>
      </c>
      <c r="AA186" s="178">
        <f>ROUND(IFERROR(IF(AND($G186="加入",$D186&gt;=40,$D186&lt;=64),VLOOKUP($I186,年金DB!$G$16:$P$65,10,TRUE),0),0)-0.1,0)</f>
        <v>0</v>
      </c>
      <c r="AB186" s="178">
        <f>ROUND(IFERROR(IF(AND($G186="加入",$D186&lt;40),VLOOKUP($J186,年金DB!$G$16:$X$62,14,TRUE),IF(AND($G186="加入",$D186&gt;=40),VLOOKUP($J186,年金DB!$G$16:$X$62,14,TRUE),"0")),0)-0.1,0)</f>
        <v>0</v>
      </c>
      <c r="AC186" s="178">
        <f t="shared" si="17"/>
        <v>0</v>
      </c>
      <c r="AD186" s="21">
        <f t="shared" si="18"/>
        <v>0</v>
      </c>
      <c r="AE186" s="173">
        <f t="shared" si="19"/>
        <v>0</v>
      </c>
      <c r="AF186" s="14" t="str">
        <f t="shared" si="20"/>
        <v/>
      </c>
      <c r="AG186" s="14"/>
      <c r="AH186" s="14"/>
    </row>
    <row r="187" spans="1:34">
      <c r="A187" s="28"/>
      <c r="B187" s="180"/>
      <c r="C187" s="188"/>
      <c r="D187" s="161"/>
      <c r="E187" s="162"/>
      <c r="F187" s="162"/>
      <c r="G187" s="163"/>
      <c r="H187" s="285"/>
      <c r="I187" s="282"/>
      <c r="J187" s="16"/>
      <c r="K187" s="18">
        <f t="shared" si="14"/>
        <v>0</v>
      </c>
      <c r="L187" s="288">
        <v>0</v>
      </c>
      <c r="M187" s="291"/>
      <c r="N187" s="164"/>
      <c r="O187" s="164"/>
      <c r="P187" s="164"/>
      <c r="Q187" s="175">
        <f t="shared" si="15"/>
        <v>0</v>
      </c>
      <c r="R187" s="164"/>
      <c r="S187" s="197">
        <f t="shared" si="16"/>
        <v>0</v>
      </c>
      <c r="T187" s="201" t="str" cm="1">
        <f t="array" ref="T187">IFERROR(IF(F187="甲",IF(K187&gt;3500000,VLOOKUP(3500000,源泉DB!$B$261:$L$261,L187+3)+ROUNDDOWN((K187-3500000)*45.945%,0),IF(AND(K187&gt;2250000,K187&lt;3500000),VLOOKUP(2250000,源泉DB!$B$260:$K$260,L187+3)+ROUNDDOWN((K187-2250000)*40.84%,0),IF(AND(K187&gt;2210000,K187&lt;2250000),VLOOKUP(2210000,源泉DB!$B$259:$K$259,L187+3)+ROUNDDOWN((K187-2210000)*40.84%,0),IF(AND(K187&gt;2170000,K187&lt;2210000),VLOOKUP(2170000,源泉DB!$B$258:$K$258,L187+3)+ROUNDDOWN((K187-2170000)*40.84%,0),IF(AND(K187&gt;1700000,K187&lt;2170000),VLOOKUP(1700000,源泉DB!$B$257:$K$257,L187+3)+ROUNDDOWN((K187-1700000)*40.84%,0),IF(AND(K187&gt;950000,K187&lt;1700000),VLOOKUP(950000,源泉DB!$B$256:$K$256,L187+3)+ROUNDDOWN((K187-950000)*33.693%,0),IF(AND(K187&gt;780000,K187&lt;950000),VLOOKUP(780000,源泉DB!$B$255:$K$255,L187+3)+ROUNDDOWN((K187-780000)*23.483%,0),IF(AND(K187&gt;740000,K187&lt;780000),VLOOKUP(740000,源泉DB!$B$254:$K$254,L187+3)+ROUNDDOWN((K187-740000)*20.42%,0),VLOOKUP(K187,源泉DB!$B$8:$K$299,L187+3))))))))),IF(F187="乙",IF(K187&gt;1700000,651900+(K187-1700000) *45.945%,IF(K187=1700000,651900,IF(AND(K187&gt;740000,K187&lt;1700000),259800+(K187-740000)*40.84%,IF(K187=740000,259800,IF(K187&lt;88000,ROUNDDOWN(K187*3.063%,9),VLOOKUP(K187,源泉DB!$B$8:$L$254,11)))))),"")),"")</f>
        <v/>
      </c>
      <c r="U187" s="165"/>
      <c r="V187" s="166"/>
      <c r="W187" s="166"/>
      <c r="X187" s="166"/>
      <c r="Y187" s="166"/>
      <c r="Z187" s="178">
        <f>ROUND(IFERROR(IF(($G187="加入"),VLOOKUP($I187,年金DB!$G$16:$P$65,6,TRUE),0),0)-0.1,0)</f>
        <v>0</v>
      </c>
      <c r="AA187" s="178">
        <f>ROUND(IFERROR(IF(AND($G187="加入",$D187&gt;=40,$D187&lt;=64),VLOOKUP($I187,年金DB!$G$16:$P$65,10,TRUE),0),0)-0.1,0)</f>
        <v>0</v>
      </c>
      <c r="AB187" s="178">
        <f>ROUND(IFERROR(IF(AND($G187="加入",$D187&lt;40),VLOOKUP($J187,年金DB!$G$16:$X$62,14,TRUE),IF(AND($G187="加入",$D187&gt;=40),VLOOKUP($J187,年金DB!$G$16:$X$62,14,TRUE),"0")),0)-0.1,0)</f>
        <v>0</v>
      </c>
      <c r="AC187" s="178">
        <f t="shared" si="17"/>
        <v>0</v>
      </c>
      <c r="AD187" s="21">
        <f t="shared" si="18"/>
        <v>0</v>
      </c>
      <c r="AE187" s="173">
        <f t="shared" si="19"/>
        <v>0</v>
      </c>
      <c r="AF187" s="14" t="str">
        <f t="shared" si="20"/>
        <v/>
      </c>
      <c r="AG187" s="14"/>
      <c r="AH187" s="14"/>
    </row>
    <row r="188" spans="1:34">
      <c r="A188" s="28"/>
      <c r="B188" s="180"/>
      <c r="C188" s="188"/>
      <c r="D188" s="161"/>
      <c r="E188" s="162"/>
      <c r="F188" s="162"/>
      <c r="G188" s="163"/>
      <c r="H188" s="285"/>
      <c r="I188" s="282"/>
      <c r="J188" s="16"/>
      <c r="K188" s="18">
        <f t="shared" si="14"/>
        <v>0</v>
      </c>
      <c r="L188" s="288">
        <v>0</v>
      </c>
      <c r="M188" s="291"/>
      <c r="N188" s="164"/>
      <c r="O188" s="164"/>
      <c r="P188" s="164"/>
      <c r="Q188" s="175">
        <f t="shared" si="15"/>
        <v>0</v>
      </c>
      <c r="R188" s="164"/>
      <c r="S188" s="197">
        <f t="shared" si="16"/>
        <v>0</v>
      </c>
      <c r="T188" s="201" t="str" cm="1">
        <f t="array" ref="T188">IFERROR(IF(F188="甲",IF(K188&gt;3500000,VLOOKUP(3500000,源泉DB!$B$261:$L$261,L188+3)+ROUNDDOWN((K188-3500000)*45.945%,0),IF(AND(K188&gt;2250000,K188&lt;3500000),VLOOKUP(2250000,源泉DB!$B$260:$K$260,L188+3)+ROUNDDOWN((K188-2250000)*40.84%,0),IF(AND(K188&gt;2210000,K188&lt;2250000),VLOOKUP(2210000,源泉DB!$B$259:$K$259,L188+3)+ROUNDDOWN((K188-2210000)*40.84%,0),IF(AND(K188&gt;2170000,K188&lt;2210000),VLOOKUP(2170000,源泉DB!$B$258:$K$258,L188+3)+ROUNDDOWN((K188-2170000)*40.84%,0),IF(AND(K188&gt;1700000,K188&lt;2170000),VLOOKUP(1700000,源泉DB!$B$257:$K$257,L188+3)+ROUNDDOWN((K188-1700000)*40.84%,0),IF(AND(K188&gt;950000,K188&lt;1700000),VLOOKUP(950000,源泉DB!$B$256:$K$256,L188+3)+ROUNDDOWN((K188-950000)*33.693%,0),IF(AND(K188&gt;780000,K188&lt;950000),VLOOKUP(780000,源泉DB!$B$255:$K$255,L188+3)+ROUNDDOWN((K188-780000)*23.483%,0),IF(AND(K188&gt;740000,K188&lt;780000),VLOOKUP(740000,源泉DB!$B$254:$K$254,L188+3)+ROUNDDOWN((K188-740000)*20.42%,0),VLOOKUP(K188,源泉DB!$B$8:$K$299,L188+3))))))))),IF(F188="乙",IF(K188&gt;1700000,651900+(K188-1700000) *45.945%,IF(K188=1700000,651900,IF(AND(K188&gt;740000,K188&lt;1700000),259800+(K188-740000)*40.84%,IF(K188=740000,259800,IF(K188&lt;88000,ROUNDDOWN(K188*3.063%,9),VLOOKUP(K188,源泉DB!$B$8:$L$254,11)))))),"")),"")</f>
        <v/>
      </c>
      <c r="U188" s="165"/>
      <c r="V188" s="166"/>
      <c r="W188" s="166"/>
      <c r="X188" s="166"/>
      <c r="Y188" s="166"/>
      <c r="Z188" s="178">
        <f>ROUND(IFERROR(IF(($G188="加入"),VLOOKUP($I188,年金DB!$G$16:$P$65,6,TRUE),0),0)-0.1,0)</f>
        <v>0</v>
      </c>
      <c r="AA188" s="178">
        <f>ROUND(IFERROR(IF(AND($G188="加入",$D188&gt;=40,$D188&lt;=64),VLOOKUP($I188,年金DB!$G$16:$P$65,10,TRUE),0),0)-0.1,0)</f>
        <v>0</v>
      </c>
      <c r="AB188" s="178">
        <f>ROUND(IFERROR(IF(AND($G188="加入",$D188&lt;40),VLOOKUP($J188,年金DB!$G$16:$X$62,14,TRUE),IF(AND($G188="加入",$D188&gt;=40),VLOOKUP($J188,年金DB!$G$16:$X$62,14,TRUE),"0")),0)-0.1,0)</f>
        <v>0</v>
      </c>
      <c r="AC188" s="178">
        <f t="shared" si="17"/>
        <v>0</v>
      </c>
      <c r="AD188" s="21">
        <f t="shared" si="18"/>
        <v>0</v>
      </c>
      <c r="AE188" s="173">
        <f t="shared" si="19"/>
        <v>0</v>
      </c>
      <c r="AF188" s="14" t="str">
        <f t="shared" si="20"/>
        <v/>
      </c>
      <c r="AG188" s="14"/>
      <c r="AH188" s="14"/>
    </row>
    <row r="189" spans="1:34">
      <c r="A189" s="28"/>
      <c r="B189" s="180"/>
      <c r="C189" s="188"/>
      <c r="D189" s="161"/>
      <c r="E189" s="162"/>
      <c r="F189" s="162"/>
      <c r="G189" s="163"/>
      <c r="H189" s="285"/>
      <c r="I189" s="282"/>
      <c r="J189" s="16"/>
      <c r="K189" s="18">
        <f t="shared" si="14"/>
        <v>0</v>
      </c>
      <c r="L189" s="288">
        <v>0</v>
      </c>
      <c r="M189" s="291"/>
      <c r="N189" s="164"/>
      <c r="O189" s="164"/>
      <c r="P189" s="164"/>
      <c r="Q189" s="175">
        <f t="shared" si="15"/>
        <v>0</v>
      </c>
      <c r="R189" s="164"/>
      <c r="S189" s="197">
        <f t="shared" si="16"/>
        <v>0</v>
      </c>
      <c r="T189" s="201" t="str" cm="1">
        <f t="array" ref="T189">IFERROR(IF(F189="甲",IF(K189&gt;3500000,VLOOKUP(3500000,源泉DB!$B$261:$L$261,L189+3)+ROUNDDOWN((K189-3500000)*45.945%,0),IF(AND(K189&gt;2250000,K189&lt;3500000),VLOOKUP(2250000,源泉DB!$B$260:$K$260,L189+3)+ROUNDDOWN((K189-2250000)*40.84%,0),IF(AND(K189&gt;2210000,K189&lt;2250000),VLOOKUP(2210000,源泉DB!$B$259:$K$259,L189+3)+ROUNDDOWN((K189-2210000)*40.84%,0),IF(AND(K189&gt;2170000,K189&lt;2210000),VLOOKUP(2170000,源泉DB!$B$258:$K$258,L189+3)+ROUNDDOWN((K189-2170000)*40.84%,0),IF(AND(K189&gt;1700000,K189&lt;2170000),VLOOKUP(1700000,源泉DB!$B$257:$K$257,L189+3)+ROUNDDOWN((K189-1700000)*40.84%,0),IF(AND(K189&gt;950000,K189&lt;1700000),VLOOKUP(950000,源泉DB!$B$256:$K$256,L189+3)+ROUNDDOWN((K189-950000)*33.693%,0),IF(AND(K189&gt;780000,K189&lt;950000),VLOOKUP(780000,源泉DB!$B$255:$K$255,L189+3)+ROUNDDOWN((K189-780000)*23.483%,0),IF(AND(K189&gt;740000,K189&lt;780000),VLOOKUP(740000,源泉DB!$B$254:$K$254,L189+3)+ROUNDDOWN((K189-740000)*20.42%,0),VLOOKUP(K189,源泉DB!$B$8:$K$299,L189+3))))))))),IF(F189="乙",IF(K189&gt;1700000,651900+(K189-1700000) *45.945%,IF(K189=1700000,651900,IF(AND(K189&gt;740000,K189&lt;1700000),259800+(K189-740000)*40.84%,IF(K189=740000,259800,IF(K189&lt;88000,ROUNDDOWN(K189*3.063%,9),VLOOKUP(K189,源泉DB!$B$8:$L$254,11)))))),"")),"")</f>
        <v/>
      </c>
      <c r="U189" s="165"/>
      <c r="V189" s="166"/>
      <c r="W189" s="166"/>
      <c r="X189" s="166"/>
      <c r="Y189" s="166"/>
      <c r="Z189" s="178">
        <f>ROUND(IFERROR(IF(($G189="加入"),VLOOKUP($I189,年金DB!$G$16:$P$65,6,TRUE),0),0)-0.1,0)</f>
        <v>0</v>
      </c>
      <c r="AA189" s="178">
        <f>ROUND(IFERROR(IF(AND($G189="加入",$D189&gt;=40,$D189&lt;=64),VLOOKUP($I189,年金DB!$G$16:$P$65,10,TRUE),0),0)-0.1,0)</f>
        <v>0</v>
      </c>
      <c r="AB189" s="178">
        <f>ROUND(IFERROR(IF(AND($G189="加入",$D189&lt;40),VLOOKUP($J189,年金DB!$G$16:$X$62,14,TRUE),IF(AND($G189="加入",$D189&gt;=40),VLOOKUP($J189,年金DB!$G$16:$X$62,14,TRUE),"0")),0)-0.1,0)</f>
        <v>0</v>
      </c>
      <c r="AC189" s="178">
        <f t="shared" si="17"/>
        <v>0</v>
      </c>
      <c r="AD189" s="21">
        <f t="shared" si="18"/>
        <v>0</v>
      </c>
      <c r="AE189" s="173">
        <f t="shared" si="19"/>
        <v>0</v>
      </c>
      <c r="AF189" s="14" t="str">
        <f t="shared" si="20"/>
        <v/>
      </c>
      <c r="AG189" s="14"/>
      <c r="AH189" s="14"/>
    </row>
    <row r="190" spans="1:34">
      <c r="A190" s="28"/>
      <c r="B190" s="180"/>
      <c r="C190" s="188"/>
      <c r="D190" s="161"/>
      <c r="E190" s="162"/>
      <c r="F190" s="162"/>
      <c r="G190" s="163"/>
      <c r="H190" s="285"/>
      <c r="I190" s="282"/>
      <c r="J190" s="16"/>
      <c r="K190" s="18">
        <f t="shared" si="14"/>
        <v>0</v>
      </c>
      <c r="L190" s="288">
        <v>0</v>
      </c>
      <c r="M190" s="291"/>
      <c r="N190" s="164"/>
      <c r="O190" s="164"/>
      <c r="P190" s="164"/>
      <c r="Q190" s="175">
        <f t="shared" si="15"/>
        <v>0</v>
      </c>
      <c r="R190" s="164"/>
      <c r="S190" s="197">
        <f t="shared" si="16"/>
        <v>0</v>
      </c>
      <c r="T190" s="201" t="str" cm="1">
        <f t="array" ref="T190">IFERROR(IF(F190="甲",IF(K190&gt;3500000,VLOOKUP(3500000,源泉DB!$B$261:$L$261,L190+3)+ROUNDDOWN((K190-3500000)*45.945%,0),IF(AND(K190&gt;2250000,K190&lt;3500000),VLOOKUP(2250000,源泉DB!$B$260:$K$260,L190+3)+ROUNDDOWN((K190-2250000)*40.84%,0),IF(AND(K190&gt;2210000,K190&lt;2250000),VLOOKUP(2210000,源泉DB!$B$259:$K$259,L190+3)+ROUNDDOWN((K190-2210000)*40.84%,0),IF(AND(K190&gt;2170000,K190&lt;2210000),VLOOKUP(2170000,源泉DB!$B$258:$K$258,L190+3)+ROUNDDOWN((K190-2170000)*40.84%,0),IF(AND(K190&gt;1700000,K190&lt;2170000),VLOOKUP(1700000,源泉DB!$B$257:$K$257,L190+3)+ROUNDDOWN((K190-1700000)*40.84%,0),IF(AND(K190&gt;950000,K190&lt;1700000),VLOOKUP(950000,源泉DB!$B$256:$K$256,L190+3)+ROUNDDOWN((K190-950000)*33.693%,0),IF(AND(K190&gt;780000,K190&lt;950000),VLOOKUP(780000,源泉DB!$B$255:$K$255,L190+3)+ROUNDDOWN((K190-780000)*23.483%,0),IF(AND(K190&gt;740000,K190&lt;780000),VLOOKUP(740000,源泉DB!$B$254:$K$254,L190+3)+ROUNDDOWN((K190-740000)*20.42%,0),VLOOKUP(K190,源泉DB!$B$8:$K$299,L190+3))))))))),IF(F190="乙",IF(K190&gt;1700000,651900+(K190-1700000) *45.945%,IF(K190=1700000,651900,IF(AND(K190&gt;740000,K190&lt;1700000),259800+(K190-740000)*40.84%,IF(K190=740000,259800,IF(K190&lt;88000,ROUNDDOWN(K190*3.063%,9),VLOOKUP(K190,源泉DB!$B$8:$L$254,11)))))),"")),"")</f>
        <v/>
      </c>
      <c r="U190" s="165"/>
      <c r="V190" s="166"/>
      <c r="W190" s="166"/>
      <c r="X190" s="166"/>
      <c r="Y190" s="166"/>
      <c r="Z190" s="178">
        <f>ROUND(IFERROR(IF(($G190="加入"),VLOOKUP($I190,年金DB!$G$16:$P$65,6,TRUE),0),0)-0.1,0)</f>
        <v>0</v>
      </c>
      <c r="AA190" s="178">
        <f>ROUND(IFERROR(IF(AND($G190="加入",$D190&gt;=40,$D190&lt;=64),VLOOKUP($I190,年金DB!$G$16:$P$65,10,TRUE),0),0)-0.1,0)</f>
        <v>0</v>
      </c>
      <c r="AB190" s="178">
        <f>ROUND(IFERROR(IF(AND($G190="加入",$D190&lt;40),VLOOKUP($J190,年金DB!$G$16:$X$62,14,TRUE),IF(AND($G190="加入",$D190&gt;=40),VLOOKUP($J190,年金DB!$G$16:$X$62,14,TRUE),"0")),0)-0.1,0)</f>
        <v>0</v>
      </c>
      <c r="AC190" s="178">
        <f t="shared" si="17"/>
        <v>0</v>
      </c>
      <c r="AD190" s="21">
        <f t="shared" si="18"/>
        <v>0</v>
      </c>
      <c r="AE190" s="173">
        <f t="shared" si="19"/>
        <v>0</v>
      </c>
      <c r="AF190" s="14" t="str">
        <f t="shared" si="20"/>
        <v/>
      </c>
      <c r="AG190" s="14"/>
      <c r="AH190" s="14"/>
    </row>
    <row r="191" spans="1:34">
      <c r="A191" s="28"/>
      <c r="B191" s="180"/>
      <c r="C191" s="188"/>
      <c r="D191" s="161"/>
      <c r="E191" s="162"/>
      <c r="F191" s="162"/>
      <c r="G191" s="163"/>
      <c r="H191" s="285"/>
      <c r="I191" s="282"/>
      <c r="J191" s="16"/>
      <c r="K191" s="18">
        <f t="shared" si="14"/>
        <v>0</v>
      </c>
      <c r="L191" s="288">
        <v>0</v>
      </c>
      <c r="M191" s="291"/>
      <c r="N191" s="164"/>
      <c r="O191" s="164"/>
      <c r="P191" s="164"/>
      <c r="Q191" s="175">
        <f t="shared" si="15"/>
        <v>0</v>
      </c>
      <c r="R191" s="164"/>
      <c r="S191" s="197">
        <f t="shared" si="16"/>
        <v>0</v>
      </c>
      <c r="T191" s="201" t="str" cm="1">
        <f t="array" ref="T191">IFERROR(IF(F191="甲",IF(K191&gt;3500000,VLOOKUP(3500000,源泉DB!$B$261:$L$261,L191+3)+ROUNDDOWN((K191-3500000)*45.945%,0),IF(AND(K191&gt;2250000,K191&lt;3500000),VLOOKUP(2250000,源泉DB!$B$260:$K$260,L191+3)+ROUNDDOWN((K191-2250000)*40.84%,0),IF(AND(K191&gt;2210000,K191&lt;2250000),VLOOKUP(2210000,源泉DB!$B$259:$K$259,L191+3)+ROUNDDOWN((K191-2210000)*40.84%,0),IF(AND(K191&gt;2170000,K191&lt;2210000),VLOOKUP(2170000,源泉DB!$B$258:$K$258,L191+3)+ROUNDDOWN((K191-2170000)*40.84%,0),IF(AND(K191&gt;1700000,K191&lt;2170000),VLOOKUP(1700000,源泉DB!$B$257:$K$257,L191+3)+ROUNDDOWN((K191-1700000)*40.84%,0),IF(AND(K191&gt;950000,K191&lt;1700000),VLOOKUP(950000,源泉DB!$B$256:$K$256,L191+3)+ROUNDDOWN((K191-950000)*33.693%,0),IF(AND(K191&gt;780000,K191&lt;950000),VLOOKUP(780000,源泉DB!$B$255:$K$255,L191+3)+ROUNDDOWN((K191-780000)*23.483%,0),IF(AND(K191&gt;740000,K191&lt;780000),VLOOKUP(740000,源泉DB!$B$254:$K$254,L191+3)+ROUNDDOWN((K191-740000)*20.42%,0),VLOOKUP(K191,源泉DB!$B$8:$K$299,L191+3))))))))),IF(F191="乙",IF(K191&gt;1700000,651900+(K191-1700000) *45.945%,IF(K191=1700000,651900,IF(AND(K191&gt;740000,K191&lt;1700000),259800+(K191-740000)*40.84%,IF(K191=740000,259800,IF(K191&lt;88000,ROUNDDOWN(K191*3.063%,9),VLOOKUP(K191,源泉DB!$B$8:$L$254,11)))))),"")),"")</f>
        <v/>
      </c>
      <c r="U191" s="165"/>
      <c r="V191" s="166"/>
      <c r="W191" s="166"/>
      <c r="X191" s="166"/>
      <c r="Y191" s="166"/>
      <c r="Z191" s="178">
        <f>ROUND(IFERROR(IF(($G191="加入"),VLOOKUP($I191,年金DB!$G$16:$P$65,6,TRUE),0),0)-0.1,0)</f>
        <v>0</v>
      </c>
      <c r="AA191" s="178">
        <f>ROUND(IFERROR(IF(AND($G191="加入",$D191&gt;=40,$D191&lt;=64),VLOOKUP($I191,年金DB!$G$16:$P$65,10,TRUE),0),0)-0.1,0)</f>
        <v>0</v>
      </c>
      <c r="AB191" s="178">
        <f>ROUND(IFERROR(IF(AND($G191="加入",$D191&lt;40),VLOOKUP($J191,年金DB!$G$16:$X$62,14,TRUE),IF(AND($G191="加入",$D191&gt;=40),VLOOKUP($J191,年金DB!$G$16:$X$62,14,TRUE),"0")),0)-0.1,0)</f>
        <v>0</v>
      </c>
      <c r="AC191" s="178">
        <f t="shared" si="17"/>
        <v>0</v>
      </c>
      <c r="AD191" s="21">
        <f t="shared" si="18"/>
        <v>0</v>
      </c>
      <c r="AE191" s="173">
        <f t="shared" si="19"/>
        <v>0</v>
      </c>
      <c r="AF191" s="14" t="str">
        <f t="shared" si="20"/>
        <v/>
      </c>
      <c r="AG191" s="14"/>
      <c r="AH191" s="14"/>
    </row>
    <row r="192" spans="1:34">
      <c r="A192" s="28"/>
      <c r="B192" s="180"/>
      <c r="C192" s="188"/>
      <c r="D192" s="161"/>
      <c r="E192" s="162"/>
      <c r="F192" s="162"/>
      <c r="G192" s="163"/>
      <c r="H192" s="285"/>
      <c r="I192" s="282"/>
      <c r="J192" s="16"/>
      <c r="K192" s="18">
        <f t="shared" si="14"/>
        <v>0</v>
      </c>
      <c r="L192" s="288">
        <v>0</v>
      </c>
      <c r="M192" s="291"/>
      <c r="N192" s="164"/>
      <c r="O192" s="164"/>
      <c r="P192" s="164"/>
      <c r="Q192" s="175">
        <f t="shared" si="15"/>
        <v>0</v>
      </c>
      <c r="R192" s="164"/>
      <c r="S192" s="197">
        <f t="shared" si="16"/>
        <v>0</v>
      </c>
      <c r="T192" s="201" t="str" cm="1">
        <f t="array" ref="T192">IFERROR(IF(F192="甲",IF(K192&gt;3500000,VLOOKUP(3500000,源泉DB!$B$261:$L$261,L192+3)+ROUNDDOWN((K192-3500000)*45.945%,0),IF(AND(K192&gt;2250000,K192&lt;3500000),VLOOKUP(2250000,源泉DB!$B$260:$K$260,L192+3)+ROUNDDOWN((K192-2250000)*40.84%,0),IF(AND(K192&gt;2210000,K192&lt;2250000),VLOOKUP(2210000,源泉DB!$B$259:$K$259,L192+3)+ROUNDDOWN((K192-2210000)*40.84%,0),IF(AND(K192&gt;2170000,K192&lt;2210000),VLOOKUP(2170000,源泉DB!$B$258:$K$258,L192+3)+ROUNDDOWN((K192-2170000)*40.84%,0),IF(AND(K192&gt;1700000,K192&lt;2170000),VLOOKUP(1700000,源泉DB!$B$257:$K$257,L192+3)+ROUNDDOWN((K192-1700000)*40.84%,0),IF(AND(K192&gt;950000,K192&lt;1700000),VLOOKUP(950000,源泉DB!$B$256:$K$256,L192+3)+ROUNDDOWN((K192-950000)*33.693%,0),IF(AND(K192&gt;780000,K192&lt;950000),VLOOKUP(780000,源泉DB!$B$255:$K$255,L192+3)+ROUNDDOWN((K192-780000)*23.483%,0),IF(AND(K192&gt;740000,K192&lt;780000),VLOOKUP(740000,源泉DB!$B$254:$K$254,L192+3)+ROUNDDOWN((K192-740000)*20.42%,0),VLOOKUP(K192,源泉DB!$B$8:$K$299,L192+3))))))))),IF(F192="乙",IF(K192&gt;1700000,651900+(K192-1700000) *45.945%,IF(K192=1700000,651900,IF(AND(K192&gt;740000,K192&lt;1700000),259800+(K192-740000)*40.84%,IF(K192=740000,259800,IF(K192&lt;88000,ROUNDDOWN(K192*3.063%,9),VLOOKUP(K192,源泉DB!$B$8:$L$254,11)))))),"")),"")</f>
        <v/>
      </c>
      <c r="U192" s="165"/>
      <c r="V192" s="166"/>
      <c r="W192" s="166"/>
      <c r="X192" s="166"/>
      <c r="Y192" s="166"/>
      <c r="Z192" s="178">
        <f>ROUND(IFERROR(IF(($G192="加入"),VLOOKUP($I192,年金DB!$G$16:$P$65,6,TRUE),0),0)-0.1,0)</f>
        <v>0</v>
      </c>
      <c r="AA192" s="178">
        <f>ROUND(IFERROR(IF(AND($G192="加入",$D192&gt;=40,$D192&lt;=64),VLOOKUP($I192,年金DB!$G$16:$P$65,10,TRUE),0),0)-0.1,0)</f>
        <v>0</v>
      </c>
      <c r="AB192" s="178">
        <f>ROUND(IFERROR(IF(AND($G192="加入",$D192&lt;40),VLOOKUP($J192,年金DB!$G$16:$X$62,14,TRUE),IF(AND($G192="加入",$D192&gt;=40),VLOOKUP($J192,年金DB!$G$16:$X$62,14,TRUE),"0")),0)-0.1,0)</f>
        <v>0</v>
      </c>
      <c r="AC192" s="178">
        <f t="shared" si="17"/>
        <v>0</v>
      </c>
      <c r="AD192" s="21">
        <f t="shared" si="18"/>
        <v>0</v>
      </c>
      <c r="AE192" s="173">
        <f t="shared" si="19"/>
        <v>0</v>
      </c>
      <c r="AF192" s="14" t="str">
        <f t="shared" si="20"/>
        <v/>
      </c>
      <c r="AG192" s="14"/>
      <c r="AH192" s="14"/>
    </row>
    <row r="193" spans="1:34">
      <c r="A193" s="28"/>
      <c r="B193" s="180"/>
      <c r="C193" s="188"/>
      <c r="D193" s="161"/>
      <c r="E193" s="162"/>
      <c r="F193" s="162"/>
      <c r="G193" s="163"/>
      <c r="H193" s="285"/>
      <c r="I193" s="282"/>
      <c r="J193" s="16"/>
      <c r="K193" s="18">
        <f t="shared" si="14"/>
        <v>0</v>
      </c>
      <c r="L193" s="288">
        <v>0</v>
      </c>
      <c r="M193" s="291"/>
      <c r="N193" s="164"/>
      <c r="O193" s="164"/>
      <c r="P193" s="164"/>
      <c r="Q193" s="175">
        <f t="shared" si="15"/>
        <v>0</v>
      </c>
      <c r="R193" s="164"/>
      <c r="S193" s="197">
        <f t="shared" si="16"/>
        <v>0</v>
      </c>
      <c r="T193" s="201" t="str" cm="1">
        <f t="array" ref="T193">IFERROR(IF(F193="甲",IF(K193&gt;3500000,VLOOKUP(3500000,源泉DB!$B$261:$L$261,L193+3)+ROUNDDOWN((K193-3500000)*45.945%,0),IF(AND(K193&gt;2250000,K193&lt;3500000),VLOOKUP(2250000,源泉DB!$B$260:$K$260,L193+3)+ROUNDDOWN((K193-2250000)*40.84%,0),IF(AND(K193&gt;2210000,K193&lt;2250000),VLOOKUP(2210000,源泉DB!$B$259:$K$259,L193+3)+ROUNDDOWN((K193-2210000)*40.84%,0),IF(AND(K193&gt;2170000,K193&lt;2210000),VLOOKUP(2170000,源泉DB!$B$258:$K$258,L193+3)+ROUNDDOWN((K193-2170000)*40.84%,0),IF(AND(K193&gt;1700000,K193&lt;2170000),VLOOKUP(1700000,源泉DB!$B$257:$K$257,L193+3)+ROUNDDOWN((K193-1700000)*40.84%,0),IF(AND(K193&gt;950000,K193&lt;1700000),VLOOKUP(950000,源泉DB!$B$256:$K$256,L193+3)+ROUNDDOWN((K193-950000)*33.693%,0),IF(AND(K193&gt;780000,K193&lt;950000),VLOOKUP(780000,源泉DB!$B$255:$K$255,L193+3)+ROUNDDOWN((K193-780000)*23.483%,0),IF(AND(K193&gt;740000,K193&lt;780000),VLOOKUP(740000,源泉DB!$B$254:$K$254,L193+3)+ROUNDDOWN((K193-740000)*20.42%,0),VLOOKUP(K193,源泉DB!$B$8:$K$299,L193+3))))))))),IF(F193="乙",IF(K193&gt;1700000,651900+(K193-1700000) *45.945%,IF(K193=1700000,651900,IF(AND(K193&gt;740000,K193&lt;1700000),259800+(K193-740000)*40.84%,IF(K193=740000,259800,IF(K193&lt;88000,ROUNDDOWN(K193*3.063%,9),VLOOKUP(K193,源泉DB!$B$8:$L$254,11)))))),"")),"")</f>
        <v/>
      </c>
      <c r="U193" s="165"/>
      <c r="V193" s="166"/>
      <c r="W193" s="166"/>
      <c r="X193" s="166"/>
      <c r="Y193" s="166"/>
      <c r="Z193" s="178">
        <f>ROUND(IFERROR(IF(($G193="加入"),VLOOKUP($I193,年金DB!$G$16:$P$65,6,TRUE),0),0)-0.1,0)</f>
        <v>0</v>
      </c>
      <c r="AA193" s="178">
        <f>ROUND(IFERROR(IF(AND($G193="加入",$D193&gt;=40,$D193&lt;=64),VLOOKUP($I193,年金DB!$G$16:$P$65,10,TRUE),0),0)-0.1,0)</f>
        <v>0</v>
      </c>
      <c r="AB193" s="178">
        <f>ROUND(IFERROR(IF(AND($G193="加入",$D193&lt;40),VLOOKUP($J193,年金DB!$G$16:$X$62,14,TRUE),IF(AND($G193="加入",$D193&gt;=40),VLOOKUP($J193,年金DB!$G$16:$X$62,14,TRUE),"0")),0)-0.1,0)</f>
        <v>0</v>
      </c>
      <c r="AC193" s="178">
        <f t="shared" si="17"/>
        <v>0</v>
      </c>
      <c r="AD193" s="21">
        <f t="shared" si="18"/>
        <v>0</v>
      </c>
      <c r="AE193" s="173">
        <f t="shared" si="19"/>
        <v>0</v>
      </c>
      <c r="AF193" s="14" t="str">
        <f t="shared" si="20"/>
        <v/>
      </c>
      <c r="AG193" s="14"/>
      <c r="AH193" s="14"/>
    </row>
    <row r="194" spans="1:34">
      <c r="A194" s="28"/>
      <c r="B194" s="180"/>
      <c r="C194" s="188"/>
      <c r="D194" s="161"/>
      <c r="E194" s="162"/>
      <c r="F194" s="162"/>
      <c r="G194" s="163"/>
      <c r="H194" s="285"/>
      <c r="I194" s="282"/>
      <c r="J194" s="16"/>
      <c r="K194" s="18">
        <f t="shared" si="14"/>
        <v>0</v>
      </c>
      <c r="L194" s="288">
        <v>0</v>
      </c>
      <c r="M194" s="291"/>
      <c r="N194" s="164"/>
      <c r="O194" s="164"/>
      <c r="P194" s="164"/>
      <c r="Q194" s="175">
        <f t="shared" si="15"/>
        <v>0</v>
      </c>
      <c r="R194" s="164"/>
      <c r="S194" s="197">
        <f t="shared" si="16"/>
        <v>0</v>
      </c>
      <c r="T194" s="201" t="str" cm="1">
        <f t="array" ref="T194">IFERROR(IF(F194="甲",IF(K194&gt;3500000,VLOOKUP(3500000,源泉DB!$B$261:$L$261,L194+3)+ROUNDDOWN((K194-3500000)*45.945%,0),IF(AND(K194&gt;2250000,K194&lt;3500000),VLOOKUP(2250000,源泉DB!$B$260:$K$260,L194+3)+ROUNDDOWN((K194-2250000)*40.84%,0),IF(AND(K194&gt;2210000,K194&lt;2250000),VLOOKUP(2210000,源泉DB!$B$259:$K$259,L194+3)+ROUNDDOWN((K194-2210000)*40.84%,0),IF(AND(K194&gt;2170000,K194&lt;2210000),VLOOKUP(2170000,源泉DB!$B$258:$K$258,L194+3)+ROUNDDOWN((K194-2170000)*40.84%,0),IF(AND(K194&gt;1700000,K194&lt;2170000),VLOOKUP(1700000,源泉DB!$B$257:$K$257,L194+3)+ROUNDDOWN((K194-1700000)*40.84%,0),IF(AND(K194&gt;950000,K194&lt;1700000),VLOOKUP(950000,源泉DB!$B$256:$K$256,L194+3)+ROUNDDOWN((K194-950000)*33.693%,0),IF(AND(K194&gt;780000,K194&lt;950000),VLOOKUP(780000,源泉DB!$B$255:$K$255,L194+3)+ROUNDDOWN((K194-780000)*23.483%,0),IF(AND(K194&gt;740000,K194&lt;780000),VLOOKUP(740000,源泉DB!$B$254:$K$254,L194+3)+ROUNDDOWN((K194-740000)*20.42%,0),VLOOKUP(K194,源泉DB!$B$8:$K$299,L194+3))))))))),IF(F194="乙",IF(K194&gt;1700000,651900+(K194-1700000) *45.945%,IF(K194=1700000,651900,IF(AND(K194&gt;740000,K194&lt;1700000),259800+(K194-740000)*40.84%,IF(K194=740000,259800,IF(K194&lt;88000,ROUNDDOWN(K194*3.063%,9),VLOOKUP(K194,源泉DB!$B$8:$L$254,11)))))),"")),"")</f>
        <v/>
      </c>
      <c r="U194" s="165"/>
      <c r="V194" s="166"/>
      <c r="W194" s="166"/>
      <c r="X194" s="166"/>
      <c r="Y194" s="166"/>
      <c r="Z194" s="178">
        <f>ROUND(IFERROR(IF(($G194="加入"),VLOOKUP($I194,年金DB!$G$16:$P$65,6,TRUE),0),0)-0.1,0)</f>
        <v>0</v>
      </c>
      <c r="AA194" s="178">
        <f>ROUND(IFERROR(IF(AND($G194="加入",$D194&gt;=40,$D194&lt;=64),VLOOKUP($I194,年金DB!$G$16:$P$65,10,TRUE),0),0)-0.1,0)</f>
        <v>0</v>
      </c>
      <c r="AB194" s="178">
        <f>ROUND(IFERROR(IF(AND($G194="加入",$D194&lt;40),VLOOKUP($J194,年金DB!$G$16:$X$62,14,TRUE),IF(AND($G194="加入",$D194&gt;=40),VLOOKUP($J194,年金DB!$G$16:$X$62,14,TRUE),"0")),0)-0.1,0)</f>
        <v>0</v>
      </c>
      <c r="AC194" s="178">
        <f t="shared" si="17"/>
        <v>0</v>
      </c>
      <c r="AD194" s="21">
        <f t="shared" si="18"/>
        <v>0</v>
      </c>
      <c r="AE194" s="173">
        <f t="shared" si="19"/>
        <v>0</v>
      </c>
      <c r="AF194" s="14" t="str">
        <f t="shared" si="20"/>
        <v/>
      </c>
      <c r="AG194" s="14"/>
      <c r="AH194" s="14"/>
    </row>
    <row r="195" spans="1:34">
      <c r="A195" s="28"/>
      <c r="B195" s="180"/>
      <c r="C195" s="188"/>
      <c r="D195" s="161"/>
      <c r="E195" s="162"/>
      <c r="F195" s="162"/>
      <c r="G195" s="163"/>
      <c r="H195" s="285"/>
      <c r="I195" s="282"/>
      <c r="J195" s="16"/>
      <c r="K195" s="18">
        <f t="shared" si="14"/>
        <v>0</v>
      </c>
      <c r="L195" s="288">
        <v>0</v>
      </c>
      <c r="M195" s="291"/>
      <c r="N195" s="164"/>
      <c r="O195" s="164"/>
      <c r="P195" s="164"/>
      <c r="Q195" s="175">
        <f t="shared" si="15"/>
        <v>0</v>
      </c>
      <c r="R195" s="164"/>
      <c r="S195" s="197">
        <f t="shared" si="16"/>
        <v>0</v>
      </c>
      <c r="T195" s="201" t="str" cm="1">
        <f t="array" ref="T195">IFERROR(IF(F195="甲",IF(K195&gt;3500000,VLOOKUP(3500000,源泉DB!$B$261:$L$261,L195+3)+ROUNDDOWN((K195-3500000)*45.945%,0),IF(AND(K195&gt;2250000,K195&lt;3500000),VLOOKUP(2250000,源泉DB!$B$260:$K$260,L195+3)+ROUNDDOWN((K195-2250000)*40.84%,0),IF(AND(K195&gt;2210000,K195&lt;2250000),VLOOKUP(2210000,源泉DB!$B$259:$K$259,L195+3)+ROUNDDOWN((K195-2210000)*40.84%,0),IF(AND(K195&gt;2170000,K195&lt;2210000),VLOOKUP(2170000,源泉DB!$B$258:$K$258,L195+3)+ROUNDDOWN((K195-2170000)*40.84%,0),IF(AND(K195&gt;1700000,K195&lt;2170000),VLOOKUP(1700000,源泉DB!$B$257:$K$257,L195+3)+ROUNDDOWN((K195-1700000)*40.84%,0),IF(AND(K195&gt;950000,K195&lt;1700000),VLOOKUP(950000,源泉DB!$B$256:$K$256,L195+3)+ROUNDDOWN((K195-950000)*33.693%,0),IF(AND(K195&gt;780000,K195&lt;950000),VLOOKUP(780000,源泉DB!$B$255:$K$255,L195+3)+ROUNDDOWN((K195-780000)*23.483%,0),IF(AND(K195&gt;740000,K195&lt;780000),VLOOKUP(740000,源泉DB!$B$254:$K$254,L195+3)+ROUNDDOWN((K195-740000)*20.42%,0),VLOOKUP(K195,源泉DB!$B$8:$K$299,L195+3))))))))),IF(F195="乙",IF(K195&gt;1700000,651900+(K195-1700000) *45.945%,IF(K195=1700000,651900,IF(AND(K195&gt;740000,K195&lt;1700000),259800+(K195-740000)*40.84%,IF(K195=740000,259800,IF(K195&lt;88000,ROUNDDOWN(K195*3.063%,9),VLOOKUP(K195,源泉DB!$B$8:$L$254,11)))))),"")),"")</f>
        <v/>
      </c>
      <c r="U195" s="165"/>
      <c r="V195" s="166"/>
      <c r="W195" s="166"/>
      <c r="X195" s="166"/>
      <c r="Y195" s="166"/>
      <c r="Z195" s="178">
        <f>ROUND(IFERROR(IF(($G195="加入"),VLOOKUP($I195,年金DB!$G$16:$P$65,6,TRUE),0),0)-0.1,0)</f>
        <v>0</v>
      </c>
      <c r="AA195" s="178">
        <f>ROUND(IFERROR(IF(AND($G195="加入",$D195&gt;=40,$D195&lt;=64),VLOOKUP($I195,年金DB!$G$16:$P$65,10,TRUE),0),0)-0.1,0)</f>
        <v>0</v>
      </c>
      <c r="AB195" s="178">
        <f>ROUND(IFERROR(IF(AND($G195="加入",$D195&lt;40),VLOOKUP($J195,年金DB!$G$16:$X$62,14,TRUE),IF(AND($G195="加入",$D195&gt;=40),VLOOKUP($J195,年金DB!$G$16:$X$62,14,TRUE),"0")),0)-0.1,0)</f>
        <v>0</v>
      </c>
      <c r="AC195" s="178">
        <f t="shared" si="17"/>
        <v>0</v>
      </c>
      <c r="AD195" s="21">
        <f t="shared" si="18"/>
        <v>0</v>
      </c>
      <c r="AE195" s="173">
        <f t="shared" si="19"/>
        <v>0</v>
      </c>
      <c r="AF195" s="14" t="str">
        <f t="shared" si="20"/>
        <v/>
      </c>
      <c r="AG195" s="14"/>
      <c r="AH195" s="14"/>
    </row>
    <row r="196" spans="1:34">
      <c r="A196" s="28"/>
      <c r="B196" s="180"/>
      <c r="C196" s="188"/>
      <c r="D196" s="161"/>
      <c r="E196" s="162"/>
      <c r="F196" s="162"/>
      <c r="G196" s="163"/>
      <c r="H196" s="285"/>
      <c r="I196" s="282"/>
      <c r="J196" s="16"/>
      <c r="K196" s="18">
        <f t="shared" si="14"/>
        <v>0</v>
      </c>
      <c r="L196" s="288">
        <v>0</v>
      </c>
      <c r="M196" s="291"/>
      <c r="N196" s="164"/>
      <c r="O196" s="164"/>
      <c r="P196" s="164"/>
      <c r="Q196" s="175">
        <f t="shared" si="15"/>
        <v>0</v>
      </c>
      <c r="R196" s="164"/>
      <c r="S196" s="197">
        <f t="shared" si="16"/>
        <v>0</v>
      </c>
      <c r="T196" s="201" t="str" cm="1">
        <f t="array" ref="T196">IFERROR(IF(F196="甲",IF(K196&gt;3500000,VLOOKUP(3500000,源泉DB!$B$261:$L$261,L196+3)+ROUNDDOWN((K196-3500000)*45.945%,0),IF(AND(K196&gt;2250000,K196&lt;3500000),VLOOKUP(2250000,源泉DB!$B$260:$K$260,L196+3)+ROUNDDOWN((K196-2250000)*40.84%,0),IF(AND(K196&gt;2210000,K196&lt;2250000),VLOOKUP(2210000,源泉DB!$B$259:$K$259,L196+3)+ROUNDDOWN((K196-2210000)*40.84%,0),IF(AND(K196&gt;2170000,K196&lt;2210000),VLOOKUP(2170000,源泉DB!$B$258:$K$258,L196+3)+ROUNDDOWN((K196-2170000)*40.84%,0),IF(AND(K196&gt;1700000,K196&lt;2170000),VLOOKUP(1700000,源泉DB!$B$257:$K$257,L196+3)+ROUNDDOWN((K196-1700000)*40.84%,0),IF(AND(K196&gt;950000,K196&lt;1700000),VLOOKUP(950000,源泉DB!$B$256:$K$256,L196+3)+ROUNDDOWN((K196-950000)*33.693%,0),IF(AND(K196&gt;780000,K196&lt;950000),VLOOKUP(780000,源泉DB!$B$255:$K$255,L196+3)+ROUNDDOWN((K196-780000)*23.483%,0),IF(AND(K196&gt;740000,K196&lt;780000),VLOOKUP(740000,源泉DB!$B$254:$K$254,L196+3)+ROUNDDOWN((K196-740000)*20.42%,0),VLOOKUP(K196,源泉DB!$B$8:$K$299,L196+3))))))))),IF(F196="乙",IF(K196&gt;1700000,651900+(K196-1700000) *45.945%,IF(K196=1700000,651900,IF(AND(K196&gt;740000,K196&lt;1700000),259800+(K196-740000)*40.84%,IF(K196=740000,259800,IF(K196&lt;88000,ROUNDDOWN(K196*3.063%,9),VLOOKUP(K196,源泉DB!$B$8:$L$254,11)))))),"")),"")</f>
        <v/>
      </c>
      <c r="U196" s="165"/>
      <c r="V196" s="166"/>
      <c r="W196" s="166"/>
      <c r="X196" s="166"/>
      <c r="Y196" s="166"/>
      <c r="Z196" s="178">
        <f>ROUND(IFERROR(IF(($G196="加入"),VLOOKUP($I196,年金DB!$G$16:$P$65,6,TRUE),0),0)-0.1,0)</f>
        <v>0</v>
      </c>
      <c r="AA196" s="178">
        <f>ROUND(IFERROR(IF(AND($G196="加入",$D196&gt;=40,$D196&lt;=64),VLOOKUP($I196,年金DB!$G$16:$P$65,10,TRUE),0),0)-0.1,0)</f>
        <v>0</v>
      </c>
      <c r="AB196" s="178">
        <f>ROUND(IFERROR(IF(AND($G196="加入",$D196&lt;40),VLOOKUP($J196,年金DB!$G$16:$X$62,14,TRUE),IF(AND($G196="加入",$D196&gt;=40),VLOOKUP($J196,年金DB!$G$16:$X$62,14,TRUE),"0")),0)-0.1,0)</f>
        <v>0</v>
      </c>
      <c r="AC196" s="178">
        <f t="shared" si="17"/>
        <v>0</v>
      </c>
      <c r="AD196" s="21">
        <f t="shared" si="18"/>
        <v>0</v>
      </c>
      <c r="AE196" s="173">
        <f t="shared" si="19"/>
        <v>0</v>
      </c>
      <c r="AF196" s="14" t="str">
        <f t="shared" si="20"/>
        <v/>
      </c>
      <c r="AG196" s="14"/>
      <c r="AH196" s="14"/>
    </row>
    <row r="197" spans="1:34">
      <c r="A197" s="28"/>
      <c r="B197" s="180"/>
      <c r="C197" s="188"/>
      <c r="D197" s="161"/>
      <c r="E197" s="162"/>
      <c r="F197" s="162"/>
      <c r="G197" s="163"/>
      <c r="H197" s="285"/>
      <c r="I197" s="282"/>
      <c r="J197" s="16"/>
      <c r="K197" s="18">
        <f t="shared" si="14"/>
        <v>0</v>
      </c>
      <c r="L197" s="288">
        <v>0</v>
      </c>
      <c r="M197" s="291"/>
      <c r="N197" s="164"/>
      <c r="O197" s="164"/>
      <c r="P197" s="164"/>
      <c r="Q197" s="175">
        <f t="shared" si="15"/>
        <v>0</v>
      </c>
      <c r="R197" s="164"/>
      <c r="S197" s="197">
        <f t="shared" si="16"/>
        <v>0</v>
      </c>
      <c r="T197" s="201" t="str" cm="1">
        <f t="array" ref="T197">IFERROR(IF(F197="甲",IF(K197&gt;3500000,VLOOKUP(3500000,源泉DB!$B$261:$L$261,L197+3)+ROUNDDOWN((K197-3500000)*45.945%,0),IF(AND(K197&gt;2250000,K197&lt;3500000),VLOOKUP(2250000,源泉DB!$B$260:$K$260,L197+3)+ROUNDDOWN((K197-2250000)*40.84%,0),IF(AND(K197&gt;2210000,K197&lt;2250000),VLOOKUP(2210000,源泉DB!$B$259:$K$259,L197+3)+ROUNDDOWN((K197-2210000)*40.84%,0),IF(AND(K197&gt;2170000,K197&lt;2210000),VLOOKUP(2170000,源泉DB!$B$258:$K$258,L197+3)+ROUNDDOWN((K197-2170000)*40.84%,0),IF(AND(K197&gt;1700000,K197&lt;2170000),VLOOKUP(1700000,源泉DB!$B$257:$K$257,L197+3)+ROUNDDOWN((K197-1700000)*40.84%,0),IF(AND(K197&gt;950000,K197&lt;1700000),VLOOKUP(950000,源泉DB!$B$256:$K$256,L197+3)+ROUNDDOWN((K197-950000)*33.693%,0),IF(AND(K197&gt;780000,K197&lt;950000),VLOOKUP(780000,源泉DB!$B$255:$K$255,L197+3)+ROUNDDOWN((K197-780000)*23.483%,0),IF(AND(K197&gt;740000,K197&lt;780000),VLOOKUP(740000,源泉DB!$B$254:$K$254,L197+3)+ROUNDDOWN((K197-740000)*20.42%,0),VLOOKUP(K197,源泉DB!$B$8:$K$299,L197+3))))))))),IF(F197="乙",IF(K197&gt;1700000,651900+(K197-1700000) *45.945%,IF(K197=1700000,651900,IF(AND(K197&gt;740000,K197&lt;1700000),259800+(K197-740000)*40.84%,IF(K197=740000,259800,IF(K197&lt;88000,ROUNDDOWN(K197*3.063%,9),VLOOKUP(K197,源泉DB!$B$8:$L$254,11)))))),"")),"")</f>
        <v/>
      </c>
      <c r="U197" s="165"/>
      <c r="V197" s="166"/>
      <c r="W197" s="166"/>
      <c r="X197" s="166"/>
      <c r="Y197" s="166"/>
      <c r="Z197" s="178">
        <f>ROUND(IFERROR(IF(($G197="加入"),VLOOKUP($I197,年金DB!$G$16:$P$65,6,TRUE),0),0)-0.1,0)</f>
        <v>0</v>
      </c>
      <c r="AA197" s="178">
        <f>ROUND(IFERROR(IF(AND($G197="加入",$D197&gt;=40,$D197&lt;=64),VLOOKUP($I197,年金DB!$G$16:$P$65,10,TRUE),0),0)-0.1,0)</f>
        <v>0</v>
      </c>
      <c r="AB197" s="178">
        <f>ROUND(IFERROR(IF(AND($G197="加入",$D197&lt;40),VLOOKUP($J197,年金DB!$G$16:$X$62,14,TRUE),IF(AND($G197="加入",$D197&gt;=40),VLOOKUP($J197,年金DB!$G$16:$X$62,14,TRUE),"0")),0)-0.1,0)</f>
        <v>0</v>
      </c>
      <c r="AC197" s="178">
        <f t="shared" si="17"/>
        <v>0</v>
      </c>
      <c r="AD197" s="21">
        <f t="shared" si="18"/>
        <v>0</v>
      </c>
      <c r="AE197" s="173">
        <f t="shared" si="19"/>
        <v>0</v>
      </c>
      <c r="AF197" s="14" t="str">
        <f t="shared" si="20"/>
        <v/>
      </c>
      <c r="AG197" s="14"/>
      <c r="AH197" s="14"/>
    </row>
    <row r="198" spans="1:34">
      <c r="A198" s="28"/>
      <c r="B198" s="180"/>
      <c r="C198" s="188"/>
      <c r="D198" s="161"/>
      <c r="E198" s="162"/>
      <c r="F198" s="162"/>
      <c r="G198" s="163"/>
      <c r="H198" s="285"/>
      <c r="I198" s="282"/>
      <c r="J198" s="16"/>
      <c r="K198" s="18">
        <f t="shared" si="14"/>
        <v>0</v>
      </c>
      <c r="L198" s="288">
        <v>0</v>
      </c>
      <c r="M198" s="291"/>
      <c r="N198" s="164"/>
      <c r="O198" s="164"/>
      <c r="P198" s="164"/>
      <c r="Q198" s="175">
        <f t="shared" si="15"/>
        <v>0</v>
      </c>
      <c r="R198" s="164"/>
      <c r="S198" s="197">
        <f t="shared" si="16"/>
        <v>0</v>
      </c>
      <c r="T198" s="201" t="str" cm="1">
        <f t="array" ref="T198">IFERROR(IF(F198="甲",IF(K198&gt;3500000,VLOOKUP(3500000,源泉DB!$B$261:$L$261,L198+3)+ROUNDDOWN((K198-3500000)*45.945%,0),IF(AND(K198&gt;2250000,K198&lt;3500000),VLOOKUP(2250000,源泉DB!$B$260:$K$260,L198+3)+ROUNDDOWN((K198-2250000)*40.84%,0),IF(AND(K198&gt;2210000,K198&lt;2250000),VLOOKUP(2210000,源泉DB!$B$259:$K$259,L198+3)+ROUNDDOWN((K198-2210000)*40.84%,0),IF(AND(K198&gt;2170000,K198&lt;2210000),VLOOKUP(2170000,源泉DB!$B$258:$K$258,L198+3)+ROUNDDOWN((K198-2170000)*40.84%,0),IF(AND(K198&gt;1700000,K198&lt;2170000),VLOOKUP(1700000,源泉DB!$B$257:$K$257,L198+3)+ROUNDDOWN((K198-1700000)*40.84%,0),IF(AND(K198&gt;950000,K198&lt;1700000),VLOOKUP(950000,源泉DB!$B$256:$K$256,L198+3)+ROUNDDOWN((K198-950000)*33.693%,0),IF(AND(K198&gt;780000,K198&lt;950000),VLOOKUP(780000,源泉DB!$B$255:$K$255,L198+3)+ROUNDDOWN((K198-780000)*23.483%,0),IF(AND(K198&gt;740000,K198&lt;780000),VLOOKUP(740000,源泉DB!$B$254:$K$254,L198+3)+ROUNDDOWN((K198-740000)*20.42%,0),VLOOKUP(K198,源泉DB!$B$8:$K$299,L198+3))))))))),IF(F198="乙",IF(K198&gt;1700000,651900+(K198-1700000) *45.945%,IF(K198=1700000,651900,IF(AND(K198&gt;740000,K198&lt;1700000),259800+(K198-740000)*40.84%,IF(K198=740000,259800,IF(K198&lt;88000,ROUNDDOWN(K198*3.063%,9),VLOOKUP(K198,源泉DB!$B$8:$L$254,11)))))),"")),"")</f>
        <v/>
      </c>
      <c r="U198" s="165"/>
      <c r="V198" s="166"/>
      <c r="W198" s="166"/>
      <c r="X198" s="166"/>
      <c r="Y198" s="166"/>
      <c r="Z198" s="178">
        <f>ROUND(IFERROR(IF(($G198="加入"),VLOOKUP($I198,年金DB!$G$16:$P$65,6,TRUE),0),0)-0.1,0)</f>
        <v>0</v>
      </c>
      <c r="AA198" s="178">
        <f>ROUND(IFERROR(IF(AND($G198="加入",$D198&gt;=40,$D198&lt;=64),VLOOKUP($I198,年金DB!$G$16:$P$65,10,TRUE),0),0)-0.1,0)</f>
        <v>0</v>
      </c>
      <c r="AB198" s="178">
        <f>ROUND(IFERROR(IF(AND($G198="加入",$D198&lt;40),VLOOKUP($J198,年金DB!$G$16:$X$62,14,TRUE),IF(AND($G198="加入",$D198&gt;=40),VLOOKUP($J198,年金DB!$G$16:$X$62,14,TRUE),"0")),0)-0.1,0)</f>
        <v>0</v>
      </c>
      <c r="AC198" s="178">
        <f t="shared" si="17"/>
        <v>0</v>
      </c>
      <c r="AD198" s="21">
        <f t="shared" si="18"/>
        <v>0</v>
      </c>
      <c r="AE198" s="173">
        <f t="shared" si="19"/>
        <v>0</v>
      </c>
      <c r="AF198" s="14" t="str">
        <f t="shared" si="20"/>
        <v/>
      </c>
      <c r="AG198" s="14"/>
      <c r="AH198" s="14"/>
    </row>
    <row r="199" spans="1:34">
      <c r="A199" s="28"/>
      <c r="B199" s="180"/>
      <c r="C199" s="188"/>
      <c r="D199" s="161"/>
      <c r="E199" s="162"/>
      <c r="F199" s="162"/>
      <c r="G199" s="163"/>
      <c r="H199" s="285"/>
      <c r="I199" s="282"/>
      <c r="J199" s="16"/>
      <c r="K199" s="18">
        <f t="shared" ref="K199:K262" si="21">IF((Q199-Z199-AA199-AB199-AC199)&lt;0,0,Q199-Z199-AA199-AB199-AC199)</f>
        <v>0</v>
      </c>
      <c r="L199" s="288">
        <v>0</v>
      </c>
      <c r="M199" s="291"/>
      <c r="N199" s="164"/>
      <c r="O199" s="164"/>
      <c r="P199" s="164"/>
      <c r="Q199" s="175">
        <f t="shared" ref="Q199:Q262" si="22">SUM(M199:P199)</f>
        <v>0</v>
      </c>
      <c r="R199" s="164"/>
      <c r="S199" s="197">
        <f t="shared" ref="S199:S262" si="23">SUM(Q199:R199)</f>
        <v>0</v>
      </c>
      <c r="T199" s="201" t="str" cm="1">
        <f t="array" ref="T199">IFERROR(IF(F199="甲",IF(K199&gt;3500000,VLOOKUP(3500000,源泉DB!$B$261:$L$261,L199+3)+ROUNDDOWN((K199-3500000)*45.945%,0),IF(AND(K199&gt;2250000,K199&lt;3500000),VLOOKUP(2250000,源泉DB!$B$260:$K$260,L199+3)+ROUNDDOWN((K199-2250000)*40.84%,0),IF(AND(K199&gt;2210000,K199&lt;2250000),VLOOKUP(2210000,源泉DB!$B$259:$K$259,L199+3)+ROUNDDOWN((K199-2210000)*40.84%,0),IF(AND(K199&gt;2170000,K199&lt;2210000),VLOOKUP(2170000,源泉DB!$B$258:$K$258,L199+3)+ROUNDDOWN((K199-2170000)*40.84%,0),IF(AND(K199&gt;1700000,K199&lt;2170000),VLOOKUP(1700000,源泉DB!$B$257:$K$257,L199+3)+ROUNDDOWN((K199-1700000)*40.84%,0),IF(AND(K199&gt;950000,K199&lt;1700000),VLOOKUP(950000,源泉DB!$B$256:$K$256,L199+3)+ROUNDDOWN((K199-950000)*33.693%,0),IF(AND(K199&gt;780000,K199&lt;950000),VLOOKUP(780000,源泉DB!$B$255:$K$255,L199+3)+ROUNDDOWN((K199-780000)*23.483%,0),IF(AND(K199&gt;740000,K199&lt;780000),VLOOKUP(740000,源泉DB!$B$254:$K$254,L199+3)+ROUNDDOWN((K199-740000)*20.42%,0),VLOOKUP(K199,源泉DB!$B$8:$K$299,L199+3))))))))),IF(F199="乙",IF(K199&gt;1700000,651900+(K199-1700000) *45.945%,IF(K199=1700000,651900,IF(AND(K199&gt;740000,K199&lt;1700000),259800+(K199-740000)*40.84%,IF(K199=740000,259800,IF(K199&lt;88000,ROUNDDOWN(K199*3.063%,9),VLOOKUP(K199,源泉DB!$B$8:$L$254,11)))))),"")),"")</f>
        <v/>
      </c>
      <c r="U199" s="165"/>
      <c r="V199" s="166"/>
      <c r="W199" s="166"/>
      <c r="X199" s="166"/>
      <c r="Y199" s="166"/>
      <c r="Z199" s="178">
        <f>ROUND(IFERROR(IF(($G199="加入"),VLOOKUP($I199,年金DB!$G$16:$P$65,6,TRUE),0),0)-0.1,0)</f>
        <v>0</v>
      </c>
      <c r="AA199" s="178">
        <f>ROUND(IFERROR(IF(AND($G199="加入",$D199&gt;=40,$D199&lt;=64),VLOOKUP($I199,年金DB!$G$16:$P$65,10,TRUE),0),0)-0.1,0)</f>
        <v>0</v>
      </c>
      <c r="AB199" s="178">
        <f>ROUND(IFERROR(IF(AND($G199="加入",$D199&lt;40),VLOOKUP($J199,年金DB!$G$16:$X$62,14,TRUE),IF(AND($G199="加入",$D199&gt;=40),VLOOKUP($J199,年金DB!$G$16:$X$62,14,TRUE),"0")),0)-0.1,0)</f>
        <v>0</v>
      </c>
      <c r="AC199" s="178">
        <f t="shared" ref="AC199:AC262" si="24">IF(OR(H199="非加入",H199=""),0,ROUNDUP(IFERROR(IF(H199="加入",(Q199+R199)*3/1000,0),0)-0.5,0))</f>
        <v>0</v>
      </c>
      <c r="AD199" s="21">
        <f t="shared" ref="AD199:AD262" si="25">SUM(T199:AC199)</f>
        <v>0</v>
      </c>
      <c r="AE199" s="173">
        <f t="shared" ref="AE199:AE262" si="26">S199-AD199</f>
        <v>0</v>
      </c>
      <c r="AF199" s="14" t="str">
        <f t="shared" ref="AF199:AF262" si="27">IF(AE199&gt;0,"←同額をお振込みください","")</f>
        <v/>
      </c>
      <c r="AG199" s="14"/>
      <c r="AH199" s="14"/>
    </row>
    <row r="200" spans="1:34">
      <c r="A200" s="28"/>
      <c r="B200" s="180"/>
      <c r="C200" s="188"/>
      <c r="D200" s="161"/>
      <c r="E200" s="162"/>
      <c r="F200" s="162"/>
      <c r="G200" s="163"/>
      <c r="H200" s="285"/>
      <c r="I200" s="282"/>
      <c r="J200" s="16"/>
      <c r="K200" s="18">
        <f t="shared" si="21"/>
        <v>0</v>
      </c>
      <c r="L200" s="288">
        <v>0</v>
      </c>
      <c r="M200" s="291"/>
      <c r="N200" s="164"/>
      <c r="O200" s="164"/>
      <c r="P200" s="164"/>
      <c r="Q200" s="175">
        <f t="shared" si="22"/>
        <v>0</v>
      </c>
      <c r="R200" s="164"/>
      <c r="S200" s="197">
        <f t="shared" si="23"/>
        <v>0</v>
      </c>
      <c r="T200" s="201" t="str" cm="1">
        <f t="array" ref="T200">IFERROR(IF(F200="甲",IF(K200&gt;3500000,VLOOKUP(3500000,源泉DB!$B$261:$L$261,L200+3)+ROUNDDOWN((K200-3500000)*45.945%,0),IF(AND(K200&gt;2250000,K200&lt;3500000),VLOOKUP(2250000,源泉DB!$B$260:$K$260,L200+3)+ROUNDDOWN((K200-2250000)*40.84%,0),IF(AND(K200&gt;2210000,K200&lt;2250000),VLOOKUP(2210000,源泉DB!$B$259:$K$259,L200+3)+ROUNDDOWN((K200-2210000)*40.84%,0),IF(AND(K200&gt;2170000,K200&lt;2210000),VLOOKUP(2170000,源泉DB!$B$258:$K$258,L200+3)+ROUNDDOWN((K200-2170000)*40.84%,0),IF(AND(K200&gt;1700000,K200&lt;2170000),VLOOKUP(1700000,源泉DB!$B$257:$K$257,L200+3)+ROUNDDOWN((K200-1700000)*40.84%,0),IF(AND(K200&gt;950000,K200&lt;1700000),VLOOKUP(950000,源泉DB!$B$256:$K$256,L200+3)+ROUNDDOWN((K200-950000)*33.693%,0),IF(AND(K200&gt;780000,K200&lt;950000),VLOOKUP(780000,源泉DB!$B$255:$K$255,L200+3)+ROUNDDOWN((K200-780000)*23.483%,0),IF(AND(K200&gt;740000,K200&lt;780000),VLOOKUP(740000,源泉DB!$B$254:$K$254,L200+3)+ROUNDDOWN((K200-740000)*20.42%,0),VLOOKUP(K200,源泉DB!$B$8:$K$299,L200+3))))))))),IF(F200="乙",IF(K200&gt;1700000,651900+(K200-1700000) *45.945%,IF(K200=1700000,651900,IF(AND(K200&gt;740000,K200&lt;1700000),259800+(K200-740000)*40.84%,IF(K200=740000,259800,IF(K200&lt;88000,ROUNDDOWN(K200*3.063%,9),VLOOKUP(K200,源泉DB!$B$8:$L$254,11)))))),"")),"")</f>
        <v/>
      </c>
      <c r="U200" s="165"/>
      <c r="V200" s="166"/>
      <c r="W200" s="166"/>
      <c r="X200" s="166"/>
      <c r="Y200" s="166"/>
      <c r="Z200" s="178">
        <f>ROUND(IFERROR(IF(($G200="加入"),VLOOKUP($I200,年金DB!$G$16:$P$65,6,TRUE),0),0)-0.1,0)</f>
        <v>0</v>
      </c>
      <c r="AA200" s="178">
        <f>ROUND(IFERROR(IF(AND($G200="加入",$D200&gt;=40,$D200&lt;=64),VLOOKUP($I200,年金DB!$G$16:$P$65,10,TRUE),0),0)-0.1,0)</f>
        <v>0</v>
      </c>
      <c r="AB200" s="178">
        <f>ROUND(IFERROR(IF(AND($G200="加入",$D200&lt;40),VLOOKUP($J200,年金DB!$G$16:$X$62,14,TRUE),IF(AND($G200="加入",$D200&gt;=40),VLOOKUP($J200,年金DB!$G$16:$X$62,14,TRUE),"0")),0)-0.1,0)</f>
        <v>0</v>
      </c>
      <c r="AC200" s="178">
        <f t="shared" si="24"/>
        <v>0</v>
      </c>
      <c r="AD200" s="21">
        <f t="shared" si="25"/>
        <v>0</v>
      </c>
      <c r="AE200" s="173">
        <f t="shared" si="26"/>
        <v>0</v>
      </c>
      <c r="AF200" s="14" t="str">
        <f t="shared" si="27"/>
        <v/>
      </c>
      <c r="AG200" s="14"/>
      <c r="AH200" s="14"/>
    </row>
    <row r="201" spans="1:34">
      <c r="A201" s="28"/>
      <c r="B201" s="180"/>
      <c r="C201" s="188"/>
      <c r="D201" s="161"/>
      <c r="E201" s="162"/>
      <c r="F201" s="162"/>
      <c r="G201" s="163"/>
      <c r="H201" s="285"/>
      <c r="I201" s="282"/>
      <c r="J201" s="16"/>
      <c r="K201" s="18">
        <f t="shared" si="21"/>
        <v>0</v>
      </c>
      <c r="L201" s="288">
        <v>0</v>
      </c>
      <c r="M201" s="291"/>
      <c r="N201" s="164"/>
      <c r="O201" s="164"/>
      <c r="P201" s="164"/>
      <c r="Q201" s="175">
        <f t="shared" si="22"/>
        <v>0</v>
      </c>
      <c r="R201" s="164"/>
      <c r="S201" s="197">
        <f t="shared" si="23"/>
        <v>0</v>
      </c>
      <c r="T201" s="201" t="str" cm="1">
        <f t="array" ref="T201">IFERROR(IF(F201="甲",IF(K201&gt;3500000,VLOOKUP(3500000,源泉DB!$B$261:$L$261,L201+3)+ROUNDDOWN((K201-3500000)*45.945%,0),IF(AND(K201&gt;2250000,K201&lt;3500000),VLOOKUP(2250000,源泉DB!$B$260:$K$260,L201+3)+ROUNDDOWN((K201-2250000)*40.84%,0),IF(AND(K201&gt;2210000,K201&lt;2250000),VLOOKUP(2210000,源泉DB!$B$259:$K$259,L201+3)+ROUNDDOWN((K201-2210000)*40.84%,0),IF(AND(K201&gt;2170000,K201&lt;2210000),VLOOKUP(2170000,源泉DB!$B$258:$K$258,L201+3)+ROUNDDOWN((K201-2170000)*40.84%,0),IF(AND(K201&gt;1700000,K201&lt;2170000),VLOOKUP(1700000,源泉DB!$B$257:$K$257,L201+3)+ROUNDDOWN((K201-1700000)*40.84%,0),IF(AND(K201&gt;950000,K201&lt;1700000),VLOOKUP(950000,源泉DB!$B$256:$K$256,L201+3)+ROUNDDOWN((K201-950000)*33.693%,0),IF(AND(K201&gt;780000,K201&lt;950000),VLOOKUP(780000,源泉DB!$B$255:$K$255,L201+3)+ROUNDDOWN((K201-780000)*23.483%,0),IF(AND(K201&gt;740000,K201&lt;780000),VLOOKUP(740000,源泉DB!$B$254:$K$254,L201+3)+ROUNDDOWN((K201-740000)*20.42%,0),VLOOKUP(K201,源泉DB!$B$8:$K$299,L201+3))))))))),IF(F201="乙",IF(K201&gt;1700000,651900+(K201-1700000) *45.945%,IF(K201=1700000,651900,IF(AND(K201&gt;740000,K201&lt;1700000),259800+(K201-740000)*40.84%,IF(K201=740000,259800,IF(K201&lt;88000,ROUNDDOWN(K201*3.063%,9),VLOOKUP(K201,源泉DB!$B$8:$L$254,11)))))),"")),"")</f>
        <v/>
      </c>
      <c r="U201" s="165"/>
      <c r="V201" s="166"/>
      <c r="W201" s="166"/>
      <c r="X201" s="166"/>
      <c r="Y201" s="166"/>
      <c r="Z201" s="178">
        <f>ROUND(IFERROR(IF(($G201="加入"),VLOOKUP($I201,年金DB!$G$16:$P$65,6,TRUE),0),0)-0.1,0)</f>
        <v>0</v>
      </c>
      <c r="AA201" s="178">
        <f>ROUND(IFERROR(IF(AND($G201="加入",$D201&gt;=40,$D201&lt;=64),VLOOKUP($I201,年金DB!$G$16:$P$65,10,TRUE),0),0)-0.1,0)</f>
        <v>0</v>
      </c>
      <c r="AB201" s="178">
        <f>ROUND(IFERROR(IF(AND($G201="加入",$D201&lt;40),VLOOKUP($J201,年金DB!$G$16:$X$62,14,TRUE),IF(AND($G201="加入",$D201&gt;=40),VLOOKUP($J201,年金DB!$G$16:$X$62,14,TRUE),"0")),0)-0.1,0)</f>
        <v>0</v>
      </c>
      <c r="AC201" s="178">
        <f t="shared" si="24"/>
        <v>0</v>
      </c>
      <c r="AD201" s="21">
        <f t="shared" si="25"/>
        <v>0</v>
      </c>
      <c r="AE201" s="173">
        <f t="shared" si="26"/>
        <v>0</v>
      </c>
      <c r="AF201" s="14" t="str">
        <f t="shared" si="27"/>
        <v/>
      </c>
      <c r="AG201" s="14"/>
      <c r="AH201" s="14"/>
    </row>
    <row r="202" spans="1:34">
      <c r="A202" s="28"/>
      <c r="B202" s="180"/>
      <c r="C202" s="188"/>
      <c r="D202" s="161"/>
      <c r="E202" s="162"/>
      <c r="F202" s="162"/>
      <c r="G202" s="163"/>
      <c r="H202" s="285"/>
      <c r="I202" s="282"/>
      <c r="J202" s="16"/>
      <c r="K202" s="18">
        <f t="shared" si="21"/>
        <v>0</v>
      </c>
      <c r="L202" s="288">
        <v>0</v>
      </c>
      <c r="M202" s="291"/>
      <c r="N202" s="164"/>
      <c r="O202" s="164"/>
      <c r="P202" s="164"/>
      <c r="Q202" s="175">
        <f t="shared" si="22"/>
        <v>0</v>
      </c>
      <c r="R202" s="164"/>
      <c r="S202" s="197">
        <f t="shared" si="23"/>
        <v>0</v>
      </c>
      <c r="T202" s="201" t="str" cm="1">
        <f t="array" ref="T202">IFERROR(IF(F202="甲",IF(K202&gt;3500000,VLOOKUP(3500000,源泉DB!$B$261:$L$261,L202+3)+ROUNDDOWN((K202-3500000)*45.945%,0),IF(AND(K202&gt;2250000,K202&lt;3500000),VLOOKUP(2250000,源泉DB!$B$260:$K$260,L202+3)+ROUNDDOWN((K202-2250000)*40.84%,0),IF(AND(K202&gt;2210000,K202&lt;2250000),VLOOKUP(2210000,源泉DB!$B$259:$K$259,L202+3)+ROUNDDOWN((K202-2210000)*40.84%,0),IF(AND(K202&gt;2170000,K202&lt;2210000),VLOOKUP(2170000,源泉DB!$B$258:$K$258,L202+3)+ROUNDDOWN((K202-2170000)*40.84%,0),IF(AND(K202&gt;1700000,K202&lt;2170000),VLOOKUP(1700000,源泉DB!$B$257:$K$257,L202+3)+ROUNDDOWN((K202-1700000)*40.84%,0),IF(AND(K202&gt;950000,K202&lt;1700000),VLOOKUP(950000,源泉DB!$B$256:$K$256,L202+3)+ROUNDDOWN((K202-950000)*33.693%,0),IF(AND(K202&gt;780000,K202&lt;950000),VLOOKUP(780000,源泉DB!$B$255:$K$255,L202+3)+ROUNDDOWN((K202-780000)*23.483%,0),IF(AND(K202&gt;740000,K202&lt;780000),VLOOKUP(740000,源泉DB!$B$254:$K$254,L202+3)+ROUNDDOWN((K202-740000)*20.42%,0),VLOOKUP(K202,源泉DB!$B$8:$K$299,L202+3))))))))),IF(F202="乙",IF(K202&gt;1700000,651900+(K202-1700000) *45.945%,IF(K202=1700000,651900,IF(AND(K202&gt;740000,K202&lt;1700000),259800+(K202-740000)*40.84%,IF(K202=740000,259800,IF(K202&lt;88000,ROUNDDOWN(K202*3.063%,9),VLOOKUP(K202,源泉DB!$B$8:$L$254,11)))))),"")),"")</f>
        <v/>
      </c>
      <c r="U202" s="165"/>
      <c r="V202" s="166"/>
      <c r="W202" s="166"/>
      <c r="X202" s="166"/>
      <c r="Y202" s="166"/>
      <c r="Z202" s="178">
        <f>ROUND(IFERROR(IF(($G202="加入"),VLOOKUP($I202,年金DB!$G$16:$P$65,6,TRUE),0),0)-0.1,0)</f>
        <v>0</v>
      </c>
      <c r="AA202" s="178">
        <f>ROUND(IFERROR(IF(AND($G202="加入",$D202&gt;=40,$D202&lt;=64),VLOOKUP($I202,年金DB!$G$16:$P$65,10,TRUE),0),0)-0.1,0)</f>
        <v>0</v>
      </c>
      <c r="AB202" s="178">
        <f>ROUND(IFERROR(IF(AND($G202="加入",$D202&lt;40),VLOOKUP($J202,年金DB!$G$16:$X$62,14,TRUE),IF(AND($G202="加入",$D202&gt;=40),VLOOKUP($J202,年金DB!$G$16:$X$62,14,TRUE),"0")),0)-0.1,0)</f>
        <v>0</v>
      </c>
      <c r="AC202" s="178">
        <f t="shared" si="24"/>
        <v>0</v>
      </c>
      <c r="AD202" s="21">
        <f t="shared" si="25"/>
        <v>0</v>
      </c>
      <c r="AE202" s="173">
        <f t="shared" si="26"/>
        <v>0</v>
      </c>
      <c r="AF202" s="14" t="str">
        <f t="shared" si="27"/>
        <v/>
      </c>
      <c r="AG202" s="14"/>
      <c r="AH202" s="14"/>
    </row>
    <row r="203" spans="1:34">
      <c r="A203" s="28"/>
      <c r="B203" s="180"/>
      <c r="C203" s="188"/>
      <c r="D203" s="161"/>
      <c r="E203" s="162"/>
      <c r="F203" s="162"/>
      <c r="G203" s="163"/>
      <c r="H203" s="285"/>
      <c r="I203" s="282"/>
      <c r="J203" s="16"/>
      <c r="K203" s="18">
        <f t="shared" si="21"/>
        <v>0</v>
      </c>
      <c r="L203" s="288">
        <v>0</v>
      </c>
      <c r="M203" s="291"/>
      <c r="N203" s="164"/>
      <c r="O203" s="164"/>
      <c r="P203" s="164"/>
      <c r="Q203" s="175">
        <f t="shared" si="22"/>
        <v>0</v>
      </c>
      <c r="R203" s="164"/>
      <c r="S203" s="197">
        <f t="shared" si="23"/>
        <v>0</v>
      </c>
      <c r="T203" s="201" t="str" cm="1">
        <f t="array" ref="T203">IFERROR(IF(F203="甲",IF(K203&gt;3500000,VLOOKUP(3500000,源泉DB!$B$261:$L$261,L203+3)+ROUNDDOWN((K203-3500000)*45.945%,0),IF(AND(K203&gt;2250000,K203&lt;3500000),VLOOKUP(2250000,源泉DB!$B$260:$K$260,L203+3)+ROUNDDOWN((K203-2250000)*40.84%,0),IF(AND(K203&gt;2210000,K203&lt;2250000),VLOOKUP(2210000,源泉DB!$B$259:$K$259,L203+3)+ROUNDDOWN((K203-2210000)*40.84%,0),IF(AND(K203&gt;2170000,K203&lt;2210000),VLOOKUP(2170000,源泉DB!$B$258:$K$258,L203+3)+ROUNDDOWN((K203-2170000)*40.84%,0),IF(AND(K203&gt;1700000,K203&lt;2170000),VLOOKUP(1700000,源泉DB!$B$257:$K$257,L203+3)+ROUNDDOWN((K203-1700000)*40.84%,0),IF(AND(K203&gt;950000,K203&lt;1700000),VLOOKUP(950000,源泉DB!$B$256:$K$256,L203+3)+ROUNDDOWN((K203-950000)*33.693%,0),IF(AND(K203&gt;780000,K203&lt;950000),VLOOKUP(780000,源泉DB!$B$255:$K$255,L203+3)+ROUNDDOWN((K203-780000)*23.483%,0),IF(AND(K203&gt;740000,K203&lt;780000),VLOOKUP(740000,源泉DB!$B$254:$K$254,L203+3)+ROUNDDOWN((K203-740000)*20.42%,0),VLOOKUP(K203,源泉DB!$B$8:$K$299,L203+3))))))))),IF(F203="乙",IF(K203&gt;1700000,651900+(K203-1700000) *45.945%,IF(K203=1700000,651900,IF(AND(K203&gt;740000,K203&lt;1700000),259800+(K203-740000)*40.84%,IF(K203=740000,259800,IF(K203&lt;88000,ROUNDDOWN(K203*3.063%,9),VLOOKUP(K203,源泉DB!$B$8:$L$254,11)))))),"")),"")</f>
        <v/>
      </c>
      <c r="U203" s="165"/>
      <c r="V203" s="166"/>
      <c r="W203" s="166"/>
      <c r="X203" s="166"/>
      <c r="Y203" s="166"/>
      <c r="Z203" s="178">
        <f>ROUND(IFERROR(IF(($G203="加入"),VLOOKUP($I203,年金DB!$G$16:$P$65,6,TRUE),0),0)-0.1,0)</f>
        <v>0</v>
      </c>
      <c r="AA203" s="178">
        <f>ROUND(IFERROR(IF(AND($G203="加入",$D203&gt;=40,$D203&lt;=64),VLOOKUP($I203,年金DB!$G$16:$P$65,10,TRUE),0),0)-0.1,0)</f>
        <v>0</v>
      </c>
      <c r="AB203" s="178">
        <f>ROUND(IFERROR(IF(AND($G203="加入",$D203&lt;40),VLOOKUP($J203,年金DB!$G$16:$X$62,14,TRUE),IF(AND($G203="加入",$D203&gt;=40),VLOOKUP($J203,年金DB!$G$16:$X$62,14,TRUE),"0")),0)-0.1,0)</f>
        <v>0</v>
      </c>
      <c r="AC203" s="178">
        <f t="shared" si="24"/>
        <v>0</v>
      </c>
      <c r="AD203" s="21">
        <f t="shared" si="25"/>
        <v>0</v>
      </c>
      <c r="AE203" s="173">
        <f t="shared" si="26"/>
        <v>0</v>
      </c>
      <c r="AF203" s="14" t="str">
        <f t="shared" si="27"/>
        <v/>
      </c>
      <c r="AG203" s="14"/>
      <c r="AH203" s="14"/>
    </row>
    <row r="204" spans="1:34">
      <c r="A204" s="28"/>
      <c r="B204" s="180"/>
      <c r="C204" s="188"/>
      <c r="D204" s="161"/>
      <c r="E204" s="162"/>
      <c r="F204" s="162"/>
      <c r="G204" s="163"/>
      <c r="H204" s="285"/>
      <c r="I204" s="282"/>
      <c r="J204" s="16"/>
      <c r="K204" s="18">
        <f t="shared" si="21"/>
        <v>0</v>
      </c>
      <c r="L204" s="288">
        <v>0</v>
      </c>
      <c r="M204" s="291"/>
      <c r="N204" s="164"/>
      <c r="O204" s="164"/>
      <c r="P204" s="164"/>
      <c r="Q204" s="175">
        <f t="shared" si="22"/>
        <v>0</v>
      </c>
      <c r="R204" s="164"/>
      <c r="S204" s="197">
        <f t="shared" si="23"/>
        <v>0</v>
      </c>
      <c r="T204" s="201" t="str" cm="1">
        <f t="array" ref="T204">IFERROR(IF(F204="甲",IF(K204&gt;3500000,VLOOKUP(3500000,源泉DB!$B$261:$L$261,L204+3)+ROUNDDOWN((K204-3500000)*45.945%,0),IF(AND(K204&gt;2250000,K204&lt;3500000),VLOOKUP(2250000,源泉DB!$B$260:$K$260,L204+3)+ROUNDDOWN((K204-2250000)*40.84%,0),IF(AND(K204&gt;2210000,K204&lt;2250000),VLOOKUP(2210000,源泉DB!$B$259:$K$259,L204+3)+ROUNDDOWN((K204-2210000)*40.84%,0),IF(AND(K204&gt;2170000,K204&lt;2210000),VLOOKUP(2170000,源泉DB!$B$258:$K$258,L204+3)+ROUNDDOWN((K204-2170000)*40.84%,0),IF(AND(K204&gt;1700000,K204&lt;2170000),VLOOKUP(1700000,源泉DB!$B$257:$K$257,L204+3)+ROUNDDOWN((K204-1700000)*40.84%,0),IF(AND(K204&gt;950000,K204&lt;1700000),VLOOKUP(950000,源泉DB!$B$256:$K$256,L204+3)+ROUNDDOWN((K204-950000)*33.693%,0),IF(AND(K204&gt;780000,K204&lt;950000),VLOOKUP(780000,源泉DB!$B$255:$K$255,L204+3)+ROUNDDOWN((K204-780000)*23.483%,0),IF(AND(K204&gt;740000,K204&lt;780000),VLOOKUP(740000,源泉DB!$B$254:$K$254,L204+3)+ROUNDDOWN((K204-740000)*20.42%,0),VLOOKUP(K204,源泉DB!$B$8:$K$299,L204+3))))))))),IF(F204="乙",IF(K204&gt;1700000,651900+(K204-1700000) *45.945%,IF(K204=1700000,651900,IF(AND(K204&gt;740000,K204&lt;1700000),259800+(K204-740000)*40.84%,IF(K204=740000,259800,IF(K204&lt;88000,ROUNDDOWN(K204*3.063%,9),VLOOKUP(K204,源泉DB!$B$8:$L$254,11)))))),"")),"")</f>
        <v/>
      </c>
      <c r="U204" s="165"/>
      <c r="V204" s="166"/>
      <c r="W204" s="166"/>
      <c r="X204" s="166"/>
      <c r="Y204" s="166"/>
      <c r="Z204" s="178">
        <f>ROUND(IFERROR(IF(($G204="加入"),VLOOKUP($I204,年金DB!$G$16:$P$65,6,TRUE),0),0)-0.1,0)</f>
        <v>0</v>
      </c>
      <c r="AA204" s="178">
        <f>ROUND(IFERROR(IF(AND($G204="加入",$D204&gt;=40,$D204&lt;=64),VLOOKUP($I204,年金DB!$G$16:$P$65,10,TRUE),0),0)-0.1,0)</f>
        <v>0</v>
      </c>
      <c r="AB204" s="178">
        <f>ROUND(IFERROR(IF(AND($G204="加入",$D204&lt;40),VLOOKUP($J204,年金DB!$G$16:$X$62,14,TRUE),IF(AND($G204="加入",$D204&gt;=40),VLOOKUP($J204,年金DB!$G$16:$X$62,14,TRUE),"0")),0)-0.1,0)</f>
        <v>0</v>
      </c>
      <c r="AC204" s="178">
        <f t="shared" si="24"/>
        <v>0</v>
      </c>
      <c r="AD204" s="21">
        <f t="shared" si="25"/>
        <v>0</v>
      </c>
      <c r="AE204" s="173">
        <f t="shared" si="26"/>
        <v>0</v>
      </c>
      <c r="AF204" s="14" t="str">
        <f t="shared" si="27"/>
        <v/>
      </c>
      <c r="AG204" s="14"/>
      <c r="AH204" s="14"/>
    </row>
    <row r="205" spans="1:34">
      <c r="A205" s="28"/>
      <c r="B205" s="180"/>
      <c r="C205" s="188"/>
      <c r="D205" s="161"/>
      <c r="E205" s="162"/>
      <c r="F205" s="162"/>
      <c r="G205" s="163"/>
      <c r="H205" s="285"/>
      <c r="I205" s="282"/>
      <c r="J205" s="16"/>
      <c r="K205" s="18">
        <f t="shared" si="21"/>
        <v>0</v>
      </c>
      <c r="L205" s="288">
        <v>0</v>
      </c>
      <c r="M205" s="291"/>
      <c r="N205" s="164"/>
      <c r="O205" s="164"/>
      <c r="P205" s="164"/>
      <c r="Q205" s="175">
        <f t="shared" si="22"/>
        <v>0</v>
      </c>
      <c r="R205" s="164"/>
      <c r="S205" s="197">
        <f t="shared" si="23"/>
        <v>0</v>
      </c>
      <c r="T205" s="201" t="str" cm="1">
        <f t="array" ref="T205">IFERROR(IF(F205="甲",IF(K205&gt;3500000,VLOOKUP(3500000,源泉DB!$B$261:$L$261,L205+3)+ROUNDDOWN((K205-3500000)*45.945%,0),IF(AND(K205&gt;2250000,K205&lt;3500000),VLOOKUP(2250000,源泉DB!$B$260:$K$260,L205+3)+ROUNDDOWN((K205-2250000)*40.84%,0),IF(AND(K205&gt;2210000,K205&lt;2250000),VLOOKUP(2210000,源泉DB!$B$259:$K$259,L205+3)+ROUNDDOWN((K205-2210000)*40.84%,0),IF(AND(K205&gt;2170000,K205&lt;2210000),VLOOKUP(2170000,源泉DB!$B$258:$K$258,L205+3)+ROUNDDOWN((K205-2170000)*40.84%,0),IF(AND(K205&gt;1700000,K205&lt;2170000),VLOOKUP(1700000,源泉DB!$B$257:$K$257,L205+3)+ROUNDDOWN((K205-1700000)*40.84%,0),IF(AND(K205&gt;950000,K205&lt;1700000),VLOOKUP(950000,源泉DB!$B$256:$K$256,L205+3)+ROUNDDOWN((K205-950000)*33.693%,0),IF(AND(K205&gt;780000,K205&lt;950000),VLOOKUP(780000,源泉DB!$B$255:$K$255,L205+3)+ROUNDDOWN((K205-780000)*23.483%,0),IF(AND(K205&gt;740000,K205&lt;780000),VLOOKUP(740000,源泉DB!$B$254:$K$254,L205+3)+ROUNDDOWN((K205-740000)*20.42%,0),VLOOKUP(K205,源泉DB!$B$8:$K$299,L205+3))))))))),IF(F205="乙",IF(K205&gt;1700000,651900+(K205-1700000) *45.945%,IF(K205=1700000,651900,IF(AND(K205&gt;740000,K205&lt;1700000),259800+(K205-740000)*40.84%,IF(K205=740000,259800,IF(K205&lt;88000,ROUNDDOWN(K205*3.063%,9),VLOOKUP(K205,源泉DB!$B$8:$L$254,11)))))),"")),"")</f>
        <v/>
      </c>
      <c r="U205" s="165"/>
      <c r="V205" s="166"/>
      <c r="W205" s="166"/>
      <c r="X205" s="166"/>
      <c r="Y205" s="166"/>
      <c r="Z205" s="178">
        <f>ROUND(IFERROR(IF(($G205="加入"),VLOOKUP($I205,年金DB!$G$16:$P$65,6,TRUE),0),0)-0.1,0)</f>
        <v>0</v>
      </c>
      <c r="AA205" s="178">
        <f>ROUND(IFERROR(IF(AND($G205="加入",$D205&gt;=40,$D205&lt;=64),VLOOKUP($I205,年金DB!$G$16:$P$65,10,TRUE),0),0)-0.1,0)</f>
        <v>0</v>
      </c>
      <c r="AB205" s="178">
        <f>ROUND(IFERROR(IF(AND($G205="加入",$D205&lt;40),VLOOKUP($J205,年金DB!$G$16:$X$62,14,TRUE),IF(AND($G205="加入",$D205&gt;=40),VLOOKUP($J205,年金DB!$G$16:$X$62,14,TRUE),"0")),0)-0.1,0)</f>
        <v>0</v>
      </c>
      <c r="AC205" s="178">
        <f t="shared" si="24"/>
        <v>0</v>
      </c>
      <c r="AD205" s="21">
        <f t="shared" si="25"/>
        <v>0</v>
      </c>
      <c r="AE205" s="173">
        <f t="shared" si="26"/>
        <v>0</v>
      </c>
      <c r="AF205" s="14" t="str">
        <f t="shared" si="27"/>
        <v/>
      </c>
      <c r="AG205" s="14"/>
      <c r="AH205" s="14"/>
    </row>
    <row r="206" spans="1:34">
      <c r="A206" s="28"/>
      <c r="B206" s="180"/>
      <c r="C206" s="188"/>
      <c r="D206" s="161"/>
      <c r="E206" s="162"/>
      <c r="F206" s="162"/>
      <c r="G206" s="163"/>
      <c r="H206" s="285"/>
      <c r="I206" s="282"/>
      <c r="J206" s="16"/>
      <c r="K206" s="18">
        <f t="shared" si="21"/>
        <v>0</v>
      </c>
      <c r="L206" s="288">
        <v>0</v>
      </c>
      <c r="M206" s="291"/>
      <c r="N206" s="164"/>
      <c r="O206" s="164"/>
      <c r="P206" s="164"/>
      <c r="Q206" s="175">
        <f t="shared" si="22"/>
        <v>0</v>
      </c>
      <c r="R206" s="164"/>
      <c r="S206" s="197">
        <f t="shared" si="23"/>
        <v>0</v>
      </c>
      <c r="T206" s="201" t="str" cm="1">
        <f t="array" ref="T206">IFERROR(IF(F206="甲",IF(K206&gt;3500000,VLOOKUP(3500000,源泉DB!$B$261:$L$261,L206+3)+ROUNDDOWN((K206-3500000)*45.945%,0),IF(AND(K206&gt;2250000,K206&lt;3500000),VLOOKUP(2250000,源泉DB!$B$260:$K$260,L206+3)+ROUNDDOWN((K206-2250000)*40.84%,0),IF(AND(K206&gt;2210000,K206&lt;2250000),VLOOKUP(2210000,源泉DB!$B$259:$K$259,L206+3)+ROUNDDOWN((K206-2210000)*40.84%,0),IF(AND(K206&gt;2170000,K206&lt;2210000),VLOOKUP(2170000,源泉DB!$B$258:$K$258,L206+3)+ROUNDDOWN((K206-2170000)*40.84%,0),IF(AND(K206&gt;1700000,K206&lt;2170000),VLOOKUP(1700000,源泉DB!$B$257:$K$257,L206+3)+ROUNDDOWN((K206-1700000)*40.84%,0),IF(AND(K206&gt;950000,K206&lt;1700000),VLOOKUP(950000,源泉DB!$B$256:$K$256,L206+3)+ROUNDDOWN((K206-950000)*33.693%,0),IF(AND(K206&gt;780000,K206&lt;950000),VLOOKUP(780000,源泉DB!$B$255:$K$255,L206+3)+ROUNDDOWN((K206-780000)*23.483%,0),IF(AND(K206&gt;740000,K206&lt;780000),VLOOKUP(740000,源泉DB!$B$254:$K$254,L206+3)+ROUNDDOWN((K206-740000)*20.42%,0),VLOOKUP(K206,源泉DB!$B$8:$K$299,L206+3))))))))),IF(F206="乙",IF(K206&gt;1700000,651900+(K206-1700000) *45.945%,IF(K206=1700000,651900,IF(AND(K206&gt;740000,K206&lt;1700000),259800+(K206-740000)*40.84%,IF(K206=740000,259800,IF(K206&lt;88000,ROUNDDOWN(K206*3.063%,9),VLOOKUP(K206,源泉DB!$B$8:$L$254,11)))))),"")),"")</f>
        <v/>
      </c>
      <c r="U206" s="165"/>
      <c r="V206" s="166"/>
      <c r="W206" s="166"/>
      <c r="X206" s="166"/>
      <c r="Y206" s="166"/>
      <c r="Z206" s="178">
        <f>ROUND(IFERROR(IF(($G206="加入"),VLOOKUP($I206,年金DB!$G$16:$P$65,6,TRUE),0),0)-0.1,0)</f>
        <v>0</v>
      </c>
      <c r="AA206" s="178">
        <f>ROUND(IFERROR(IF(AND($G206="加入",$D206&gt;=40,$D206&lt;=64),VLOOKUP($I206,年金DB!$G$16:$P$65,10,TRUE),0),0)-0.1,0)</f>
        <v>0</v>
      </c>
      <c r="AB206" s="178">
        <f>ROUND(IFERROR(IF(AND($G206="加入",$D206&lt;40),VLOOKUP($J206,年金DB!$G$16:$X$62,14,TRUE),IF(AND($G206="加入",$D206&gt;=40),VLOOKUP($J206,年金DB!$G$16:$X$62,14,TRUE),"0")),0)-0.1,0)</f>
        <v>0</v>
      </c>
      <c r="AC206" s="178">
        <f t="shared" si="24"/>
        <v>0</v>
      </c>
      <c r="AD206" s="21">
        <f t="shared" si="25"/>
        <v>0</v>
      </c>
      <c r="AE206" s="173">
        <f t="shared" si="26"/>
        <v>0</v>
      </c>
      <c r="AF206" s="14" t="str">
        <f t="shared" si="27"/>
        <v/>
      </c>
      <c r="AG206" s="14"/>
      <c r="AH206" s="14"/>
    </row>
    <row r="207" spans="1:34">
      <c r="A207" s="28"/>
      <c r="B207" s="180"/>
      <c r="C207" s="188"/>
      <c r="D207" s="161"/>
      <c r="E207" s="162"/>
      <c r="F207" s="162"/>
      <c r="G207" s="163"/>
      <c r="H207" s="285"/>
      <c r="I207" s="282"/>
      <c r="J207" s="16"/>
      <c r="K207" s="18">
        <f t="shared" si="21"/>
        <v>0</v>
      </c>
      <c r="L207" s="288">
        <v>0</v>
      </c>
      <c r="M207" s="291"/>
      <c r="N207" s="164"/>
      <c r="O207" s="164"/>
      <c r="P207" s="164"/>
      <c r="Q207" s="175">
        <f t="shared" si="22"/>
        <v>0</v>
      </c>
      <c r="R207" s="164"/>
      <c r="S207" s="197">
        <f t="shared" si="23"/>
        <v>0</v>
      </c>
      <c r="T207" s="201" t="str" cm="1">
        <f t="array" ref="T207">IFERROR(IF(F207="甲",IF(K207&gt;3500000,VLOOKUP(3500000,源泉DB!$B$261:$L$261,L207+3)+ROUNDDOWN((K207-3500000)*45.945%,0),IF(AND(K207&gt;2250000,K207&lt;3500000),VLOOKUP(2250000,源泉DB!$B$260:$K$260,L207+3)+ROUNDDOWN((K207-2250000)*40.84%,0),IF(AND(K207&gt;2210000,K207&lt;2250000),VLOOKUP(2210000,源泉DB!$B$259:$K$259,L207+3)+ROUNDDOWN((K207-2210000)*40.84%,0),IF(AND(K207&gt;2170000,K207&lt;2210000),VLOOKUP(2170000,源泉DB!$B$258:$K$258,L207+3)+ROUNDDOWN((K207-2170000)*40.84%,0),IF(AND(K207&gt;1700000,K207&lt;2170000),VLOOKUP(1700000,源泉DB!$B$257:$K$257,L207+3)+ROUNDDOWN((K207-1700000)*40.84%,0),IF(AND(K207&gt;950000,K207&lt;1700000),VLOOKUP(950000,源泉DB!$B$256:$K$256,L207+3)+ROUNDDOWN((K207-950000)*33.693%,0),IF(AND(K207&gt;780000,K207&lt;950000),VLOOKUP(780000,源泉DB!$B$255:$K$255,L207+3)+ROUNDDOWN((K207-780000)*23.483%,0),IF(AND(K207&gt;740000,K207&lt;780000),VLOOKUP(740000,源泉DB!$B$254:$K$254,L207+3)+ROUNDDOWN((K207-740000)*20.42%,0),VLOOKUP(K207,源泉DB!$B$8:$K$299,L207+3))))))))),IF(F207="乙",IF(K207&gt;1700000,651900+(K207-1700000) *45.945%,IF(K207=1700000,651900,IF(AND(K207&gt;740000,K207&lt;1700000),259800+(K207-740000)*40.84%,IF(K207=740000,259800,IF(K207&lt;88000,ROUNDDOWN(K207*3.063%,9),VLOOKUP(K207,源泉DB!$B$8:$L$254,11)))))),"")),"")</f>
        <v/>
      </c>
      <c r="U207" s="165"/>
      <c r="V207" s="166"/>
      <c r="W207" s="166"/>
      <c r="X207" s="166"/>
      <c r="Y207" s="166"/>
      <c r="Z207" s="178">
        <f>ROUND(IFERROR(IF(($G207="加入"),VLOOKUP($I207,年金DB!$G$16:$P$65,6,TRUE),0),0)-0.1,0)</f>
        <v>0</v>
      </c>
      <c r="AA207" s="178">
        <f>ROUND(IFERROR(IF(AND($G207="加入",$D207&gt;=40,$D207&lt;=64),VLOOKUP($I207,年金DB!$G$16:$P$65,10,TRUE),0),0)-0.1,0)</f>
        <v>0</v>
      </c>
      <c r="AB207" s="178">
        <f>ROUND(IFERROR(IF(AND($G207="加入",$D207&lt;40),VLOOKUP($J207,年金DB!$G$16:$X$62,14,TRUE),IF(AND($G207="加入",$D207&gt;=40),VLOOKUP($J207,年金DB!$G$16:$X$62,14,TRUE),"0")),0)-0.1,0)</f>
        <v>0</v>
      </c>
      <c r="AC207" s="178">
        <f t="shared" si="24"/>
        <v>0</v>
      </c>
      <c r="AD207" s="21">
        <f t="shared" si="25"/>
        <v>0</v>
      </c>
      <c r="AE207" s="173">
        <f t="shared" si="26"/>
        <v>0</v>
      </c>
      <c r="AF207" s="14" t="str">
        <f t="shared" si="27"/>
        <v/>
      </c>
      <c r="AG207" s="14"/>
      <c r="AH207" s="14"/>
    </row>
    <row r="208" spans="1:34">
      <c r="A208" s="28"/>
      <c r="B208" s="180"/>
      <c r="C208" s="188"/>
      <c r="D208" s="161"/>
      <c r="E208" s="162"/>
      <c r="F208" s="162"/>
      <c r="G208" s="163"/>
      <c r="H208" s="285"/>
      <c r="I208" s="282"/>
      <c r="J208" s="16"/>
      <c r="K208" s="18">
        <f t="shared" si="21"/>
        <v>0</v>
      </c>
      <c r="L208" s="288">
        <v>0</v>
      </c>
      <c r="M208" s="291"/>
      <c r="N208" s="164"/>
      <c r="O208" s="164"/>
      <c r="P208" s="164"/>
      <c r="Q208" s="175">
        <f t="shared" si="22"/>
        <v>0</v>
      </c>
      <c r="R208" s="164"/>
      <c r="S208" s="197">
        <f t="shared" si="23"/>
        <v>0</v>
      </c>
      <c r="T208" s="201" t="str" cm="1">
        <f t="array" ref="T208">IFERROR(IF(F208="甲",IF(K208&gt;3500000,VLOOKUP(3500000,源泉DB!$B$261:$L$261,L208+3)+ROUNDDOWN((K208-3500000)*45.945%,0),IF(AND(K208&gt;2250000,K208&lt;3500000),VLOOKUP(2250000,源泉DB!$B$260:$K$260,L208+3)+ROUNDDOWN((K208-2250000)*40.84%,0),IF(AND(K208&gt;2210000,K208&lt;2250000),VLOOKUP(2210000,源泉DB!$B$259:$K$259,L208+3)+ROUNDDOWN((K208-2210000)*40.84%,0),IF(AND(K208&gt;2170000,K208&lt;2210000),VLOOKUP(2170000,源泉DB!$B$258:$K$258,L208+3)+ROUNDDOWN((K208-2170000)*40.84%,0),IF(AND(K208&gt;1700000,K208&lt;2170000),VLOOKUP(1700000,源泉DB!$B$257:$K$257,L208+3)+ROUNDDOWN((K208-1700000)*40.84%,0),IF(AND(K208&gt;950000,K208&lt;1700000),VLOOKUP(950000,源泉DB!$B$256:$K$256,L208+3)+ROUNDDOWN((K208-950000)*33.693%,0),IF(AND(K208&gt;780000,K208&lt;950000),VLOOKUP(780000,源泉DB!$B$255:$K$255,L208+3)+ROUNDDOWN((K208-780000)*23.483%,0),IF(AND(K208&gt;740000,K208&lt;780000),VLOOKUP(740000,源泉DB!$B$254:$K$254,L208+3)+ROUNDDOWN((K208-740000)*20.42%,0),VLOOKUP(K208,源泉DB!$B$8:$K$299,L208+3))))))))),IF(F208="乙",IF(K208&gt;1700000,651900+(K208-1700000) *45.945%,IF(K208=1700000,651900,IF(AND(K208&gt;740000,K208&lt;1700000),259800+(K208-740000)*40.84%,IF(K208=740000,259800,IF(K208&lt;88000,ROUNDDOWN(K208*3.063%,9),VLOOKUP(K208,源泉DB!$B$8:$L$254,11)))))),"")),"")</f>
        <v/>
      </c>
      <c r="U208" s="165"/>
      <c r="V208" s="166"/>
      <c r="W208" s="166"/>
      <c r="X208" s="166"/>
      <c r="Y208" s="166"/>
      <c r="Z208" s="178">
        <f>ROUND(IFERROR(IF(($G208="加入"),VLOOKUP($I208,年金DB!$G$16:$P$65,6,TRUE),0),0)-0.1,0)</f>
        <v>0</v>
      </c>
      <c r="AA208" s="178">
        <f>ROUND(IFERROR(IF(AND($G208="加入",$D208&gt;=40,$D208&lt;=64),VLOOKUP($I208,年金DB!$G$16:$P$65,10,TRUE),0),0)-0.1,0)</f>
        <v>0</v>
      </c>
      <c r="AB208" s="178">
        <f>ROUND(IFERROR(IF(AND($G208="加入",$D208&lt;40),VLOOKUP($J208,年金DB!$G$16:$X$62,14,TRUE),IF(AND($G208="加入",$D208&gt;=40),VLOOKUP($J208,年金DB!$G$16:$X$62,14,TRUE),"0")),0)-0.1,0)</f>
        <v>0</v>
      </c>
      <c r="AC208" s="178">
        <f t="shared" si="24"/>
        <v>0</v>
      </c>
      <c r="AD208" s="21">
        <f t="shared" si="25"/>
        <v>0</v>
      </c>
      <c r="AE208" s="173">
        <f t="shared" si="26"/>
        <v>0</v>
      </c>
      <c r="AF208" s="14" t="str">
        <f t="shared" si="27"/>
        <v/>
      </c>
      <c r="AG208" s="14"/>
      <c r="AH208" s="14"/>
    </row>
    <row r="209" spans="1:34">
      <c r="A209" s="28"/>
      <c r="B209" s="180"/>
      <c r="C209" s="188"/>
      <c r="D209" s="161"/>
      <c r="E209" s="162"/>
      <c r="F209" s="162"/>
      <c r="G209" s="163"/>
      <c r="H209" s="285"/>
      <c r="I209" s="282"/>
      <c r="J209" s="16"/>
      <c r="K209" s="18">
        <f t="shared" si="21"/>
        <v>0</v>
      </c>
      <c r="L209" s="288">
        <v>0</v>
      </c>
      <c r="M209" s="291"/>
      <c r="N209" s="164"/>
      <c r="O209" s="164"/>
      <c r="P209" s="164"/>
      <c r="Q209" s="175">
        <f t="shared" si="22"/>
        <v>0</v>
      </c>
      <c r="R209" s="164"/>
      <c r="S209" s="197">
        <f t="shared" si="23"/>
        <v>0</v>
      </c>
      <c r="T209" s="201" t="str" cm="1">
        <f t="array" ref="T209">IFERROR(IF(F209="甲",IF(K209&gt;3500000,VLOOKUP(3500000,源泉DB!$B$261:$L$261,L209+3)+ROUNDDOWN((K209-3500000)*45.945%,0),IF(AND(K209&gt;2250000,K209&lt;3500000),VLOOKUP(2250000,源泉DB!$B$260:$K$260,L209+3)+ROUNDDOWN((K209-2250000)*40.84%,0),IF(AND(K209&gt;2210000,K209&lt;2250000),VLOOKUP(2210000,源泉DB!$B$259:$K$259,L209+3)+ROUNDDOWN((K209-2210000)*40.84%,0),IF(AND(K209&gt;2170000,K209&lt;2210000),VLOOKUP(2170000,源泉DB!$B$258:$K$258,L209+3)+ROUNDDOWN((K209-2170000)*40.84%,0),IF(AND(K209&gt;1700000,K209&lt;2170000),VLOOKUP(1700000,源泉DB!$B$257:$K$257,L209+3)+ROUNDDOWN((K209-1700000)*40.84%,0),IF(AND(K209&gt;950000,K209&lt;1700000),VLOOKUP(950000,源泉DB!$B$256:$K$256,L209+3)+ROUNDDOWN((K209-950000)*33.693%,0),IF(AND(K209&gt;780000,K209&lt;950000),VLOOKUP(780000,源泉DB!$B$255:$K$255,L209+3)+ROUNDDOWN((K209-780000)*23.483%,0),IF(AND(K209&gt;740000,K209&lt;780000),VLOOKUP(740000,源泉DB!$B$254:$K$254,L209+3)+ROUNDDOWN((K209-740000)*20.42%,0),VLOOKUP(K209,源泉DB!$B$8:$K$299,L209+3))))))))),IF(F209="乙",IF(K209&gt;1700000,651900+(K209-1700000) *45.945%,IF(K209=1700000,651900,IF(AND(K209&gt;740000,K209&lt;1700000),259800+(K209-740000)*40.84%,IF(K209=740000,259800,IF(K209&lt;88000,ROUNDDOWN(K209*3.063%,9),VLOOKUP(K209,源泉DB!$B$8:$L$254,11)))))),"")),"")</f>
        <v/>
      </c>
      <c r="U209" s="165"/>
      <c r="V209" s="166"/>
      <c r="W209" s="166"/>
      <c r="X209" s="166"/>
      <c r="Y209" s="166"/>
      <c r="Z209" s="178">
        <f>ROUND(IFERROR(IF(($G209="加入"),VLOOKUP($I209,年金DB!$G$16:$P$65,6,TRUE),0),0)-0.1,0)</f>
        <v>0</v>
      </c>
      <c r="AA209" s="178">
        <f>ROUND(IFERROR(IF(AND($G209="加入",$D209&gt;=40,$D209&lt;=64),VLOOKUP($I209,年金DB!$G$16:$P$65,10,TRUE),0),0)-0.1,0)</f>
        <v>0</v>
      </c>
      <c r="AB209" s="178">
        <f>ROUND(IFERROR(IF(AND($G209="加入",$D209&lt;40),VLOOKUP($J209,年金DB!$G$16:$X$62,14,TRUE),IF(AND($G209="加入",$D209&gt;=40),VLOOKUP($J209,年金DB!$G$16:$X$62,14,TRUE),"0")),0)-0.1,0)</f>
        <v>0</v>
      </c>
      <c r="AC209" s="178">
        <f t="shared" si="24"/>
        <v>0</v>
      </c>
      <c r="AD209" s="21">
        <f t="shared" si="25"/>
        <v>0</v>
      </c>
      <c r="AE209" s="173">
        <f t="shared" si="26"/>
        <v>0</v>
      </c>
      <c r="AF209" s="14" t="str">
        <f t="shared" si="27"/>
        <v/>
      </c>
      <c r="AG209" s="14"/>
      <c r="AH209" s="14"/>
    </row>
    <row r="210" spans="1:34">
      <c r="A210" s="28"/>
      <c r="B210" s="180"/>
      <c r="C210" s="188"/>
      <c r="D210" s="161"/>
      <c r="E210" s="162"/>
      <c r="F210" s="162"/>
      <c r="G210" s="163"/>
      <c r="H210" s="285"/>
      <c r="I210" s="282"/>
      <c r="J210" s="16"/>
      <c r="K210" s="18">
        <f t="shared" si="21"/>
        <v>0</v>
      </c>
      <c r="L210" s="288">
        <v>0</v>
      </c>
      <c r="M210" s="291"/>
      <c r="N210" s="164"/>
      <c r="O210" s="164"/>
      <c r="P210" s="164"/>
      <c r="Q210" s="175">
        <f t="shared" si="22"/>
        <v>0</v>
      </c>
      <c r="R210" s="164"/>
      <c r="S210" s="197">
        <f t="shared" si="23"/>
        <v>0</v>
      </c>
      <c r="T210" s="201" t="str" cm="1">
        <f t="array" ref="T210">IFERROR(IF(F210="甲",IF(K210&gt;3500000,VLOOKUP(3500000,源泉DB!$B$261:$L$261,L210+3)+ROUNDDOWN((K210-3500000)*45.945%,0),IF(AND(K210&gt;2250000,K210&lt;3500000),VLOOKUP(2250000,源泉DB!$B$260:$K$260,L210+3)+ROUNDDOWN((K210-2250000)*40.84%,0),IF(AND(K210&gt;2210000,K210&lt;2250000),VLOOKUP(2210000,源泉DB!$B$259:$K$259,L210+3)+ROUNDDOWN((K210-2210000)*40.84%,0),IF(AND(K210&gt;2170000,K210&lt;2210000),VLOOKUP(2170000,源泉DB!$B$258:$K$258,L210+3)+ROUNDDOWN((K210-2170000)*40.84%,0),IF(AND(K210&gt;1700000,K210&lt;2170000),VLOOKUP(1700000,源泉DB!$B$257:$K$257,L210+3)+ROUNDDOWN((K210-1700000)*40.84%,0),IF(AND(K210&gt;950000,K210&lt;1700000),VLOOKUP(950000,源泉DB!$B$256:$K$256,L210+3)+ROUNDDOWN((K210-950000)*33.693%,0),IF(AND(K210&gt;780000,K210&lt;950000),VLOOKUP(780000,源泉DB!$B$255:$K$255,L210+3)+ROUNDDOWN((K210-780000)*23.483%,0),IF(AND(K210&gt;740000,K210&lt;780000),VLOOKUP(740000,源泉DB!$B$254:$K$254,L210+3)+ROUNDDOWN((K210-740000)*20.42%,0),VLOOKUP(K210,源泉DB!$B$8:$K$299,L210+3))))))))),IF(F210="乙",IF(K210&gt;1700000,651900+(K210-1700000) *45.945%,IF(K210=1700000,651900,IF(AND(K210&gt;740000,K210&lt;1700000),259800+(K210-740000)*40.84%,IF(K210=740000,259800,IF(K210&lt;88000,ROUNDDOWN(K210*3.063%,9),VLOOKUP(K210,源泉DB!$B$8:$L$254,11)))))),"")),"")</f>
        <v/>
      </c>
      <c r="U210" s="165"/>
      <c r="V210" s="166"/>
      <c r="W210" s="166"/>
      <c r="X210" s="166"/>
      <c r="Y210" s="166"/>
      <c r="Z210" s="178">
        <f>ROUND(IFERROR(IF(($G210="加入"),VLOOKUP($I210,年金DB!$G$16:$P$65,6,TRUE),0),0)-0.1,0)</f>
        <v>0</v>
      </c>
      <c r="AA210" s="178">
        <f>ROUND(IFERROR(IF(AND($G210="加入",$D210&gt;=40,$D210&lt;=64),VLOOKUP($I210,年金DB!$G$16:$P$65,10,TRUE),0),0)-0.1,0)</f>
        <v>0</v>
      </c>
      <c r="AB210" s="178">
        <f>ROUND(IFERROR(IF(AND($G210="加入",$D210&lt;40),VLOOKUP($J210,年金DB!$G$16:$X$62,14,TRUE),IF(AND($G210="加入",$D210&gt;=40),VLOOKUP($J210,年金DB!$G$16:$X$62,14,TRUE),"0")),0)-0.1,0)</f>
        <v>0</v>
      </c>
      <c r="AC210" s="178">
        <f t="shared" si="24"/>
        <v>0</v>
      </c>
      <c r="AD210" s="21">
        <f t="shared" si="25"/>
        <v>0</v>
      </c>
      <c r="AE210" s="173">
        <f t="shared" si="26"/>
        <v>0</v>
      </c>
      <c r="AF210" s="14" t="str">
        <f t="shared" si="27"/>
        <v/>
      </c>
      <c r="AG210" s="14"/>
      <c r="AH210" s="14"/>
    </row>
    <row r="211" spans="1:34">
      <c r="A211" s="28"/>
      <c r="B211" s="180"/>
      <c r="C211" s="188"/>
      <c r="D211" s="161"/>
      <c r="E211" s="162"/>
      <c r="F211" s="162"/>
      <c r="G211" s="163"/>
      <c r="H211" s="285"/>
      <c r="I211" s="282"/>
      <c r="J211" s="16"/>
      <c r="K211" s="18">
        <f t="shared" si="21"/>
        <v>0</v>
      </c>
      <c r="L211" s="288">
        <v>0</v>
      </c>
      <c r="M211" s="291"/>
      <c r="N211" s="164"/>
      <c r="O211" s="164"/>
      <c r="P211" s="164"/>
      <c r="Q211" s="175">
        <f t="shared" si="22"/>
        <v>0</v>
      </c>
      <c r="R211" s="164"/>
      <c r="S211" s="197">
        <f t="shared" si="23"/>
        <v>0</v>
      </c>
      <c r="T211" s="201" t="str" cm="1">
        <f t="array" ref="T211">IFERROR(IF(F211="甲",IF(K211&gt;3500000,VLOOKUP(3500000,源泉DB!$B$261:$L$261,L211+3)+ROUNDDOWN((K211-3500000)*45.945%,0),IF(AND(K211&gt;2250000,K211&lt;3500000),VLOOKUP(2250000,源泉DB!$B$260:$K$260,L211+3)+ROUNDDOWN((K211-2250000)*40.84%,0),IF(AND(K211&gt;2210000,K211&lt;2250000),VLOOKUP(2210000,源泉DB!$B$259:$K$259,L211+3)+ROUNDDOWN((K211-2210000)*40.84%,0),IF(AND(K211&gt;2170000,K211&lt;2210000),VLOOKUP(2170000,源泉DB!$B$258:$K$258,L211+3)+ROUNDDOWN((K211-2170000)*40.84%,0),IF(AND(K211&gt;1700000,K211&lt;2170000),VLOOKUP(1700000,源泉DB!$B$257:$K$257,L211+3)+ROUNDDOWN((K211-1700000)*40.84%,0),IF(AND(K211&gt;950000,K211&lt;1700000),VLOOKUP(950000,源泉DB!$B$256:$K$256,L211+3)+ROUNDDOWN((K211-950000)*33.693%,0),IF(AND(K211&gt;780000,K211&lt;950000),VLOOKUP(780000,源泉DB!$B$255:$K$255,L211+3)+ROUNDDOWN((K211-780000)*23.483%,0),IF(AND(K211&gt;740000,K211&lt;780000),VLOOKUP(740000,源泉DB!$B$254:$K$254,L211+3)+ROUNDDOWN((K211-740000)*20.42%,0),VLOOKUP(K211,源泉DB!$B$8:$K$299,L211+3))))))))),IF(F211="乙",IF(K211&gt;1700000,651900+(K211-1700000) *45.945%,IF(K211=1700000,651900,IF(AND(K211&gt;740000,K211&lt;1700000),259800+(K211-740000)*40.84%,IF(K211=740000,259800,IF(K211&lt;88000,ROUNDDOWN(K211*3.063%,9),VLOOKUP(K211,源泉DB!$B$8:$L$254,11)))))),"")),"")</f>
        <v/>
      </c>
      <c r="U211" s="165"/>
      <c r="V211" s="166"/>
      <c r="W211" s="166"/>
      <c r="X211" s="166"/>
      <c r="Y211" s="166"/>
      <c r="Z211" s="178">
        <f>ROUND(IFERROR(IF(($G211="加入"),VLOOKUP($I211,年金DB!$G$16:$P$65,6,TRUE),0),0)-0.1,0)</f>
        <v>0</v>
      </c>
      <c r="AA211" s="178">
        <f>ROUND(IFERROR(IF(AND($G211="加入",$D211&gt;=40,$D211&lt;=64),VLOOKUP($I211,年金DB!$G$16:$P$65,10,TRUE),0),0)-0.1,0)</f>
        <v>0</v>
      </c>
      <c r="AB211" s="178">
        <f>ROUND(IFERROR(IF(AND($G211="加入",$D211&lt;40),VLOOKUP($J211,年金DB!$G$16:$X$62,14,TRUE),IF(AND($G211="加入",$D211&gt;=40),VLOOKUP($J211,年金DB!$G$16:$X$62,14,TRUE),"0")),0)-0.1,0)</f>
        <v>0</v>
      </c>
      <c r="AC211" s="178">
        <f t="shared" si="24"/>
        <v>0</v>
      </c>
      <c r="AD211" s="21">
        <f t="shared" si="25"/>
        <v>0</v>
      </c>
      <c r="AE211" s="173">
        <f t="shared" si="26"/>
        <v>0</v>
      </c>
      <c r="AF211" s="14" t="str">
        <f t="shared" si="27"/>
        <v/>
      </c>
      <c r="AG211" s="14"/>
      <c r="AH211" s="14"/>
    </row>
    <row r="212" spans="1:34">
      <c r="A212" s="28"/>
      <c r="B212" s="180"/>
      <c r="C212" s="188"/>
      <c r="D212" s="161"/>
      <c r="E212" s="162"/>
      <c r="F212" s="162"/>
      <c r="G212" s="163"/>
      <c r="H212" s="285"/>
      <c r="I212" s="282"/>
      <c r="J212" s="16"/>
      <c r="K212" s="18">
        <f t="shared" si="21"/>
        <v>0</v>
      </c>
      <c r="L212" s="288">
        <v>0</v>
      </c>
      <c r="M212" s="291"/>
      <c r="N212" s="164"/>
      <c r="O212" s="164"/>
      <c r="P212" s="164"/>
      <c r="Q212" s="175">
        <f t="shared" si="22"/>
        <v>0</v>
      </c>
      <c r="R212" s="164"/>
      <c r="S212" s="197">
        <f t="shared" si="23"/>
        <v>0</v>
      </c>
      <c r="T212" s="201" t="str" cm="1">
        <f t="array" ref="T212">IFERROR(IF(F212="甲",IF(K212&gt;3500000,VLOOKUP(3500000,源泉DB!$B$261:$L$261,L212+3)+ROUNDDOWN((K212-3500000)*45.945%,0),IF(AND(K212&gt;2250000,K212&lt;3500000),VLOOKUP(2250000,源泉DB!$B$260:$K$260,L212+3)+ROUNDDOWN((K212-2250000)*40.84%,0),IF(AND(K212&gt;2210000,K212&lt;2250000),VLOOKUP(2210000,源泉DB!$B$259:$K$259,L212+3)+ROUNDDOWN((K212-2210000)*40.84%,0),IF(AND(K212&gt;2170000,K212&lt;2210000),VLOOKUP(2170000,源泉DB!$B$258:$K$258,L212+3)+ROUNDDOWN((K212-2170000)*40.84%,0),IF(AND(K212&gt;1700000,K212&lt;2170000),VLOOKUP(1700000,源泉DB!$B$257:$K$257,L212+3)+ROUNDDOWN((K212-1700000)*40.84%,0),IF(AND(K212&gt;950000,K212&lt;1700000),VLOOKUP(950000,源泉DB!$B$256:$K$256,L212+3)+ROUNDDOWN((K212-950000)*33.693%,0),IF(AND(K212&gt;780000,K212&lt;950000),VLOOKUP(780000,源泉DB!$B$255:$K$255,L212+3)+ROUNDDOWN((K212-780000)*23.483%,0),IF(AND(K212&gt;740000,K212&lt;780000),VLOOKUP(740000,源泉DB!$B$254:$K$254,L212+3)+ROUNDDOWN((K212-740000)*20.42%,0),VLOOKUP(K212,源泉DB!$B$8:$K$299,L212+3))))))))),IF(F212="乙",IF(K212&gt;1700000,651900+(K212-1700000) *45.945%,IF(K212=1700000,651900,IF(AND(K212&gt;740000,K212&lt;1700000),259800+(K212-740000)*40.84%,IF(K212=740000,259800,IF(K212&lt;88000,ROUNDDOWN(K212*3.063%,9),VLOOKUP(K212,源泉DB!$B$8:$L$254,11)))))),"")),"")</f>
        <v/>
      </c>
      <c r="U212" s="165"/>
      <c r="V212" s="166"/>
      <c r="W212" s="166"/>
      <c r="X212" s="166"/>
      <c r="Y212" s="166"/>
      <c r="Z212" s="178">
        <f>ROUND(IFERROR(IF(($G212="加入"),VLOOKUP($I212,年金DB!$G$16:$P$65,6,TRUE),0),0)-0.1,0)</f>
        <v>0</v>
      </c>
      <c r="AA212" s="178">
        <f>ROUND(IFERROR(IF(AND($G212="加入",$D212&gt;=40,$D212&lt;=64),VLOOKUP($I212,年金DB!$G$16:$P$65,10,TRUE),0),0)-0.1,0)</f>
        <v>0</v>
      </c>
      <c r="AB212" s="178">
        <f>ROUND(IFERROR(IF(AND($G212="加入",$D212&lt;40),VLOOKUP($J212,年金DB!$G$16:$X$62,14,TRUE),IF(AND($G212="加入",$D212&gt;=40),VLOOKUP($J212,年金DB!$G$16:$X$62,14,TRUE),"0")),0)-0.1,0)</f>
        <v>0</v>
      </c>
      <c r="AC212" s="178">
        <f t="shared" si="24"/>
        <v>0</v>
      </c>
      <c r="AD212" s="21">
        <f t="shared" si="25"/>
        <v>0</v>
      </c>
      <c r="AE212" s="173">
        <f t="shared" si="26"/>
        <v>0</v>
      </c>
      <c r="AF212" s="14" t="str">
        <f t="shared" si="27"/>
        <v/>
      </c>
      <c r="AG212" s="14"/>
      <c r="AH212" s="14"/>
    </row>
    <row r="213" spans="1:34">
      <c r="A213" s="28"/>
      <c r="B213" s="180"/>
      <c r="C213" s="188"/>
      <c r="D213" s="161"/>
      <c r="E213" s="162"/>
      <c r="F213" s="162"/>
      <c r="G213" s="163"/>
      <c r="H213" s="285"/>
      <c r="I213" s="282"/>
      <c r="J213" s="16"/>
      <c r="K213" s="18">
        <f t="shared" si="21"/>
        <v>0</v>
      </c>
      <c r="L213" s="288">
        <v>0</v>
      </c>
      <c r="M213" s="291"/>
      <c r="N213" s="164"/>
      <c r="O213" s="164"/>
      <c r="P213" s="164"/>
      <c r="Q213" s="175">
        <f t="shared" si="22"/>
        <v>0</v>
      </c>
      <c r="R213" s="164"/>
      <c r="S213" s="197">
        <f t="shared" si="23"/>
        <v>0</v>
      </c>
      <c r="T213" s="201" t="str" cm="1">
        <f t="array" ref="T213">IFERROR(IF(F213="甲",IF(K213&gt;3500000,VLOOKUP(3500000,源泉DB!$B$261:$L$261,L213+3)+ROUNDDOWN((K213-3500000)*45.945%,0),IF(AND(K213&gt;2250000,K213&lt;3500000),VLOOKUP(2250000,源泉DB!$B$260:$K$260,L213+3)+ROUNDDOWN((K213-2250000)*40.84%,0),IF(AND(K213&gt;2210000,K213&lt;2250000),VLOOKUP(2210000,源泉DB!$B$259:$K$259,L213+3)+ROUNDDOWN((K213-2210000)*40.84%,0),IF(AND(K213&gt;2170000,K213&lt;2210000),VLOOKUP(2170000,源泉DB!$B$258:$K$258,L213+3)+ROUNDDOWN((K213-2170000)*40.84%,0),IF(AND(K213&gt;1700000,K213&lt;2170000),VLOOKUP(1700000,源泉DB!$B$257:$K$257,L213+3)+ROUNDDOWN((K213-1700000)*40.84%,0),IF(AND(K213&gt;950000,K213&lt;1700000),VLOOKUP(950000,源泉DB!$B$256:$K$256,L213+3)+ROUNDDOWN((K213-950000)*33.693%,0),IF(AND(K213&gt;780000,K213&lt;950000),VLOOKUP(780000,源泉DB!$B$255:$K$255,L213+3)+ROUNDDOWN((K213-780000)*23.483%,0),IF(AND(K213&gt;740000,K213&lt;780000),VLOOKUP(740000,源泉DB!$B$254:$K$254,L213+3)+ROUNDDOWN((K213-740000)*20.42%,0),VLOOKUP(K213,源泉DB!$B$8:$K$299,L213+3))))))))),IF(F213="乙",IF(K213&gt;1700000,651900+(K213-1700000) *45.945%,IF(K213=1700000,651900,IF(AND(K213&gt;740000,K213&lt;1700000),259800+(K213-740000)*40.84%,IF(K213=740000,259800,IF(K213&lt;88000,ROUNDDOWN(K213*3.063%,9),VLOOKUP(K213,源泉DB!$B$8:$L$254,11)))))),"")),"")</f>
        <v/>
      </c>
      <c r="U213" s="165"/>
      <c r="V213" s="166"/>
      <c r="W213" s="166"/>
      <c r="X213" s="166"/>
      <c r="Y213" s="166"/>
      <c r="Z213" s="178">
        <f>ROUND(IFERROR(IF(($G213="加入"),VLOOKUP($I213,年金DB!$G$16:$P$65,6,TRUE),0),0)-0.1,0)</f>
        <v>0</v>
      </c>
      <c r="AA213" s="178">
        <f>ROUND(IFERROR(IF(AND($G213="加入",$D213&gt;=40,$D213&lt;=64),VLOOKUP($I213,年金DB!$G$16:$P$65,10,TRUE),0),0)-0.1,0)</f>
        <v>0</v>
      </c>
      <c r="AB213" s="178">
        <f>ROUND(IFERROR(IF(AND($G213="加入",$D213&lt;40),VLOOKUP($J213,年金DB!$G$16:$X$62,14,TRUE),IF(AND($G213="加入",$D213&gt;=40),VLOOKUP($J213,年金DB!$G$16:$X$62,14,TRUE),"0")),0)-0.1,0)</f>
        <v>0</v>
      </c>
      <c r="AC213" s="178">
        <f t="shared" si="24"/>
        <v>0</v>
      </c>
      <c r="AD213" s="21">
        <f t="shared" si="25"/>
        <v>0</v>
      </c>
      <c r="AE213" s="173">
        <f t="shared" si="26"/>
        <v>0</v>
      </c>
      <c r="AF213" s="14" t="str">
        <f t="shared" si="27"/>
        <v/>
      </c>
      <c r="AG213" s="14"/>
      <c r="AH213" s="14"/>
    </row>
    <row r="214" spans="1:34">
      <c r="A214" s="28"/>
      <c r="B214" s="180"/>
      <c r="C214" s="188"/>
      <c r="D214" s="161"/>
      <c r="E214" s="162"/>
      <c r="F214" s="162"/>
      <c r="G214" s="163"/>
      <c r="H214" s="285"/>
      <c r="I214" s="282"/>
      <c r="J214" s="16"/>
      <c r="K214" s="18">
        <f t="shared" si="21"/>
        <v>0</v>
      </c>
      <c r="L214" s="288">
        <v>0</v>
      </c>
      <c r="M214" s="291"/>
      <c r="N214" s="164"/>
      <c r="O214" s="164"/>
      <c r="P214" s="164"/>
      <c r="Q214" s="175">
        <f t="shared" si="22"/>
        <v>0</v>
      </c>
      <c r="R214" s="164"/>
      <c r="S214" s="197">
        <f t="shared" si="23"/>
        <v>0</v>
      </c>
      <c r="T214" s="201" t="str" cm="1">
        <f t="array" ref="T214">IFERROR(IF(F214="甲",IF(K214&gt;3500000,VLOOKUP(3500000,源泉DB!$B$261:$L$261,L214+3)+ROUNDDOWN((K214-3500000)*45.945%,0),IF(AND(K214&gt;2250000,K214&lt;3500000),VLOOKUP(2250000,源泉DB!$B$260:$K$260,L214+3)+ROUNDDOWN((K214-2250000)*40.84%,0),IF(AND(K214&gt;2210000,K214&lt;2250000),VLOOKUP(2210000,源泉DB!$B$259:$K$259,L214+3)+ROUNDDOWN((K214-2210000)*40.84%,0),IF(AND(K214&gt;2170000,K214&lt;2210000),VLOOKUP(2170000,源泉DB!$B$258:$K$258,L214+3)+ROUNDDOWN((K214-2170000)*40.84%,0),IF(AND(K214&gt;1700000,K214&lt;2170000),VLOOKUP(1700000,源泉DB!$B$257:$K$257,L214+3)+ROUNDDOWN((K214-1700000)*40.84%,0),IF(AND(K214&gt;950000,K214&lt;1700000),VLOOKUP(950000,源泉DB!$B$256:$K$256,L214+3)+ROUNDDOWN((K214-950000)*33.693%,0),IF(AND(K214&gt;780000,K214&lt;950000),VLOOKUP(780000,源泉DB!$B$255:$K$255,L214+3)+ROUNDDOWN((K214-780000)*23.483%,0),IF(AND(K214&gt;740000,K214&lt;780000),VLOOKUP(740000,源泉DB!$B$254:$K$254,L214+3)+ROUNDDOWN((K214-740000)*20.42%,0),VLOOKUP(K214,源泉DB!$B$8:$K$299,L214+3))))))))),IF(F214="乙",IF(K214&gt;1700000,651900+(K214-1700000) *45.945%,IF(K214=1700000,651900,IF(AND(K214&gt;740000,K214&lt;1700000),259800+(K214-740000)*40.84%,IF(K214=740000,259800,IF(K214&lt;88000,ROUNDDOWN(K214*3.063%,9),VLOOKUP(K214,源泉DB!$B$8:$L$254,11)))))),"")),"")</f>
        <v/>
      </c>
      <c r="U214" s="165"/>
      <c r="V214" s="166"/>
      <c r="W214" s="166"/>
      <c r="X214" s="166"/>
      <c r="Y214" s="166"/>
      <c r="Z214" s="178">
        <f>ROUND(IFERROR(IF(($G214="加入"),VLOOKUP($I214,年金DB!$G$16:$P$65,6,TRUE),0),0)-0.1,0)</f>
        <v>0</v>
      </c>
      <c r="AA214" s="178">
        <f>ROUND(IFERROR(IF(AND($G214="加入",$D214&gt;=40,$D214&lt;=64),VLOOKUP($I214,年金DB!$G$16:$P$65,10,TRUE),0),0)-0.1,0)</f>
        <v>0</v>
      </c>
      <c r="AB214" s="178">
        <f>ROUND(IFERROR(IF(AND($G214="加入",$D214&lt;40),VLOOKUP($J214,年金DB!$G$16:$X$62,14,TRUE),IF(AND($G214="加入",$D214&gt;=40),VLOOKUP($J214,年金DB!$G$16:$X$62,14,TRUE),"0")),0)-0.1,0)</f>
        <v>0</v>
      </c>
      <c r="AC214" s="178">
        <f t="shared" si="24"/>
        <v>0</v>
      </c>
      <c r="AD214" s="21">
        <f t="shared" si="25"/>
        <v>0</v>
      </c>
      <c r="AE214" s="173">
        <f t="shared" si="26"/>
        <v>0</v>
      </c>
      <c r="AF214" s="14" t="str">
        <f t="shared" si="27"/>
        <v/>
      </c>
      <c r="AG214" s="14"/>
      <c r="AH214" s="14"/>
    </row>
    <row r="215" spans="1:34">
      <c r="A215" s="28"/>
      <c r="B215" s="180"/>
      <c r="C215" s="188"/>
      <c r="D215" s="161"/>
      <c r="E215" s="162"/>
      <c r="F215" s="162"/>
      <c r="G215" s="163"/>
      <c r="H215" s="285"/>
      <c r="I215" s="282"/>
      <c r="J215" s="16"/>
      <c r="K215" s="18">
        <f t="shared" si="21"/>
        <v>0</v>
      </c>
      <c r="L215" s="288">
        <v>0</v>
      </c>
      <c r="M215" s="291"/>
      <c r="N215" s="164"/>
      <c r="O215" s="164"/>
      <c r="P215" s="164"/>
      <c r="Q215" s="175">
        <f t="shared" si="22"/>
        <v>0</v>
      </c>
      <c r="R215" s="164"/>
      <c r="S215" s="197">
        <f t="shared" si="23"/>
        <v>0</v>
      </c>
      <c r="T215" s="201" t="str" cm="1">
        <f t="array" ref="T215">IFERROR(IF(F215="甲",IF(K215&gt;3500000,VLOOKUP(3500000,源泉DB!$B$261:$L$261,L215+3)+ROUNDDOWN((K215-3500000)*45.945%,0),IF(AND(K215&gt;2250000,K215&lt;3500000),VLOOKUP(2250000,源泉DB!$B$260:$K$260,L215+3)+ROUNDDOWN((K215-2250000)*40.84%,0),IF(AND(K215&gt;2210000,K215&lt;2250000),VLOOKUP(2210000,源泉DB!$B$259:$K$259,L215+3)+ROUNDDOWN((K215-2210000)*40.84%,0),IF(AND(K215&gt;2170000,K215&lt;2210000),VLOOKUP(2170000,源泉DB!$B$258:$K$258,L215+3)+ROUNDDOWN((K215-2170000)*40.84%,0),IF(AND(K215&gt;1700000,K215&lt;2170000),VLOOKUP(1700000,源泉DB!$B$257:$K$257,L215+3)+ROUNDDOWN((K215-1700000)*40.84%,0),IF(AND(K215&gt;950000,K215&lt;1700000),VLOOKUP(950000,源泉DB!$B$256:$K$256,L215+3)+ROUNDDOWN((K215-950000)*33.693%,0),IF(AND(K215&gt;780000,K215&lt;950000),VLOOKUP(780000,源泉DB!$B$255:$K$255,L215+3)+ROUNDDOWN((K215-780000)*23.483%,0),IF(AND(K215&gt;740000,K215&lt;780000),VLOOKUP(740000,源泉DB!$B$254:$K$254,L215+3)+ROUNDDOWN((K215-740000)*20.42%,0),VLOOKUP(K215,源泉DB!$B$8:$K$299,L215+3))))))))),IF(F215="乙",IF(K215&gt;1700000,651900+(K215-1700000) *45.945%,IF(K215=1700000,651900,IF(AND(K215&gt;740000,K215&lt;1700000),259800+(K215-740000)*40.84%,IF(K215=740000,259800,IF(K215&lt;88000,ROUNDDOWN(K215*3.063%,9),VLOOKUP(K215,源泉DB!$B$8:$L$254,11)))))),"")),"")</f>
        <v/>
      </c>
      <c r="U215" s="165"/>
      <c r="V215" s="166"/>
      <c r="W215" s="166"/>
      <c r="X215" s="166"/>
      <c r="Y215" s="166"/>
      <c r="Z215" s="178">
        <f>ROUND(IFERROR(IF(($G215="加入"),VLOOKUP($I215,年金DB!$G$16:$P$65,6,TRUE),0),0)-0.1,0)</f>
        <v>0</v>
      </c>
      <c r="AA215" s="178">
        <f>ROUND(IFERROR(IF(AND($G215="加入",$D215&gt;=40,$D215&lt;=64),VLOOKUP($I215,年金DB!$G$16:$P$65,10,TRUE),0),0)-0.1,0)</f>
        <v>0</v>
      </c>
      <c r="AB215" s="178">
        <f>ROUND(IFERROR(IF(AND($G215="加入",$D215&lt;40),VLOOKUP($J215,年金DB!$G$16:$X$62,14,TRUE),IF(AND($G215="加入",$D215&gt;=40),VLOOKUP($J215,年金DB!$G$16:$X$62,14,TRUE),"0")),0)-0.1,0)</f>
        <v>0</v>
      </c>
      <c r="AC215" s="178">
        <f t="shared" si="24"/>
        <v>0</v>
      </c>
      <c r="AD215" s="21">
        <f t="shared" si="25"/>
        <v>0</v>
      </c>
      <c r="AE215" s="173">
        <f t="shared" si="26"/>
        <v>0</v>
      </c>
      <c r="AF215" s="14" t="str">
        <f t="shared" si="27"/>
        <v/>
      </c>
      <c r="AG215" s="14"/>
      <c r="AH215" s="14"/>
    </row>
    <row r="216" spans="1:34">
      <c r="A216" s="28"/>
      <c r="B216" s="180"/>
      <c r="C216" s="188"/>
      <c r="D216" s="161"/>
      <c r="E216" s="162"/>
      <c r="F216" s="162"/>
      <c r="G216" s="163"/>
      <c r="H216" s="285"/>
      <c r="I216" s="282"/>
      <c r="J216" s="16"/>
      <c r="K216" s="18">
        <f t="shared" si="21"/>
        <v>0</v>
      </c>
      <c r="L216" s="288">
        <v>0</v>
      </c>
      <c r="M216" s="291"/>
      <c r="N216" s="164"/>
      <c r="O216" s="164"/>
      <c r="P216" s="164"/>
      <c r="Q216" s="175">
        <f t="shared" si="22"/>
        <v>0</v>
      </c>
      <c r="R216" s="164"/>
      <c r="S216" s="197">
        <f t="shared" si="23"/>
        <v>0</v>
      </c>
      <c r="T216" s="201" t="str" cm="1">
        <f t="array" ref="T216">IFERROR(IF(F216="甲",IF(K216&gt;3500000,VLOOKUP(3500000,源泉DB!$B$261:$L$261,L216+3)+ROUNDDOWN((K216-3500000)*45.945%,0),IF(AND(K216&gt;2250000,K216&lt;3500000),VLOOKUP(2250000,源泉DB!$B$260:$K$260,L216+3)+ROUNDDOWN((K216-2250000)*40.84%,0),IF(AND(K216&gt;2210000,K216&lt;2250000),VLOOKUP(2210000,源泉DB!$B$259:$K$259,L216+3)+ROUNDDOWN((K216-2210000)*40.84%,0),IF(AND(K216&gt;2170000,K216&lt;2210000),VLOOKUP(2170000,源泉DB!$B$258:$K$258,L216+3)+ROUNDDOWN((K216-2170000)*40.84%,0),IF(AND(K216&gt;1700000,K216&lt;2170000),VLOOKUP(1700000,源泉DB!$B$257:$K$257,L216+3)+ROUNDDOWN((K216-1700000)*40.84%,0),IF(AND(K216&gt;950000,K216&lt;1700000),VLOOKUP(950000,源泉DB!$B$256:$K$256,L216+3)+ROUNDDOWN((K216-950000)*33.693%,0),IF(AND(K216&gt;780000,K216&lt;950000),VLOOKUP(780000,源泉DB!$B$255:$K$255,L216+3)+ROUNDDOWN((K216-780000)*23.483%,0),IF(AND(K216&gt;740000,K216&lt;780000),VLOOKUP(740000,源泉DB!$B$254:$K$254,L216+3)+ROUNDDOWN((K216-740000)*20.42%,0),VLOOKUP(K216,源泉DB!$B$8:$K$299,L216+3))))))))),IF(F216="乙",IF(K216&gt;1700000,651900+(K216-1700000) *45.945%,IF(K216=1700000,651900,IF(AND(K216&gt;740000,K216&lt;1700000),259800+(K216-740000)*40.84%,IF(K216=740000,259800,IF(K216&lt;88000,ROUNDDOWN(K216*3.063%,9),VLOOKUP(K216,源泉DB!$B$8:$L$254,11)))))),"")),"")</f>
        <v/>
      </c>
      <c r="U216" s="165"/>
      <c r="V216" s="166"/>
      <c r="W216" s="166"/>
      <c r="X216" s="166"/>
      <c r="Y216" s="166"/>
      <c r="Z216" s="178">
        <f>ROUND(IFERROR(IF(($G216="加入"),VLOOKUP($I216,年金DB!$G$16:$P$65,6,TRUE),0),0)-0.1,0)</f>
        <v>0</v>
      </c>
      <c r="AA216" s="178">
        <f>ROUND(IFERROR(IF(AND($G216="加入",$D216&gt;=40,$D216&lt;=64),VLOOKUP($I216,年金DB!$G$16:$P$65,10,TRUE),0),0)-0.1,0)</f>
        <v>0</v>
      </c>
      <c r="AB216" s="178">
        <f>ROUND(IFERROR(IF(AND($G216="加入",$D216&lt;40),VLOOKUP($J216,年金DB!$G$16:$X$62,14,TRUE),IF(AND($G216="加入",$D216&gt;=40),VLOOKUP($J216,年金DB!$G$16:$X$62,14,TRUE),"0")),0)-0.1,0)</f>
        <v>0</v>
      </c>
      <c r="AC216" s="178">
        <f t="shared" si="24"/>
        <v>0</v>
      </c>
      <c r="AD216" s="21">
        <f t="shared" si="25"/>
        <v>0</v>
      </c>
      <c r="AE216" s="173">
        <f t="shared" si="26"/>
        <v>0</v>
      </c>
      <c r="AF216" s="14" t="str">
        <f t="shared" si="27"/>
        <v/>
      </c>
      <c r="AG216" s="14"/>
      <c r="AH216" s="14"/>
    </row>
    <row r="217" spans="1:34">
      <c r="A217" s="28"/>
      <c r="B217" s="180"/>
      <c r="C217" s="188"/>
      <c r="D217" s="161"/>
      <c r="E217" s="162"/>
      <c r="F217" s="162"/>
      <c r="G217" s="163"/>
      <c r="H217" s="285"/>
      <c r="I217" s="282"/>
      <c r="J217" s="16"/>
      <c r="K217" s="18">
        <f t="shared" si="21"/>
        <v>0</v>
      </c>
      <c r="L217" s="288">
        <v>0</v>
      </c>
      <c r="M217" s="291"/>
      <c r="N217" s="164"/>
      <c r="O217" s="164"/>
      <c r="P217" s="164"/>
      <c r="Q217" s="175">
        <f t="shared" si="22"/>
        <v>0</v>
      </c>
      <c r="R217" s="164"/>
      <c r="S217" s="197">
        <f t="shared" si="23"/>
        <v>0</v>
      </c>
      <c r="T217" s="201" t="str" cm="1">
        <f t="array" ref="T217">IFERROR(IF(F217="甲",IF(K217&gt;3500000,VLOOKUP(3500000,源泉DB!$B$261:$L$261,L217+3)+ROUNDDOWN((K217-3500000)*45.945%,0),IF(AND(K217&gt;2250000,K217&lt;3500000),VLOOKUP(2250000,源泉DB!$B$260:$K$260,L217+3)+ROUNDDOWN((K217-2250000)*40.84%,0),IF(AND(K217&gt;2210000,K217&lt;2250000),VLOOKUP(2210000,源泉DB!$B$259:$K$259,L217+3)+ROUNDDOWN((K217-2210000)*40.84%,0),IF(AND(K217&gt;2170000,K217&lt;2210000),VLOOKUP(2170000,源泉DB!$B$258:$K$258,L217+3)+ROUNDDOWN((K217-2170000)*40.84%,0),IF(AND(K217&gt;1700000,K217&lt;2170000),VLOOKUP(1700000,源泉DB!$B$257:$K$257,L217+3)+ROUNDDOWN((K217-1700000)*40.84%,0),IF(AND(K217&gt;950000,K217&lt;1700000),VLOOKUP(950000,源泉DB!$B$256:$K$256,L217+3)+ROUNDDOWN((K217-950000)*33.693%,0),IF(AND(K217&gt;780000,K217&lt;950000),VLOOKUP(780000,源泉DB!$B$255:$K$255,L217+3)+ROUNDDOWN((K217-780000)*23.483%,0),IF(AND(K217&gt;740000,K217&lt;780000),VLOOKUP(740000,源泉DB!$B$254:$K$254,L217+3)+ROUNDDOWN((K217-740000)*20.42%,0),VLOOKUP(K217,源泉DB!$B$8:$K$299,L217+3))))))))),IF(F217="乙",IF(K217&gt;1700000,651900+(K217-1700000) *45.945%,IF(K217=1700000,651900,IF(AND(K217&gt;740000,K217&lt;1700000),259800+(K217-740000)*40.84%,IF(K217=740000,259800,IF(K217&lt;88000,ROUNDDOWN(K217*3.063%,9),VLOOKUP(K217,源泉DB!$B$8:$L$254,11)))))),"")),"")</f>
        <v/>
      </c>
      <c r="U217" s="165"/>
      <c r="V217" s="166"/>
      <c r="W217" s="166"/>
      <c r="X217" s="166"/>
      <c r="Y217" s="166"/>
      <c r="Z217" s="178">
        <f>ROUND(IFERROR(IF(($G217="加入"),VLOOKUP($I217,年金DB!$G$16:$P$65,6,TRUE),0),0)-0.1,0)</f>
        <v>0</v>
      </c>
      <c r="AA217" s="178">
        <f>ROUND(IFERROR(IF(AND($G217="加入",$D217&gt;=40,$D217&lt;=64),VLOOKUP($I217,年金DB!$G$16:$P$65,10,TRUE),0),0)-0.1,0)</f>
        <v>0</v>
      </c>
      <c r="AB217" s="178">
        <f>ROUND(IFERROR(IF(AND($G217="加入",$D217&lt;40),VLOOKUP($J217,年金DB!$G$16:$X$62,14,TRUE),IF(AND($G217="加入",$D217&gt;=40),VLOOKUP($J217,年金DB!$G$16:$X$62,14,TRUE),"0")),0)-0.1,0)</f>
        <v>0</v>
      </c>
      <c r="AC217" s="178">
        <f t="shared" si="24"/>
        <v>0</v>
      </c>
      <c r="AD217" s="21">
        <f t="shared" si="25"/>
        <v>0</v>
      </c>
      <c r="AE217" s="173">
        <f t="shared" si="26"/>
        <v>0</v>
      </c>
      <c r="AF217" s="14" t="str">
        <f t="shared" si="27"/>
        <v/>
      </c>
      <c r="AG217" s="14"/>
      <c r="AH217" s="14"/>
    </row>
    <row r="218" spans="1:34">
      <c r="A218" s="28"/>
      <c r="B218" s="180"/>
      <c r="C218" s="188"/>
      <c r="D218" s="161"/>
      <c r="E218" s="162"/>
      <c r="F218" s="162"/>
      <c r="G218" s="163"/>
      <c r="H218" s="285"/>
      <c r="I218" s="282"/>
      <c r="J218" s="16"/>
      <c r="K218" s="18">
        <f t="shared" si="21"/>
        <v>0</v>
      </c>
      <c r="L218" s="288">
        <v>0</v>
      </c>
      <c r="M218" s="291"/>
      <c r="N218" s="164"/>
      <c r="O218" s="164"/>
      <c r="P218" s="164"/>
      <c r="Q218" s="175">
        <f t="shared" si="22"/>
        <v>0</v>
      </c>
      <c r="R218" s="164"/>
      <c r="S218" s="197">
        <f t="shared" si="23"/>
        <v>0</v>
      </c>
      <c r="T218" s="201" t="str" cm="1">
        <f t="array" ref="T218">IFERROR(IF(F218="甲",IF(K218&gt;3500000,VLOOKUP(3500000,源泉DB!$B$261:$L$261,L218+3)+ROUNDDOWN((K218-3500000)*45.945%,0),IF(AND(K218&gt;2250000,K218&lt;3500000),VLOOKUP(2250000,源泉DB!$B$260:$K$260,L218+3)+ROUNDDOWN((K218-2250000)*40.84%,0),IF(AND(K218&gt;2210000,K218&lt;2250000),VLOOKUP(2210000,源泉DB!$B$259:$K$259,L218+3)+ROUNDDOWN((K218-2210000)*40.84%,0),IF(AND(K218&gt;2170000,K218&lt;2210000),VLOOKUP(2170000,源泉DB!$B$258:$K$258,L218+3)+ROUNDDOWN((K218-2170000)*40.84%,0),IF(AND(K218&gt;1700000,K218&lt;2170000),VLOOKUP(1700000,源泉DB!$B$257:$K$257,L218+3)+ROUNDDOWN((K218-1700000)*40.84%,0),IF(AND(K218&gt;950000,K218&lt;1700000),VLOOKUP(950000,源泉DB!$B$256:$K$256,L218+3)+ROUNDDOWN((K218-950000)*33.693%,0),IF(AND(K218&gt;780000,K218&lt;950000),VLOOKUP(780000,源泉DB!$B$255:$K$255,L218+3)+ROUNDDOWN((K218-780000)*23.483%,0),IF(AND(K218&gt;740000,K218&lt;780000),VLOOKUP(740000,源泉DB!$B$254:$K$254,L218+3)+ROUNDDOWN((K218-740000)*20.42%,0),VLOOKUP(K218,源泉DB!$B$8:$K$299,L218+3))))))))),IF(F218="乙",IF(K218&gt;1700000,651900+(K218-1700000) *45.945%,IF(K218=1700000,651900,IF(AND(K218&gt;740000,K218&lt;1700000),259800+(K218-740000)*40.84%,IF(K218=740000,259800,IF(K218&lt;88000,ROUNDDOWN(K218*3.063%,9),VLOOKUP(K218,源泉DB!$B$8:$L$254,11)))))),"")),"")</f>
        <v/>
      </c>
      <c r="U218" s="165"/>
      <c r="V218" s="166"/>
      <c r="W218" s="166"/>
      <c r="X218" s="166"/>
      <c r="Y218" s="166"/>
      <c r="Z218" s="178">
        <f>ROUND(IFERROR(IF(($G218="加入"),VLOOKUP($I218,年金DB!$G$16:$P$65,6,TRUE),0),0)-0.1,0)</f>
        <v>0</v>
      </c>
      <c r="AA218" s="178">
        <f>ROUND(IFERROR(IF(AND($G218="加入",$D218&gt;=40,$D218&lt;=64),VLOOKUP($I218,年金DB!$G$16:$P$65,10,TRUE),0),0)-0.1,0)</f>
        <v>0</v>
      </c>
      <c r="AB218" s="178">
        <f>ROUND(IFERROR(IF(AND($G218="加入",$D218&lt;40),VLOOKUP($J218,年金DB!$G$16:$X$62,14,TRUE),IF(AND($G218="加入",$D218&gt;=40),VLOOKUP($J218,年金DB!$G$16:$X$62,14,TRUE),"0")),0)-0.1,0)</f>
        <v>0</v>
      </c>
      <c r="AC218" s="178">
        <f t="shared" si="24"/>
        <v>0</v>
      </c>
      <c r="AD218" s="21">
        <f t="shared" si="25"/>
        <v>0</v>
      </c>
      <c r="AE218" s="173">
        <f t="shared" si="26"/>
        <v>0</v>
      </c>
      <c r="AF218" s="14" t="str">
        <f t="shared" si="27"/>
        <v/>
      </c>
      <c r="AG218" s="14"/>
      <c r="AH218" s="14"/>
    </row>
    <row r="219" spans="1:34">
      <c r="A219" s="28"/>
      <c r="B219" s="180"/>
      <c r="C219" s="188"/>
      <c r="D219" s="161"/>
      <c r="E219" s="162"/>
      <c r="F219" s="162"/>
      <c r="G219" s="163"/>
      <c r="H219" s="285"/>
      <c r="I219" s="282"/>
      <c r="J219" s="16"/>
      <c r="K219" s="18">
        <f t="shared" si="21"/>
        <v>0</v>
      </c>
      <c r="L219" s="288">
        <v>0</v>
      </c>
      <c r="M219" s="291"/>
      <c r="N219" s="164"/>
      <c r="O219" s="164"/>
      <c r="P219" s="164"/>
      <c r="Q219" s="175">
        <f t="shared" si="22"/>
        <v>0</v>
      </c>
      <c r="R219" s="164"/>
      <c r="S219" s="197">
        <f t="shared" si="23"/>
        <v>0</v>
      </c>
      <c r="T219" s="201" t="str" cm="1">
        <f t="array" ref="T219">IFERROR(IF(F219="甲",IF(K219&gt;3500000,VLOOKUP(3500000,源泉DB!$B$261:$L$261,L219+3)+ROUNDDOWN((K219-3500000)*45.945%,0),IF(AND(K219&gt;2250000,K219&lt;3500000),VLOOKUP(2250000,源泉DB!$B$260:$K$260,L219+3)+ROUNDDOWN((K219-2250000)*40.84%,0),IF(AND(K219&gt;2210000,K219&lt;2250000),VLOOKUP(2210000,源泉DB!$B$259:$K$259,L219+3)+ROUNDDOWN((K219-2210000)*40.84%,0),IF(AND(K219&gt;2170000,K219&lt;2210000),VLOOKUP(2170000,源泉DB!$B$258:$K$258,L219+3)+ROUNDDOWN((K219-2170000)*40.84%,0),IF(AND(K219&gt;1700000,K219&lt;2170000),VLOOKUP(1700000,源泉DB!$B$257:$K$257,L219+3)+ROUNDDOWN((K219-1700000)*40.84%,0),IF(AND(K219&gt;950000,K219&lt;1700000),VLOOKUP(950000,源泉DB!$B$256:$K$256,L219+3)+ROUNDDOWN((K219-950000)*33.693%,0),IF(AND(K219&gt;780000,K219&lt;950000),VLOOKUP(780000,源泉DB!$B$255:$K$255,L219+3)+ROUNDDOWN((K219-780000)*23.483%,0),IF(AND(K219&gt;740000,K219&lt;780000),VLOOKUP(740000,源泉DB!$B$254:$K$254,L219+3)+ROUNDDOWN((K219-740000)*20.42%,0),VLOOKUP(K219,源泉DB!$B$8:$K$299,L219+3))))))))),IF(F219="乙",IF(K219&gt;1700000,651900+(K219-1700000) *45.945%,IF(K219=1700000,651900,IF(AND(K219&gt;740000,K219&lt;1700000),259800+(K219-740000)*40.84%,IF(K219=740000,259800,IF(K219&lt;88000,ROUNDDOWN(K219*3.063%,9),VLOOKUP(K219,源泉DB!$B$8:$L$254,11)))))),"")),"")</f>
        <v/>
      </c>
      <c r="U219" s="165"/>
      <c r="V219" s="166"/>
      <c r="W219" s="166"/>
      <c r="X219" s="166"/>
      <c r="Y219" s="166"/>
      <c r="Z219" s="178">
        <f>ROUND(IFERROR(IF(($G219="加入"),VLOOKUP($I219,年金DB!$G$16:$P$65,6,TRUE),0),0)-0.1,0)</f>
        <v>0</v>
      </c>
      <c r="AA219" s="178">
        <f>ROUND(IFERROR(IF(AND($G219="加入",$D219&gt;=40,$D219&lt;=64),VLOOKUP($I219,年金DB!$G$16:$P$65,10,TRUE),0),0)-0.1,0)</f>
        <v>0</v>
      </c>
      <c r="AB219" s="178">
        <f>ROUND(IFERROR(IF(AND($G219="加入",$D219&lt;40),VLOOKUP($J219,年金DB!$G$16:$X$62,14,TRUE),IF(AND($G219="加入",$D219&gt;=40),VLOOKUP($J219,年金DB!$G$16:$X$62,14,TRUE),"0")),0)-0.1,0)</f>
        <v>0</v>
      </c>
      <c r="AC219" s="178">
        <f t="shared" si="24"/>
        <v>0</v>
      </c>
      <c r="AD219" s="21">
        <f t="shared" si="25"/>
        <v>0</v>
      </c>
      <c r="AE219" s="173">
        <f t="shared" si="26"/>
        <v>0</v>
      </c>
      <c r="AF219" s="14" t="str">
        <f t="shared" si="27"/>
        <v/>
      </c>
      <c r="AG219" s="14"/>
      <c r="AH219" s="14"/>
    </row>
    <row r="220" spans="1:34">
      <c r="A220" s="28"/>
      <c r="B220" s="180"/>
      <c r="C220" s="188"/>
      <c r="D220" s="161"/>
      <c r="E220" s="162"/>
      <c r="F220" s="162"/>
      <c r="G220" s="163"/>
      <c r="H220" s="285"/>
      <c r="I220" s="282"/>
      <c r="J220" s="16"/>
      <c r="K220" s="18">
        <f t="shared" si="21"/>
        <v>0</v>
      </c>
      <c r="L220" s="288">
        <v>0</v>
      </c>
      <c r="M220" s="291"/>
      <c r="N220" s="164"/>
      <c r="O220" s="164"/>
      <c r="P220" s="164"/>
      <c r="Q220" s="175">
        <f t="shared" si="22"/>
        <v>0</v>
      </c>
      <c r="R220" s="164"/>
      <c r="S220" s="197">
        <f t="shared" si="23"/>
        <v>0</v>
      </c>
      <c r="T220" s="201" t="str" cm="1">
        <f t="array" ref="T220">IFERROR(IF(F220="甲",IF(K220&gt;3500000,VLOOKUP(3500000,源泉DB!$B$261:$L$261,L220+3)+ROUNDDOWN((K220-3500000)*45.945%,0),IF(AND(K220&gt;2250000,K220&lt;3500000),VLOOKUP(2250000,源泉DB!$B$260:$K$260,L220+3)+ROUNDDOWN((K220-2250000)*40.84%,0),IF(AND(K220&gt;2210000,K220&lt;2250000),VLOOKUP(2210000,源泉DB!$B$259:$K$259,L220+3)+ROUNDDOWN((K220-2210000)*40.84%,0),IF(AND(K220&gt;2170000,K220&lt;2210000),VLOOKUP(2170000,源泉DB!$B$258:$K$258,L220+3)+ROUNDDOWN((K220-2170000)*40.84%,0),IF(AND(K220&gt;1700000,K220&lt;2170000),VLOOKUP(1700000,源泉DB!$B$257:$K$257,L220+3)+ROUNDDOWN((K220-1700000)*40.84%,0),IF(AND(K220&gt;950000,K220&lt;1700000),VLOOKUP(950000,源泉DB!$B$256:$K$256,L220+3)+ROUNDDOWN((K220-950000)*33.693%,0),IF(AND(K220&gt;780000,K220&lt;950000),VLOOKUP(780000,源泉DB!$B$255:$K$255,L220+3)+ROUNDDOWN((K220-780000)*23.483%,0),IF(AND(K220&gt;740000,K220&lt;780000),VLOOKUP(740000,源泉DB!$B$254:$K$254,L220+3)+ROUNDDOWN((K220-740000)*20.42%,0),VLOOKUP(K220,源泉DB!$B$8:$K$299,L220+3))))))))),IF(F220="乙",IF(K220&gt;1700000,651900+(K220-1700000) *45.945%,IF(K220=1700000,651900,IF(AND(K220&gt;740000,K220&lt;1700000),259800+(K220-740000)*40.84%,IF(K220=740000,259800,IF(K220&lt;88000,ROUNDDOWN(K220*3.063%,9),VLOOKUP(K220,源泉DB!$B$8:$L$254,11)))))),"")),"")</f>
        <v/>
      </c>
      <c r="U220" s="165"/>
      <c r="V220" s="166"/>
      <c r="W220" s="166"/>
      <c r="X220" s="166"/>
      <c r="Y220" s="166"/>
      <c r="Z220" s="178">
        <f>ROUND(IFERROR(IF(($G220="加入"),VLOOKUP($I220,年金DB!$G$16:$P$65,6,TRUE),0),0)-0.1,0)</f>
        <v>0</v>
      </c>
      <c r="AA220" s="178">
        <f>ROUND(IFERROR(IF(AND($G220="加入",$D220&gt;=40,$D220&lt;=64),VLOOKUP($I220,年金DB!$G$16:$P$65,10,TRUE),0),0)-0.1,0)</f>
        <v>0</v>
      </c>
      <c r="AB220" s="178">
        <f>ROUND(IFERROR(IF(AND($G220="加入",$D220&lt;40),VLOOKUP($J220,年金DB!$G$16:$X$62,14,TRUE),IF(AND($G220="加入",$D220&gt;=40),VLOOKUP($J220,年金DB!$G$16:$X$62,14,TRUE),"0")),0)-0.1,0)</f>
        <v>0</v>
      </c>
      <c r="AC220" s="178">
        <f t="shared" si="24"/>
        <v>0</v>
      </c>
      <c r="AD220" s="21">
        <f t="shared" si="25"/>
        <v>0</v>
      </c>
      <c r="AE220" s="173">
        <f t="shared" si="26"/>
        <v>0</v>
      </c>
      <c r="AF220" s="14" t="str">
        <f t="shared" si="27"/>
        <v/>
      </c>
      <c r="AG220" s="14"/>
      <c r="AH220" s="14"/>
    </row>
    <row r="221" spans="1:34">
      <c r="A221" s="28"/>
      <c r="B221" s="180"/>
      <c r="C221" s="188"/>
      <c r="D221" s="161"/>
      <c r="E221" s="162"/>
      <c r="F221" s="162"/>
      <c r="G221" s="163"/>
      <c r="H221" s="285"/>
      <c r="I221" s="282"/>
      <c r="J221" s="16"/>
      <c r="K221" s="18">
        <f t="shared" si="21"/>
        <v>0</v>
      </c>
      <c r="L221" s="288">
        <v>0</v>
      </c>
      <c r="M221" s="291"/>
      <c r="N221" s="164"/>
      <c r="O221" s="164"/>
      <c r="P221" s="164"/>
      <c r="Q221" s="175">
        <f t="shared" si="22"/>
        <v>0</v>
      </c>
      <c r="R221" s="164"/>
      <c r="S221" s="197">
        <f t="shared" si="23"/>
        <v>0</v>
      </c>
      <c r="T221" s="201" t="str" cm="1">
        <f t="array" ref="T221">IFERROR(IF(F221="甲",IF(K221&gt;3500000,VLOOKUP(3500000,源泉DB!$B$261:$L$261,L221+3)+ROUNDDOWN((K221-3500000)*45.945%,0),IF(AND(K221&gt;2250000,K221&lt;3500000),VLOOKUP(2250000,源泉DB!$B$260:$K$260,L221+3)+ROUNDDOWN((K221-2250000)*40.84%,0),IF(AND(K221&gt;2210000,K221&lt;2250000),VLOOKUP(2210000,源泉DB!$B$259:$K$259,L221+3)+ROUNDDOWN((K221-2210000)*40.84%,0),IF(AND(K221&gt;2170000,K221&lt;2210000),VLOOKUP(2170000,源泉DB!$B$258:$K$258,L221+3)+ROUNDDOWN((K221-2170000)*40.84%,0),IF(AND(K221&gt;1700000,K221&lt;2170000),VLOOKUP(1700000,源泉DB!$B$257:$K$257,L221+3)+ROUNDDOWN((K221-1700000)*40.84%,0),IF(AND(K221&gt;950000,K221&lt;1700000),VLOOKUP(950000,源泉DB!$B$256:$K$256,L221+3)+ROUNDDOWN((K221-950000)*33.693%,0),IF(AND(K221&gt;780000,K221&lt;950000),VLOOKUP(780000,源泉DB!$B$255:$K$255,L221+3)+ROUNDDOWN((K221-780000)*23.483%,0),IF(AND(K221&gt;740000,K221&lt;780000),VLOOKUP(740000,源泉DB!$B$254:$K$254,L221+3)+ROUNDDOWN((K221-740000)*20.42%,0),VLOOKUP(K221,源泉DB!$B$8:$K$299,L221+3))))))))),IF(F221="乙",IF(K221&gt;1700000,651900+(K221-1700000) *45.945%,IF(K221=1700000,651900,IF(AND(K221&gt;740000,K221&lt;1700000),259800+(K221-740000)*40.84%,IF(K221=740000,259800,IF(K221&lt;88000,ROUNDDOWN(K221*3.063%,9),VLOOKUP(K221,源泉DB!$B$8:$L$254,11)))))),"")),"")</f>
        <v/>
      </c>
      <c r="U221" s="165"/>
      <c r="V221" s="166"/>
      <c r="W221" s="166"/>
      <c r="X221" s="166"/>
      <c r="Y221" s="166"/>
      <c r="Z221" s="178">
        <f>ROUND(IFERROR(IF(($G221="加入"),VLOOKUP($I221,年金DB!$G$16:$P$65,6,TRUE),0),0)-0.1,0)</f>
        <v>0</v>
      </c>
      <c r="AA221" s="178">
        <f>ROUND(IFERROR(IF(AND($G221="加入",$D221&gt;=40,$D221&lt;=64),VLOOKUP($I221,年金DB!$G$16:$P$65,10,TRUE),0),0)-0.1,0)</f>
        <v>0</v>
      </c>
      <c r="AB221" s="178">
        <f>ROUND(IFERROR(IF(AND($G221="加入",$D221&lt;40),VLOOKUP($J221,年金DB!$G$16:$X$62,14,TRUE),IF(AND($G221="加入",$D221&gt;=40),VLOOKUP($J221,年金DB!$G$16:$X$62,14,TRUE),"0")),0)-0.1,0)</f>
        <v>0</v>
      </c>
      <c r="AC221" s="178">
        <f t="shared" si="24"/>
        <v>0</v>
      </c>
      <c r="AD221" s="21">
        <f t="shared" si="25"/>
        <v>0</v>
      </c>
      <c r="AE221" s="173">
        <f t="shared" si="26"/>
        <v>0</v>
      </c>
      <c r="AF221" s="14" t="str">
        <f t="shared" si="27"/>
        <v/>
      </c>
      <c r="AG221" s="14"/>
      <c r="AH221" s="14"/>
    </row>
    <row r="222" spans="1:34">
      <c r="A222" s="28"/>
      <c r="B222" s="180"/>
      <c r="C222" s="188"/>
      <c r="D222" s="161"/>
      <c r="E222" s="162"/>
      <c r="F222" s="162"/>
      <c r="G222" s="163"/>
      <c r="H222" s="285"/>
      <c r="I222" s="282"/>
      <c r="J222" s="16"/>
      <c r="K222" s="18">
        <f t="shared" si="21"/>
        <v>0</v>
      </c>
      <c r="L222" s="288">
        <v>0</v>
      </c>
      <c r="M222" s="291"/>
      <c r="N222" s="164"/>
      <c r="O222" s="164"/>
      <c r="P222" s="164"/>
      <c r="Q222" s="175">
        <f t="shared" si="22"/>
        <v>0</v>
      </c>
      <c r="R222" s="164"/>
      <c r="S222" s="197">
        <f t="shared" si="23"/>
        <v>0</v>
      </c>
      <c r="T222" s="201" t="str" cm="1">
        <f t="array" ref="T222">IFERROR(IF(F222="甲",IF(K222&gt;3500000,VLOOKUP(3500000,源泉DB!$B$261:$L$261,L222+3)+ROUNDDOWN((K222-3500000)*45.945%,0),IF(AND(K222&gt;2250000,K222&lt;3500000),VLOOKUP(2250000,源泉DB!$B$260:$K$260,L222+3)+ROUNDDOWN((K222-2250000)*40.84%,0),IF(AND(K222&gt;2210000,K222&lt;2250000),VLOOKUP(2210000,源泉DB!$B$259:$K$259,L222+3)+ROUNDDOWN((K222-2210000)*40.84%,0),IF(AND(K222&gt;2170000,K222&lt;2210000),VLOOKUP(2170000,源泉DB!$B$258:$K$258,L222+3)+ROUNDDOWN((K222-2170000)*40.84%,0),IF(AND(K222&gt;1700000,K222&lt;2170000),VLOOKUP(1700000,源泉DB!$B$257:$K$257,L222+3)+ROUNDDOWN((K222-1700000)*40.84%,0),IF(AND(K222&gt;950000,K222&lt;1700000),VLOOKUP(950000,源泉DB!$B$256:$K$256,L222+3)+ROUNDDOWN((K222-950000)*33.693%,0),IF(AND(K222&gt;780000,K222&lt;950000),VLOOKUP(780000,源泉DB!$B$255:$K$255,L222+3)+ROUNDDOWN((K222-780000)*23.483%,0),IF(AND(K222&gt;740000,K222&lt;780000),VLOOKUP(740000,源泉DB!$B$254:$K$254,L222+3)+ROUNDDOWN((K222-740000)*20.42%,0),VLOOKUP(K222,源泉DB!$B$8:$K$299,L222+3))))))))),IF(F222="乙",IF(K222&gt;1700000,651900+(K222-1700000) *45.945%,IF(K222=1700000,651900,IF(AND(K222&gt;740000,K222&lt;1700000),259800+(K222-740000)*40.84%,IF(K222=740000,259800,IF(K222&lt;88000,ROUNDDOWN(K222*3.063%,9),VLOOKUP(K222,源泉DB!$B$8:$L$254,11)))))),"")),"")</f>
        <v/>
      </c>
      <c r="U222" s="165"/>
      <c r="V222" s="166"/>
      <c r="W222" s="166"/>
      <c r="X222" s="166"/>
      <c r="Y222" s="166"/>
      <c r="Z222" s="178">
        <f>ROUND(IFERROR(IF(($G222="加入"),VLOOKUP($I222,年金DB!$G$16:$P$65,6,TRUE),0),0)-0.1,0)</f>
        <v>0</v>
      </c>
      <c r="AA222" s="178">
        <f>ROUND(IFERROR(IF(AND($G222="加入",$D222&gt;=40,$D222&lt;=64),VLOOKUP($I222,年金DB!$G$16:$P$65,10,TRUE),0),0)-0.1,0)</f>
        <v>0</v>
      </c>
      <c r="AB222" s="178">
        <f>ROUND(IFERROR(IF(AND($G222="加入",$D222&lt;40),VLOOKUP($J222,年金DB!$G$16:$X$62,14,TRUE),IF(AND($G222="加入",$D222&gt;=40),VLOOKUP($J222,年金DB!$G$16:$X$62,14,TRUE),"0")),0)-0.1,0)</f>
        <v>0</v>
      </c>
      <c r="AC222" s="178">
        <f t="shared" si="24"/>
        <v>0</v>
      </c>
      <c r="AD222" s="21">
        <f t="shared" si="25"/>
        <v>0</v>
      </c>
      <c r="AE222" s="173">
        <f t="shared" si="26"/>
        <v>0</v>
      </c>
      <c r="AF222" s="14" t="str">
        <f t="shared" si="27"/>
        <v/>
      </c>
      <c r="AG222" s="14"/>
      <c r="AH222" s="14"/>
    </row>
    <row r="223" spans="1:34">
      <c r="A223" s="28"/>
      <c r="B223" s="180"/>
      <c r="C223" s="188"/>
      <c r="D223" s="161"/>
      <c r="E223" s="162"/>
      <c r="F223" s="162"/>
      <c r="G223" s="163"/>
      <c r="H223" s="285"/>
      <c r="I223" s="282"/>
      <c r="J223" s="16"/>
      <c r="K223" s="18">
        <f t="shared" si="21"/>
        <v>0</v>
      </c>
      <c r="L223" s="288">
        <v>0</v>
      </c>
      <c r="M223" s="291"/>
      <c r="N223" s="164"/>
      <c r="O223" s="164"/>
      <c r="P223" s="164"/>
      <c r="Q223" s="175">
        <f t="shared" si="22"/>
        <v>0</v>
      </c>
      <c r="R223" s="164"/>
      <c r="S223" s="197">
        <f t="shared" si="23"/>
        <v>0</v>
      </c>
      <c r="T223" s="201" t="str" cm="1">
        <f t="array" ref="T223">IFERROR(IF(F223="甲",IF(K223&gt;3500000,VLOOKUP(3500000,源泉DB!$B$261:$L$261,L223+3)+ROUNDDOWN((K223-3500000)*45.945%,0),IF(AND(K223&gt;2250000,K223&lt;3500000),VLOOKUP(2250000,源泉DB!$B$260:$K$260,L223+3)+ROUNDDOWN((K223-2250000)*40.84%,0),IF(AND(K223&gt;2210000,K223&lt;2250000),VLOOKUP(2210000,源泉DB!$B$259:$K$259,L223+3)+ROUNDDOWN((K223-2210000)*40.84%,0),IF(AND(K223&gt;2170000,K223&lt;2210000),VLOOKUP(2170000,源泉DB!$B$258:$K$258,L223+3)+ROUNDDOWN((K223-2170000)*40.84%,0),IF(AND(K223&gt;1700000,K223&lt;2170000),VLOOKUP(1700000,源泉DB!$B$257:$K$257,L223+3)+ROUNDDOWN((K223-1700000)*40.84%,0),IF(AND(K223&gt;950000,K223&lt;1700000),VLOOKUP(950000,源泉DB!$B$256:$K$256,L223+3)+ROUNDDOWN((K223-950000)*33.693%,0),IF(AND(K223&gt;780000,K223&lt;950000),VLOOKUP(780000,源泉DB!$B$255:$K$255,L223+3)+ROUNDDOWN((K223-780000)*23.483%,0),IF(AND(K223&gt;740000,K223&lt;780000),VLOOKUP(740000,源泉DB!$B$254:$K$254,L223+3)+ROUNDDOWN((K223-740000)*20.42%,0),VLOOKUP(K223,源泉DB!$B$8:$K$299,L223+3))))))))),IF(F223="乙",IF(K223&gt;1700000,651900+(K223-1700000) *45.945%,IF(K223=1700000,651900,IF(AND(K223&gt;740000,K223&lt;1700000),259800+(K223-740000)*40.84%,IF(K223=740000,259800,IF(K223&lt;88000,ROUNDDOWN(K223*3.063%,9),VLOOKUP(K223,源泉DB!$B$8:$L$254,11)))))),"")),"")</f>
        <v/>
      </c>
      <c r="U223" s="165"/>
      <c r="V223" s="166"/>
      <c r="W223" s="166"/>
      <c r="X223" s="166"/>
      <c r="Y223" s="166"/>
      <c r="Z223" s="178">
        <f>ROUND(IFERROR(IF(($G223="加入"),VLOOKUP($I223,年金DB!$G$16:$P$65,6,TRUE),0),0)-0.1,0)</f>
        <v>0</v>
      </c>
      <c r="AA223" s="178">
        <f>ROUND(IFERROR(IF(AND($G223="加入",$D223&gt;=40,$D223&lt;=64),VLOOKUP($I223,年金DB!$G$16:$P$65,10,TRUE),0),0)-0.1,0)</f>
        <v>0</v>
      </c>
      <c r="AB223" s="178">
        <f>ROUND(IFERROR(IF(AND($G223="加入",$D223&lt;40),VLOOKUP($J223,年金DB!$G$16:$X$62,14,TRUE),IF(AND($G223="加入",$D223&gt;=40),VLOOKUP($J223,年金DB!$G$16:$X$62,14,TRUE),"0")),0)-0.1,0)</f>
        <v>0</v>
      </c>
      <c r="AC223" s="178">
        <f t="shared" si="24"/>
        <v>0</v>
      </c>
      <c r="AD223" s="21">
        <f t="shared" si="25"/>
        <v>0</v>
      </c>
      <c r="AE223" s="173">
        <f t="shared" si="26"/>
        <v>0</v>
      </c>
      <c r="AF223" s="14" t="str">
        <f t="shared" si="27"/>
        <v/>
      </c>
      <c r="AG223" s="14"/>
      <c r="AH223" s="14"/>
    </row>
    <row r="224" spans="1:34">
      <c r="A224" s="28"/>
      <c r="B224" s="180"/>
      <c r="C224" s="188"/>
      <c r="D224" s="161"/>
      <c r="E224" s="162"/>
      <c r="F224" s="162"/>
      <c r="G224" s="163"/>
      <c r="H224" s="285"/>
      <c r="I224" s="282"/>
      <c r="J224" s="16"/>
      <c r="K224" s="18">
        <f t="shared" si="21"/>
        <v>0</v>
      </c>
      <c r="L224" s="288">
        <v>0</v>
      </c>
      <c r="M224" s="291"/>
      <c r="N224" s="164"/>
      <c r="O224" s="164"/>
      <c r="P224" s="164"/>
      <c r="Q224" s="175">
        <f t="shared" si="22"/>
        <v>0</v>
      </c>
      <c r="R224" s="164"/>
      <c r="S224" s="197">
        <f t="shared" si="23"/>
        <v>0</v>
      </c>
      <c r="T224" s="201" t="str" cm="1">
        <f t="array" ref="T224">IFERROR(IF(F224="甲",IF(K224&gt;3500000,VLOOKUP(3500000,源泉DB!$B$261:$L$261,L224+3)+ROUNDDOWN((K224-3500000)*45.945%,0),IF(AND(K224&gt;2250000,K224&lt;3500000),VLOOKUP(2250000,源泉DB!$B$260:$K$260,L224+3)+ROUNDDOWN((K224-2250000)*40.84%,0),IF(AND(K224&gt;2210000,K224&lt;2250000),VLOOKUP(2210000,源泉DB!$B$259:$K$259,L224+3)+ROUNDDOWN((K224-2210000)*40.84%,0),IF(AND(K224&gt;2170000,K224&lt;2210000),VLOOKUP(2170000,源泉DB!$B$258:$K$258,L224+3)+ROUNDDOWN((K224-2170000)*40.84%,0),IF(AND(K224&gt;1700000,K224&lt;2170000),VLOOKUP(1700000,源泉DB!$B$257:$K$257,L224+3)+ROUNDDOWN((K224-1700000)*40.84%,0),IF(AND(K224&gt;950000,K224&lt;1700000),VLOOKUP(950000,源泉DB!$B$256:$K$256,L224+3)+ROUNDDOWN((K224-950000)*33.693%,0),IF(AND(K224&gt;780000,K224&lt;950000),VLOOKUP(780000,源泉DB!$B$255:$K$255,L224+3)+ROUNDDOWN((K224-780000)*23.483%,0),IF(AND(K224&gt;740000,K224&lt;780000),VLOOKUP(740000,源泉DB!$B$254:$K$254,L224+3)+ROUNDDOWN((K224-740000)*20.42%,0),VLOOKUP(K224,源泉DB!$B$8:$K$299,L224+3))))))))),IF(F224="乙",IF(K224&gt;1700000,651900+(K224-1700000) *45.945%,IF(K224=1700000,651900,IF(AND(K224&gt;740000,K224&lt;1700000),259800+(K224-740000)*40.84%,IF(K224=740000,259800,IF(K224&lt;88000,ROUNDDOWN(K224*3.063%,9),VLOOKUP(K224,源泉DB!$B$8:$L$254,11)))))),"")),"")</f>
        <v/>
      </c>
      <c r="U224" s="165"/>
      <c r="V224" s="166"/>
      <c r="W224" s="166"/>
      <c r="X224" s="166"/>
      <c r="Y224" s="166"/>
      <c r="Z224" s="178">
        <f>ROUND(IFERROR(IF(($G224="加入"),VLOOKUP($I224,年金DB!$G$16:$P$65,6,TRUE),0),0)-0.1,0)</f>
        <v>0</v>
      </c>
      <c r="AA224" s="178">
        <f>ROUND(IFERROR(IF(AND($G224="加入",$D224&gt;=40,$D224&lt;=64),VLOOKUP($I224,年金DB!$G$16:$P$65,10,TRUE),0),0)-0.1,0)</f>
        <v>0</v>
      </c>
      <c r="AB224" s="178">
        <f>ROUND(IFERROR(IF(AND($G224="加入",$D224&lt;40),VLOOKUP($J224,年金DB!$G$16:$X$62,14,TRUE),IF(AND($G224="加入",$D224&gt;=40),VLOOKUP($J224,年金DB!$G$16:$X$62,14,TRUE),"0")),0)-0.1,0)</f>
        <v>0</v>
      </c>
      <c r="AC224" s="178">
        <f t="shared" si="24"/>
        <v>0</v>
      </c>
      <c r="AD224" s="21">
        <f t="shared" si="25"/>
        <v>0</v>
      </c>
      <c r="AE224" s="173">
        <f t="shared" si="26"/>
        <v>0</v>
      </c>
      <c r="AF224" s="14" t="str">
        <f t="shared" si="27"/>
        <v/>
      </c>
      <c r="AG224" s="14"/>
      <c r="AH224" s="14"/>
    </row>
    <row r="225" spans="1:34">
      <c r="A225" s="28"/>
      <c r="B225" s="180"/>
      <c r="C225" s="188"/>
      <c r="D225" s="161"/>
      <c r="E225" s="162"/>
      <c r="F225" s="162"/>
      <c r="G225" s="163"/>
      <c r="H225" s="285"/>
      <c r="I225" s="282"/>
      <c r="J225" s="16"/>
      <c r="K225" s="18">
        <f t="shared" si="21"/>
        <v>0</v>
      </c>
      <c r="L225" s="288">
        <v>0</v>
      </c>
      <c r="M225" s="291"/>
      <c r="N225" s="164"/>
      <c r="O225" s="164"/>
      <c r="P225" s="164"/>
      <c r="Q225" s="175">
        <f t="shared" si="22"/>
        <v>0</v>
      </c>
      <c r="R225" s="164"/>
      <c r="S225" s="197">
        <f t="shared" si="23"/>
        <v>0</v>
      </c>
      <c r="T225" s="201" t="str" cm="1">
        <f t="array" ref="T225">IFERROR(IF(F225="甲",IF(K225&gt;3500000,VLOOKUP(3500000,源泉DB!$B$261:$L$261,L225+3)+ROUNDDOWN((K225-3500000)*45.945%,0),IF(AND(K225&gt;2250000,K225&lt;3500000),VLOOKUP(2250000,源泉DB!$B$260:$K$260,L225+3)+ROUNDDOWN((K225-2250000)*40.84%,0),IF(AND(K225&gt;2210000,K225&lt;2250000),VLOOKUP(2210000,源泉DB!$B$259:$K$259,L225+3)+ROUNDDOWN((K225-2210000)*40.84%,0),IF(AND(K225&gt;2170000,K225&lt;2210000),VLOOKUP(2170000,源泉DB!$B$258:$K$258,L225+3)+ROUNDDOWN((K225-2170000)*40.84%,0),IF(AND(K225&gt;1700000,K225&lt;2170000),VLOOKUP(1700000,源泉DB!$B$257:$K$257,L225+3)+ROUNDDOWN((K225-1700000)*40.84%,0),IF(AND(K225&gt;950000,K225&lt;1700000),VLOOKUP(950000,源泉DB!$B$256:$K$256,L225+3)+ROUNDDOWN((K225-950000)*33.693%,0),IF(AND(K225&gt;780000,K225&lt;950000),VLOOKUP(780000,源泉DB!$B$255:$K$255,L225+3)+ROUNDDOWN((K225-780000)*23.483%,0),IF(AND(K225&gt;740000,K225&lt;780000),VLOOKUP(740000,源泉DB!$B$254:$K$254,L225+3)+ROUNDDOWN((K225-740000)*20.42%,0),VLOOKUP(K225,源泉DB!$B$8:$K$299,L225+3))))))))),IF(F225="乙",IF(K225&gt;1700000,651900+(K225-1700000) *45.945%,IF(K225=1700000,651900,IF(AND(K225&gt;740000,K225&lt;1700000),259800+(K225-740000)*40.84%,IF(K225=740000,259800,IF(K225&lt;88000,ROUNDDOWN(K225*3.063%,9),VLOOKUP(K225,源泉DB!$B$8:$L$254,11)))))),"")),"")</f>
        <v/>
      </c>
      <c r="U225" s="165"/>
      <c r="V225" s="166"/>
      <c r="W225" s="166"/>
      <c r="X225" s="166"/>
      <c r="Y225" s="166"/>
      <c r="Z225" s="178">
        <f>ROUND(IFERROR(IF(($G225="加入"),VLOOKUP($I225,年金DB!$G$16:$P$65,6,TRUE),0),0)-0.1,0)</f>
        <v>0</v>
      </c>
      <c r="AA225" s="178">
        <f>ROUND(IFERROR(IF(AND($G225="加入",$D225&gt;=40,$D225&lt;=64),VLOOKUP($I225,年金DB!$G$16:$P$65,10,TRUE),0),0)-0.1,0)</f>
        <v>0</v>
      </c>
      <c r="AB225" s="178">
        <f>ROUND(IFERROR(IF(AND($G225="加入",$D225&lt;40),VLOOKUP($J225,年金DB!$G$16:$X$62,14,TRUE),IF(AND($G225="加入",$D225&gt;=40),VLOOKUP($J225,年金DB!$G$16:$X$62,14,TRUE),"0")),0)-0.1,0)</f>
        <v>0</v>
      </c>
      <c r="AC225" s="178">
        <f t="shared" si="24"/>
        <v>0</v>
      </c>
      <c r="AD225" s="21">
        <f t="shared" si="25"/>
        <v>0</v>
      </c>
      <c r="AE225" s="173">
        <f t="shared" si="26"/>
        <v>0</v>
      </c>
      <c r="AF225" s="14" t="str">
        <f t="shared" si="27"/>
        <v/>
      </c>
      <c r="AG225" s="14"/>
      <c r="AH225" s="14"/>
    </row>
    <row r="226" spans="1:34">
      <c r="A226" s="28"/>
      <c r="B226" s="180"/>
      <c r="C226" s="188"/>
      <c r="D226" s="161"/>
      <c r="E226" s="162"/>
      <c r="F226" s="162"/>
      <c r="G226" s="163"/>
      <c r="H226" s="285"/>
      <c r="I226" s="282"/>
      <c r="J226" s="16"/>
      <c r="K226" s="18">
        <f t="shared" si="21"/>
        <v>0</v>
      </c>
      <c r="L226" s="288">
        <v>0</v>
      </c>
      <c r="M226" s="291"/>
      <c r="N226" s="164"/>
      <c r="O226" s="164"/>
      <c r="P226" s="164"/>
      <c r="Q226" s="175">
        <f t="shared" si="22"/>
        <v>0</v>
      </c>
      <c r="R226" s="164"/>
      <c r="S226" s="197">
        <f t="shared" si="23"/>
        <v>0</v>
      </c>
      <c r="T226" s="201" t="str" cm="1">
        <f t="array" ref="T226">IFERROR(IF(F226="甲",IF(K226&gt;3500000,VLOOKUP(3500000,源泉DB!$B$261:$L$261,L226+3)+ROUNDDOWN((K226-3500000)*45.945%,0),IF(AND(K226&gt;2250000,K226&lt;3500000),VLOOKUP(2250000,源泉DB!$B$260:$K$260,L226+3)+ROUNDDOWN((K226-2250000)*40.84%,0),IF(AND(K226&gt;2210000,K226&lt;2250000),VLOOKUP(2210000,源泉DB!$B$259:$K$259,L226+3)+ROUNDDOWN((K226-2210000)*40.84%,0),IF(AND(K226&gt;2170000,K226&lt;2210000),VLOOKUP(2170000,源泉DB!$B$258:$K$258,L226+3)+ROUNDDOWN((K226-2170000)*40.84%,0),IF(AND(K226&gt;1700000,K226&lt;2170000),VLOOKUP(1700000,源泉DB!$B$257:$K$257,L226+3)+ROUNDDOWN((K226-1700000)*40.84%,0),IF(AND(K226&gt;950000,K226&lt;1700000),VLOOKUP(950000,源泉DB!$B$256:$K$256,L226+3)+ROUNDDOWN((K226-950000)*33.693%,0),IF(AND(K226&gt;780000,K226&lt;950000),VLOOKUP(780000,源泉DB!$B$255:$K$255,L226+3)+ROUNDDOWN((K226-780000)*23.483%,0),IF(AND(K226&gt;740000,K226&lt;780000),VLOOKUP(740000,源泉DB!$B$254:$K$254,L226+3)+ROUNDDOWN((K226-740000)*20.42%,0),VLOOKUP(K226,源泉DB!$B$8:$K$299,L226+3))))))))),IF(F226="乙",IF(K226&gt;1700000,651900+(K226-1700000) *45.945%,IF(K226=1700000,651900,IF(AND(K226&gt;740000,K226&lt;1700000),259800+(K226-740000)*40.84%,IF(K226=740000,259800,IF(K226&lt;88000,ROUNDDOWN(K226*3.063%,9),VLOOKUP(K226,源泉DB!$B$8:$L$254,11)))))),"")),"")</f>
        <v/>
      </c>
      <c r="U226" s="165"/>
      <c r="V226" s="166"/>
      <c r="W226" s="166"/>
      <c r="X226" s="166"/>
      <c r="Y226" s="166"/>
      <c r="Z226" s="178">
        <f>ROUND(IFERROR(IF(($G226="加入"),VLOOKUP($I226,年金DB!$G$16:$P$65,6,TRUE),0),0)-0.1,0)</f>
        <v>0</v>
      </c>
      <c r="AA226" s="178">
        <f>ROUND(IFERROR(IF(AND($G226="加入",$D226&gt;=40,$D226&lt;=64),VLOOKUP($I226,年金DB!$G$16:$P$65,10,TRUE),0),0)-0.1,0)</f>
        <v>0</v>
      </c>
      <c r="AB226" s="178">
        <f>ROUND(IFERROR(IF(AND($G226="加入",$D226&lt;40),VLOOKUP($J226,年金DB!$G$16:$X$62,14,TRUE),IF(AND($G226="加入",$D226&gt;=40),VLOOKUP($J226,年金DB!$G$16:$X$62,14,TRUE),"0")),0)-0.1,0)</f>
        <v>0</v>
      </c>
      <c r="AC226" s="178">
        <f t="shared" si="24"/>
        <v>0</v>
      </c>
      <c r="AD226" s="21">
        <f t="shared" si="25"/>
        <v>0</v>
      </c>
      <c r="AE226" s="173">
        <f t="shared" si="26"/>
        <v>0</v>
      </c>
      <c r="AF226" s="14" t="str">
        <f t="shared" si="27"/>
        <v/>
      </c>
      <c r="AG226" s="14"/>
      <c r="AH226" s="14"/>
    </row>
    <row r="227" spans="1:34">
      <c r="A227" s="28"/>
      <c r="B227" s="180"/>
      <c r="C227" s="188"/>
      <c r="D227" s="161"/>
      <c r="E227" s="162"/>
      <c r="F227" s="162"/>
      <c r="G227" s="163"/>
      <c r="H227" s="285"/>
      <c r="I227" s="282"/>
      <c r="J227" s="16"/>
      <c r="K227" s="18">
        <f t="shared" si="21"/>
        <v>0</v>
      </c>
      <c r="L227" s="288">
        <v>0</v>
      </c>
      <c r="M227" s="291"/>
      <c r="N227" s="164"/>
      <c r="O227" s="164"/>
      <c r="P227" s="164"/>
      <c r="Q227" s="175">
        <f t="shared" si="22"/>
        <v>0</v>
      </c>
      <c r="R227" s="164"/>
      <c r="S227" s="197">
        <f t="shared" si="23"/>
        <v>0</v>
      </c>
      <c r="T227" s="201" t="str" cm="1">
        <f t="array" ref="T227">IFERROR(IF(F227="甲",IF(K227&gt;3500000,VLOOKUP(3500000,源泉DB!$B$261:$L$261,L227+3)+ROUNDDOWN((K227-3500000)*45.945%,0),IF(AND(K227&gt;2250000,K227&lt;3500000),VLOOKUP(2250000,源泉DB!$B$260:$K$260,L227+3)+ROUNDDOWN((K227-2250000)*40.84%,0),IF(AND(K227&gt;2210000,K227&lt;2250000),VLOOKUP(2210000,源泉DB!$B$259:$K$259,L227+3)+ROUNDDOWN((K227-2210000)*40.84%,0),IF(AND(K227&gt;2170000,K227&lt;2210000),VLOOKUP(2170000,源泉DB!$B$258:$K$258,L227+3)+ROUNDDOWN((K227-2170000)*40.84%,0),IF(AND(K227&gt;1700000,K227&lt;2170000),VLOOKUP(1700000,源泉DB!$B$257:$K$257,L227+3)+ROUNDDOWN((K227-1700000)*40.84%,0),IF(AND(K227&gt;950000,K227&lt;1700000),VLOOKUP(950000,源泉DB!$B$256:$K$256,L227+3)+ROUNDDOWN((K227-950000)*33.693%,0),IF(AND(K227&gt;780000,K227&lt;950000),VLOOKUP(780000,源泉DB!$B$255:$K$255,L227+3)+ROUNDDOWN((K227-780000)*23.483%,0),IF(AND(K227&gt;740000,K227&lt;780000),VLOOKUP(740000,源泉DB!$B$254:$K$254,L227+3)+ROUNDDOWN((K227-740000)*20.42%,0),VLOOKUP(K227,源泉DB!$B$8:$K$299,L227+3))))))))),IF(F227="乙",IF(K227&gt;1700000,651900+(K227-1700000) *45.945%,IF(K227=1700000,651900,IF(AND(K227&gt;740000,K227&lt;1700000),259800+(K227-740000)*40.84%,IF(K227=740000,259800,IF(K227&lt;88000,ROUNDDOWN(K227*3.063%,9),VLOOKUP(K227,源泉DB!$B$8:$L$254,11)))))),"")),"")</f>
        <v/>
      </c>
      <c r="U227" s="165"/>
      <c r="V227" s="166"/>
      <c r="W227" s="166"/>
      <c r="X227" s="166"/>
      <c r="Y227" s="166"/>
      <c r="Z227" s="178">
        <f>ROUND(IFERROR(IF(($G227="加入"),VLOOKUP($I227,年金DB!$G$16:$P$65,6,TRUE),0),0)-0.1,0)</f>
        <v>0</v>
      </c>
      <c r="AA227" s="178">
        <f>ROUND(IFERROR(IF(AND($G227="加入",$D227&gt;=40,$D227&lt;=64),VLOOKUP($I227,年金DB!$G$16:$P$65,10,TRUE),0),0)-0.1,0)</f>
        <v>0</v>
      </c>
      <c r="AB227" s="178">
        <f>ROUND(IFERROR(IF(AND($G227="加入",$D227&lt;40),VLOOKUP($J227,年金DB!$G$16:$X$62,14,TRUE),IF(AND($G227="加入",$D227&gt;=40),VLOOKUP($J227,年金DB!$G$16:$X$62,14,TRUE),"0")),0)-0.1,0)</f>
        <v>0</v>
      </c>
      <c r="AC227" s="178">
        <f t="shared" si="24"/>
        <v>0</v>
      </c>
      <c r="AD227" s="21">
        <f t="shared" si="25"/>
        <v>0</v>
      </c>
      <c r="AE227" s="173">
        <f t="shared" si="26"/>
        <v>0</v>
      </c>
      <c r="AF227" s="14" t="str">
        <f t="shared" si="27"/>
        <v/>
      </c>
      <c r="AG227" s="14"/>
      <c r="AH227" s="14"/>
    </row>
    <row r="228" spans="1:34">
      <c r="A228" s="28"/>
      <c r="B228" s="180"/>
      <c r="C228" s="188"/>
      <c r="D228" s="161"/>
      <c r="E228" s="162"/>
      <c r="F228" s="162"/>
      <c r="G228" s="163"/>
      <c r="H228" s="285"/>
      <c r="I228" s="282"/>
      <c r="J228" s="16"/>
      <c r="K228" s="18">
        <f t="shared" si="21"/>
        <v>0</v>
      </c>
      <c r="L228" s="288">
        <v>0</v>
      </c>
      <c r="M228" s="291"/>
      <c r="N228" s="164"/>
      <c r="O228" s="164"/>
      <c r="P228" s="164"/>
      <c r="Q228" s="175">
        <f t="shared" si="22"/>
        <v>0</v>
      </c>
      <c r="R228" s="164"/>
      <c r="S228" s="197">
        <f t="shared" si="23"/>
        <v>0</v>
      </c>
      <c r="T228" s="201" t="str" cm="1">
        <f t="array" ref="T228">IFERROR(IF(F228="甲",IF(K228&gt;3500000,VLOOKUP(3500000,源泉DB!$B$261:$L$261,L228+3)+ROUNDDOWN((K228-3500000)*45.945%,0),IF(AND(K228&gt;2250000,K228&lt;3500000),VLOOKUP(2250000,源泉DB!$B$260:$K$260,L228+3)+ROUNDDOWN((K228-2250000)*40.84%,0),IF(AND(K228&gt;2210000,K228&lt;2250000),VLOOKUP(2210000,源泉DB!$B$259:$K$259,L228+3)+ROUNDDOWN((K228-2210000)*40.84%,0),IF(AND(K228&gt;2170000,K228&lt;2210000),VLOOKUP(2170000,源泉DB!$B$258:$K$258,L228+3)+ROUNDDOWN((K228-2170000)*40.84%,0),IF(AND(K228&gt;1700000,K228&lt;2170000),VLOOKUP(1700000,源泉DB!$B$257:$K$257,L228+3)+ROUNDDOWN((K228-1700000)*40.84%,0),IF(AND(K228&gt;950000,K228&lt;1700000),VLOOKUP(950000,源泉DB!$B$256:$K$256,L228+3)+ROUNDDOWN((K228-950000)*33.693%,0),IF(AND(K228&gt;780000,K228&lt;950000),VLOOKUP(780000,源泉DB!$B$255:$K$255,L228+3)+ROUNDDOWN((K228-780000)*23.483%,0),IF(AND(K228&gt;740000,K228&lt;780000),VLOOKUP(740000,源泉DB!$B$254:$K$254,L228+3)+ROUNDDOWN((K228-740000)*20.42%,0),VLOOKUP(K228,源泉DB!$B$8:$K$299,L228+3))))))))),IF(F228="乙",IF(K228&gt;1700000,651900+(K228-1700000) *45.945%,IF(K228=1700000,651900,IF(AND(K228&gt;740000,K228&lt;1700000),259800+(K228-740000)*40.84%,IF(K228=740000,259800,IF(K228&lt;88000,ROUNDDOWN(K228*3.063%,9),VLOOKUP(K228,源泉DB!$B$8:$L$254,11)))))),"")),"")</f>
        <v/>
      </c>
      <c r="U228" s="165"/>
      <c r="V228" s="166"/>
      <c r="W228" s="166"/>
      <c r="X228" s="166"/>
      <c r="Y228" s="166"/>
      <c r="Z228" s="178">
        <f>ROUND(IFERROR(IF(($G228="加入"),VLOOKUP($I228,年金DB!$G$16:$P$65,6,TRUE),0),0)-0.1,0)</f>
        <v>0</v>
      </c>
      <c r="AA228" s="178">
        <f>ROUND(IFERROR(IF(AND($G228="加入",$D228&gt;=40,$D228&lt;=64),VLOOKUP($I228,年金DB!$G$16:$P$65,10,TRUE),0),0)-0.1,0)</f>
        <v>0</v>
      </c>
      <c r="AB228" s="178">
        <f>ROUND(IFERROR(IF(AND($G228="加入",$D228&lt;40),VLOOKUP($J228,年金DB!$G$16:$X$62,14,TRUE),IF(AND($G228="加入",$D228&gt;=40),VLOOKUP($J228,年金DB!$G$16:$X$62,14,TRUE),"0")),0)-0.1,0)</f>
        <v>0</v>
      </c>
      <c r="AC228" s="178">
        <f t="shared" si="24"/>
        <v>0</v>
      </c>
      <c r="AD228" s="21">
        <f t="shared" si="25"/>
        <v>0</v>
      </c>
      <c r="AE228" s="173">
        <f t="shared" si="26"/>
        <v>0</v>
      </c>
      <c r="AF228" s="14" t="str">
        <f t="shared" si="27"/>
        <v/>
      </c>
      <c r="AG228" s="14"/>
      <c r="AH228" s="14"/>
    </row>
    <row r="229" spans="1:34">
      <c r="A229" s="28"/>
      <c r="B229" s="180"/>
      <c r="C229" s="188"/>
      <c r="D229" s="161"/>
      <c r="E229" s="162"/>
      <c r="F229" s="162"/>
      <c r="G229" s="163"/>
      <c r="H229" s="285"/>
      <c r="I229" s="282"/>
      <c r="J229" s="16"/>
      <c r="K229" s="18">
        <f t="shared" si="21"/>
        <v>0</v>
      </c>
      <c r="L229" s="288">
        <v>0</v>
      </c>
      <c r="M229" s="291"/>
      <c r="N229" s="164"/>
      <c r="O229" s="164"/>
      <c r="P229" s="164"/>
      <c r="Q229" s="175">
        <f t="shared" si="22"/>
        <v>0</v>
      </c>
      <c r="R229" s="164"/>
      <c r="S229" s="197">
        <f t="shared" si="23"/>
        <v>0</v>
      </c>
      <c r="T229" s="201" t="str" cm="1">
        <f t="array" ref="T229">IFERROR(IF(F229="甲",IF(K229&gt;3500000,VLOOKUP(3500000,源泉DB!$B$261:$L$261,L229+3)+ROUNDDOWN((K229-3500000)*45.945%,0),IF(AND(K229&gt;2250000,K229&lt;3500000),VLOOKUP(2250000,源泉DB!$B$260:$K$260,L229+3)+ROUNDDOWN((K229-2250000)*40.84%,0),IF(AND(K229&gt;2210000,K229&lt;2250000),VLOOKUP(2210000,源泉DB!$B$259:$K$259,L229+3)+ROUNDDOWN((K229-2210000)*40.84%,0),IF(AND(K229&gt;2170000,K229&lt;2210000),VLOOKUP(2170000,源泉DB!$B$258:$K$258,L229+3)+ROUNDDOWN((K229-2170000)*40.84%,0),IF(AND(K229&gt;1700000,K229&lt;2170000),VLOOKUP(1700000,源泉DB!$B$257:$K$257,L229+3)+ROUNDDOWN((K229-1700000)*40.84%,0),IF(AND(K229&gt;950000,K229&lt;1700000),VLOOKUP(950000,源泉DB!$B$256:$K$256,L229+3)+ROUNDDOWN((K229-950000)*33.693%,0),IF(AND(K229&gt;780000,K229&lt;950000),VLOOKUP(780000,源泉DB!$B$255:$K$255,L229+3)+ROUNDDOWN((K229-780000)*23.483%,0),IF(AND(K229&gt;740000,K229&lt;780000),VLOOKUP(740000,源泉DB!$B$254:$K$254,L229+3)+ROUNDDOWN((K229-740000)*20.42%,0),VLOOKUP(K229,源泉DB!$B$8:$K$299,L229+3))))))))),IF(F229="乙",IF(K229&gt;1700000,651900+(K229-1700000) *45.945%,IF(K229=1700000,651900,IF(AND(K229&gt;740000,K229&lt;1700000),259800+(K229-740000)*40.84%,IF(K229=740000,259800,IF(K229&lt;88000,ROUNDDOWN(K229*3.063%,9),VLOOKUP(K229,源泉DB!$B$8:$L$254,11)))))),"")),"")</f>
        <v/>
      </c>
      <c r="U229" s="165"/>
      <c r="V229" s="166"/>
      <c r="W229" s="166"/>
      <c r="X229" s="166"/>
      <c r="Y229" s="166"/>
      <c r="Z229" s="178">
        <f>ROUND(IFERROR(IF(($G229="加入"),VLOOKUP($I229,年金DB!$G$16:$P$65,6,TRUE),0),0)-0.1,0)</f>
        <v>0</v>
      </c>
      <c r="AA229" s="178">
        <f>ROUND(IFERROR(IF(AND($G229="加入",$D229&gt;=40,$D229&lt;=64),VLOOKUP($I229,年金DB!$G$16:$P$65,10,TRUE),0),0)-0.1,0)</f>
        <v>0</v>
      </c>
      <c r="AB229" s="178">
        <f>ROUND(IFERROR(IF(AND($G229="加入",$D229&lt;40),VLOOKUP($J229,年金DB!$G$16:$X$62,14,TRUE),IF(AND($G229="加入",$D229&gt;=40),VLOOKUP($J229,年金DB!$G$16:$X$62,14,TRUE),"0")),0)-0.1,0)</f>
        <v>0</v>
      </c>
      <c r="AC229" s="178">
        <f t="shared" si="24"/>
        <v>0</v>
      </c>
      <c r="AD229" s="21">
        <f t="shared" si="25"/>
        <v>0</v>
      </c>
      <c r="AE229" s="173">
        <f t="shared" si="26"/>
        <v>0</v>
      </c>
      <c r="AF229" s="14" t="str">
        <f t="shared" si="27"/>
        <v/>
      </c>
      <c r="AG229" s="14"/>
      <c r="AH229" s="14"/>
    </row>
    <row r="230" spans="1:34">
      <c r="A230" s="28"/>
      <c r="B230" s="180"/>
      <c r="C230" s="188"/>
      <c r="D230" s="161"/>
      <c r="E230" s="162"/>
      <c r="F230" s="162"/>
      <c r="G230" s="163"/>
      <c r="H230" s="285"/>
      <c r="I230" s="282"/>
      <c r="J230" s="16"/>
      <c r="K230" s="18">
        <f t="shared" si="21"/>
        <v>0</v>
      </c>
      <c r="L230" s="288">
        <v>0</v>
      </c>
      <c r="M230" s="291"/>
      <c r="N230" s="164"/>
      <c r="O230" s="164"/>
      <c r="P230" s="164"/>
      <c r="Q230" s="175">
        <f t="shared" si="22"/>
        <v>0</v>
      </c>
      <c r="R230" s="164"/>
      <c r="S230" s="197">
        <f t="shared" si="23"/>
        <v>0</v>
      </c>
      <c r="T230" s="201" t="str" cm="1">
        <f t="array" ref="T230">IFERROR(IF(F230="甲",IF(K230&gt;3500000,VLOOKUP(3500000,源泉DB!$B$261:$L$261,L230+3)+ROUNDDOWN((K230-3500000)*45.945%,0),IF(AND(K230&gt;2250000,K230&lt;3500000),VLOOKUP(2250000,源泉DB!$B$260:$K$260,L230+3)+ROUNDDOWN((K230-2250000)*40.84%,0),IF(AND(K230&gt;2210000,K230&lt;2250000),VLOOKUP(2210000,源泉DB!$B$259:$K$259,L230+3)+ROUNDDOWN((K230-2210000)*40.84%,0),IF(AND(K230&gt;2170000,K230&lt;2210000),VLOOKUP(2170000,源泉DB!$B$258:$K$258,L230+3)+ROUNDDOWN((K230-2170000)*40.84%,0),IF(AND(K230&gt;1700000,K230&lt;2170000),VLOOKUP(1700000,源泉DB!$B$257:$K$257,L230+3)+ROUNDDOWN((K230-1700000)*40.84%,0),IF(AND(K230&gt;950000,K230&lt;1700000),VLOOKUP(950000,源泉DB!$B$256:$K$256,L230+3)+ROUNDDOWN((K230-950000)*33.693%,0),IF(AND(K230&gt;780000,K230&lt;950000),VLOOKUP(780000,源泉DB!$B$255:$K$255,L230+3)+ROUNDDOWN((K230-780000)*23.483%,0),IF(AND(K230&gt;740000,K230&lt;780000),VLOOKUP(740000,源泉DB!$B$254:$K$254,L230+3)+ROUNDDOWN((K230-740000)*20.42%,0),VLOOKUP(K230,源泉DB!$B$8:$K$299,L230+3))))))))),IF(F230="乙",IF(K230&gt;1700000,651900+(K230-1700000) *45.945%,IF(K230=1700000,651900,IF(AND(K230&gt;740000,K230&lt;1700000),259800+(K230-740000)*40.84%,IF(K230=740000,259800,IF(K230&lt;88000,ROUNDDOWN(K230*3.063%,9),VLOOKUP(K230,源泉DB!$B$8:$L$254,11)))))),"")),"")</f>
        <v/>
      </c>
      <c r="U230" s="165"/>
      <c r="V230" s="166"/>
      <c r="W230" s="166"/>
      <c r="X230" s="166"/>
      <c r="Y230" s="166"/>
      <c r="Z230" s="178">
        <f>ROUND(IFERROR(IF(($G230="加入"),VLOOKUP($I230,年金DB!$G$16:$P$65,6,TRUE),0),0)-0.1,0)</f>
        <v>0</v>
      </c>
      <c r="AA230" s="178">
        <f>ROUND(IFERROR(IF(AND($G230="加入",$D230&gt;=40,$D230&lt;=64),VLOOKUP($I230,年金DB!$G$16:$P$65,10,TRUE),0),0)-0.1,0)</f>
        <v>0</v>
      </c>
      <c r="AB230" s="178">
        <f>ROUND(IFERROR(IF(AND($G230="加入",$D230&lt;40),VLOOKUP($J230,年金DB!$G$16:$X$62,14,TRUE),IF(AND($G230="加入",$D230&gt;=40),VLOOKUP($J230,年金DB!$G$16:$X$62,14,TRUE),"0")),0)-0.1,0)</f>
        <v>0</v>
      </c>
      <c r="AC230" s="178">
        <f t="shared" si="24"/>
        <v>0</v>
      </c>
      <c r="AD230" s="21">
        <f t="shared" si="25"/>
        <v>0</v>
      </c>
      <c r="AE230" s="173">
        <f t="shared" si="26"/>
        <v>0</v>
      </c>
      <c r="AF230" s="14" t="str">
        <f t="shared" si="27"/>
        <v/>
      </c>
      <c r="AG230" s="14"/>
      <c r="AH230" s="14"/>
    </row>
    <row r="231" spans="1:34">
      <c r="A231" s="28"/>
      <c r="B231" s="180"/>
      <c r="C231" s="188"/>
      <c r="D231" s="161"/>
      <c r="E231" s="162"/>
      <c r="F231" s="162"/>
      <c r="G231" s="163"/>
      <c r="H231" s="285"/>
      <c r="I231" s="282"/>
      <c r="J231" s="16"/>
      <c r="K231" s="18">
        <f t="shared" si="21"/>
        <v>0</v>
      </c>
      <c r="L231" s="288">
        <v>0</v>
      </c>
      <c r="M231" s="291"/>
      <c r="N231" s="164"/>
      <c r="O231" s="164"/>
      <c r="P231" s="164"/>
      <c r="Q231" s="175">
        <f t="shared" si="22"/>
        <v>0</v>
      </c>
      <c r="R231" s="164"/>
      <c r="S231" s="197">
        <f t="shared" si="23"/>
        <v>0</v>
      </c>
      <c r="T231" s="201" t="str" cm="1">
        <f t="array" ref="T231">IFERROR(IF(F231="甲",IF(K231&gt;3500000,VLOOKUP(3500000,源泉DB!$B$261:$L$261,L231+3)+ROUNDDOWN((K231-3500000)*45.945%,0),IF(AND(K231&gt;2250000,K231&lt;3500000),VLOOKUP(2250000,源泉DB!$B$260:$K$260,L231+3)+ROUNDDOWN((K231-2250000)*40.84%,0),IF(AND(K231&gt;2210000,K231&lt;2250000),VLOOKUP(2210000,源泉DB!$B$259:$K$259,L231+3)+ROUNDDOWN((K231-2210000)*40.84%,0),IF(AND(K231&gt;2170000,K231&lt;2210000),VLOOKUP(2170000,源泉DB!$B$258:$K$258,L231+3)+ROUNDDOWN((K231-2170000)*40.84%,0),IF(AND(K231&gt;1700000,K231&lt;2170000),VLOOKUP(1700000,源泉DB!$B$257:$K$257,L231+3)+ROUNDDOWN((K231-1700000)*40.84%,0),IF(AND(K231&gt;950000,K231&lt;1700000),VLOOKUP(950000,源泉DB!$B$256:$K$256,L231+3)+ROUNDDOWN((K231-950000)*33.693%,0),IF(AND(K231&gt;780000,K231&lt;950000),VLOOKUP(780000,源泉DB!$B$255:$K$255,L231+3)+ROUNDDOWN((K231-780000)*23.483%,0),IF(AND(K231&gt;740000,K231&lt;780000),VLOOKUP(740000,源泉DB!$B$254:$K$254,L231+3)+ROUNDDOWN((K231-740000)*20.42%,0),VLOOKUP(K231,源泉DB!$B$8:$K$299,L231+3))))))))),IF(F231="乙",IF(K231&gt;1700000,651900+(K231-1700000) *45.945%,IF(K231=1700000,651900,IF(AND(K231&gt;740000,K231&lt;1700000),259800+(K231-740000)*40.84%,IF(K231=740000,259800,IF(K231&lt;88000,ROUNDDOWN(K231*3.063%,9),VLOOKUP(K231,源泉DB!$B$8:$L$254,11)))))),"")),"")</f>
        <v/>
      </c>
      <c r="U231" s="165"/>
      <c r="V231" s="166"/>
      <c r="W231" s="166"/>
      <c r="X231" s="166"/>
      <c r="Y231" s="166"/>
      <c r="Z231" s="178">
        <f>ROUND(IFERROR(IF(($G231="加入"),VLOOKUP($I231,年金DB!$G$16:$P$65,6,TRUE),0),0)-0.1,0)</f>
        <v>0</v>
      </c>
      <c r="AA231" s="178">
        <f>ROUND(IFERROR(IF(AND($G231="加入",$D231&gt;=40,$D231&lt;=64),VLOOKUP($I231,年金DB!$G$16:$P$65,10,TRUE),0),0)-0.1,0)</f>
        <v>0</v>
      </c>
      <c r="AB231" s="178">
        <f>ROUND(IFERROR(IF(AND($G231="加入",$D231&lt;40),VLOOKUP($J231,年金DB!$G$16:$X$62,14,TRUE),IF(AND($G231="加入",$D231&gt;=40),VLOOKUP($J231,年金DB!$G$16:$X$62,14,TRUE),"0")),0)-0.1,0)</f>
        <v>0</v>
      </c>
      <c r="AC231" s="178">
        <f t="shared" si="24"/>
        <v>0</v>
      </c>
      <c r="AD231" s="21">
        <f t="shared" si="25"/>
        <v>0</v>
      </c>
      <c r="AE231" s="173">
        <f t="shared" si="26"/>
        <v>0</v>
      </c>
      <c r="AF231" s="14" t="str">
        <f t="shared" si="27"/>
        <v/>
      </c>
      <c r="AG231" s="14"/>
      <c r="AH231" s="14"/>
    </row>
    <row r="232" spans="1:34">
      <c r="A232" s="28"/>
      <c r="B232" s="180"/>
      <c r="C232" s="188"/>
      <c r="D232" s="161"/>
      <c r="E232" s="162"/>
      <c r="F232" s="162"/>
      <c r="G232" s="163"/>
      <c r="H232" s="285"/>
      <c r="I232" s="282"/>
      <c r="J232" s="16"/>
      <c r="K232" s="18">
        <f t="shared" si="21"/>
        <v>0</v>
      </c>
      <c r="L232" s="288">
        <v>0</v>
      </c>
      <c r="M232" s="291"/>
      <c r="N232" s="164"/>
      <c r="O232" s="164"/>
      <c r="P232" s="164"/>
      <c r="Q232" s="175">
        <f t="shared" si="22"/>
        <v>0</v>
      </c>
      <c r="R232" s="164"/>
      <c r="S232" s="197">
        <f t="shared" si="23"/>
        <v>0</v>
      </c>
      <c r="T232" s="201" t="str" cm="1">
        <f t="array" ref="T232">IFERROR(IF(F232="甲",IF(K232&gt;3500000,VLOOKUP(3500000,源泉DB!$B$261:$L$261,L232+3)+ROUNDDOWN((K232-3500000)*45.945%,0),IF(AND(K232&gt;2250000,K232&lt;3500000),VLOOKUP(2250000,源泉DB!$B$260:$K$260,L232+3)+ROUNDDOWN((K232-2250000)*40.84%,0),IF(AND(K232&gt;2210000,K232&lt;2250000),VLOOKUP(2210000,源泉DB!$B$259:$K$259,L232+3)+ROUNDDOWN((K232-2210000)*40.84%,0),IF(AND(K232&gt;2170000,K232&lt;2210000),VLOOKUP(2170000,源泉DB!$B$258:$K$258,L232+3)+ROUNDDOWN((K232-2170000)*40.84%,0),IF(AND(K232&gt;1700000,K232&lt;2170000),VLOOKUP(1700000,源泉DB!$B$257:$K$257,L232+3)+ROUNDDOWN((K232-1700000)*40.84%,0),IF(AND(K232&gt;950000,K232&lt;1700000),VLOOKUP(950000,源泉DB!$B$256:$K$256,L232+3)+ROUNDDOWN((K232-950000)*33.693%,0),IF(AND(K232&gt;780000,K232&lt;950000),VLOOKUP(780000,源泉DB!$B$255:$K$255,L232+3)+ROUNDDOWN((K232-780000)*23.483%,0),IF(AND(K232&gt;740000,K232&lt;780000),VLOOKUP(740000,源泉DB!$B$254:$K$254,L232+3)+ROUNDDOWN((K232-740000)*20.42%,0),VLOOKUP(K232,源泉DB!$B$8:$K$299,L232+3))))))))),IF(F232="乙",IF(K232&gt;1700000,651900+(K232-1700000) *45.945%,IF(K232=1700000,651900,IF(AND(K232&gt;740000,K232&lt;1700000),259800+(K232-740000)*40.84%,IF(K232=740000,259800,IF(K232&lt;88000,ROUNDDOWN(K232*3.063%,9),VLOOKUP(K232,源泉DB!$B$8:$L$254,11)))))),"")),"")</f>
        <v/>
      </c>
      <c r="U232" s="165"/>
      <c r="V232" s="166"/>
      <c r="W232" s="166"/>
      <c r="X232" s="166"/>
      <c r="Y232" s="166"/>
      <c r="Z232" s="178">
        <f>ROUND(IFERROR(IF(($G232="加入"),VLOOKUP($I232,年金DB!$G$16:$P$65,6,TRUE),0),0)-0.1,0)</f>
        <v>0</v>
      </c>
      <c r="AA232" s="178">
        <f>ROUND(IFERROR(IF(AND($G232="加入",$D232&gt;=40,$D232&lt;=64),VLOOKUP($I232,年金DB!$G$16:$P$65,10,TRUE),0),0)-0.1,0)</f>
        <v>0</v>
      </c>
      <c r="AB232" s="178">
        <f>ROUND(IFERROR(IF(AND($G232="加入",$D232&lt;40),VLOOKUP($J232,年金DB!$G$16:$X$62,14,TRUE),IF(AND($G232="加入",$D232&gt;=40),VLOOKUP($J232,年金DB!$G$16:$X$62,14,TRUE),"0")),0)-0.1,0)</f>
        <v>0</v>
      </c>
      <c r="AC232" s="178">
        <f t="shared" si="24"/>
        <v>0</v>
      </c>
      <c r="AD232" s="21">
        <f t="shared" si="25"/>
        <v>0</v>
      </c>
      <c r="AE232" s="173">
        <f t="shared" si="26"/>
        <v>0</v>
      </c>
      <c r="AF232" s="14" t="str">
        <f t="shared" si="27"/>
        <v/>
      </c>
      <c r="AG232" s="14"/>
      <c r="AH232" s="14"/>
    </row>
    <row r="233" spans="1:34">
      <c r="A233" s="28"/>
      <c r="B233" s="180"/>
      <c r="C233" s="188"/>
      <c r="D233" s="161"/>
      <c r="E233" s="162"/>
      <c r="F233" s="162"/>
      <c r="G233" s="163"/>
      <c r="H233" s="285"/>
      <c r="I233" s="282"/>
      <c r="J233" s="16"/>
      <c r="K233" s="18">
        <f t="shared" si="21"/>
        <v>0</v>
      </c>
      <c r="L233" s="288">
        <v>0</v>
      </c>
      <c r="M233" s="291"/>
      <c r="N233" s="164"/>
      <c r="O233" s="164"/>
      <c r="P233" s="164"/>
      <c r="Q233" s="175">
        <f t="shared" si="22"/>
        <v>0</v>
      </c>
      <c r="R233" s="164"/>
      <c r="S233" s="197">
        <f t="shared" si="23"/>
        <v>0</v>
      </c>
      <c r="T233" s="201" t="str" cm="1">
        <f t="array" ref="T233">IFERROR(IF(F233="甲",IF(K233&gt;3500000,VLOOKUP(3500000,源泉DB!$B$261:$L$261,L233+3)+ROUNDDOWN((K233-3500000)*45.945%,0),IF(AND(K233&gt;2250000,K233&lt;3500000),VLOOKUP(2250000,源泉DB!$B$260:$K$260,L233+3)+ROUNDDOWN((K233-2250000)*40.84%,0),IF(AND(K233&gt;2210000,K233&lt;2250000),VLOOKUP(2210000,源泉DB!$B$259:$K$259,L233+3)+ROUNDDOWN((K233-2210000)*40.84%,0),IF(AND(K233&gt;2170000,K233&lt;2210000),VLOOKUP(2170000,源泉DB!$B$258:$K$258,L233+3)+ROUNDDOWN((K233-2170000)*40.84%,0),IF(AND(K233&gt;1700000,K233&lt;2170000),VLOOKUP(1700000,源泉DB!$B$257:$K$257,L233+3)+ROUNDDOWN((K233-1700000)*40.84%,0),IF(AND(K233&gt;950000,K233&lt;1700000),VLOOKUP(950000,源泉DB!$B$256:$K$256,L233+3)+ROUNDDOWN((K233-950000)*33.693%,0),IF(AND(K233&gt;780000,K233&lt;950000),VLOOKUP(780000,源泉DB!$B$255:$K$255,L233+3)+ROUNDDOWN((K233-780000)*23.483%,0),IF(AND(K233&gt;740000,K233&lt;780000),VLOOKUP(740000,源泉DB!$B$254:$K$254,L233+3)+ROUNDDOWN((K233-740000)*20.42%,0),VLOOKUP(K233,源泉DB!$B$8:$K$299,L233+3))))))))),IF(F233="乙",IF(K233&gt;1700000,651900+(K233-1700000) *45.945%,IF(K233=1700000,651900,IF(AND(K233&gt;740000,K233&lt;1700000),259800+(K233-740000)*40.84%,IF(K233=740000,259800,IF(K233&lt;88000,ROUNDDOWN(K233*3.063%,9),VLOOKUP(K233,源泉DB!$B$8:$L$254,11)))))),"")),"")</f>
        <v/>
      </c>
      <c r="U233" s="165"/>
      <c r="V233" s="166"/>
      <c r="W233" s="166"/>
      <c r="X233" s="166"/>
      <c r="Y233" s="166"/>
      <c r="Z233" s="178">
        <f>ROUND(IFERROR(IF(($G233="加入"),VLOOKUP($I233,年金DB!$G$16:$P$65,6,TRUE),0),0)-0.1,0)</f>
        <v>0</v>
      </c>
      <c r="AA233" s="178">
        <f>ROUND(IFERROR(IF(AND($G233="加入",$D233&gt;=40,$D233&lt;=64),VLOOKUP($I233,年金DB!$G$16:$P$65,10,TRUE),0),0)-0.1,0)</f>
        <v>0</v>
      </c>
      <c r="AB233" s="178">
        <f>ROUND(IFERROR(IF(AND($G233="加入",$D233&lt;40),VLOOKUP($J233,年金DB!$G$16:$X$62,14,TRUE),IF(AND($G233="加入",$D233&gt;=40),VLOOKUP($J233,年金DB!$G$16:$X$62,14,TRUE),"0")),0)-0.1,0)</f>
        <v>0</v>
      </c>
      <c r="AC233" s="178">
        <f t="shared" si="24"/>
        <v>0</v>
      </c>
      <c r="AD233" s="21">
        <f t="shared" si="25"/>
        <v>0</v>
      </c>
      <c r="AE233" s="173">
        <f t="shared" si="26"/>
        <v>0</v>
      </c>
      <c r="AF233" s="14" t="str">
        <f t="shared" si="27"/>
        <v/>
      </c>
      <c r="AG233" s="14"/>
      <c r="AH233" s="14"/>
    </row>
    <row r="234" spans="1:34">
      <c r="A234" s="28"/>
      <c r="B234" s="180"/>
      <c r="C234" s="188"/>
      <c r="D234" s="161"/>
      <c r="E234" s="162"/>
      <c r="F234" s="162"/>
      <c r="G234" s="163"/>
      <c r="H234" s="285"/>
      <c r="I234" s="282"/>
      <c r="J234" s="16"/>
      <c r="K234" s="18">
        <f t="shared" si="21"/>
        <v>0</v>
      </c>
      <c r="L234" s="288">
        <v>0</v>
      </c>
      <c r="M234" s="291"/>
      <c r="N234" s="164"/>
      <c r="O234" s="164"/>
      <c r="P234" s="164"/>
      <c r="Q234" s="175">
        <f t="shared" si="22"/>
        <v>0</v>
      </c>
      <c r="R234" s="164"/>
      <c r="S234" s="197">
        <f t="shared" si="23"/>
        <v>0</v>
      </c>
      <c r="T234" s="201" t="str" cm="1">
        <f t="array" ref="T234">IFERROR(IF(F234="甲",IF(K234&gt;3500000,VLOOKUP(3500000,源泉DB!$B$261:$L$261,L234+3)+ROUNDDOWN((K234-3500000)*45.945%,0),IF(AND(K234&gt;2250000,K234&lt;3500000),VLOOKUP(2250000,源泉DB!$B$260:$K$260,L234+3)+ROUNDDOWN((K234-2250000)*40.84%,0),IF(AND(K234&gt;2210000,K234&lt;2250000),VLOOKUP(2210000,源泉DB!$B$259:$K$259,L234+3)+ROUNDDOWN((K234-2210000)*40.84%,0),IF(AND(K234&gt;2170000,K234&lt;2210000),VLOOKUP(2170000,源泉DB!$B$258:$K$258,L234+3)+ROUNDDOWN((K234-2170000)*40.84%,0),IF(AND(K234&gt;1700000,K234&lt;2170000),VLOOKUP(1700000,源泉DB!$B$257:$K$257,L234+3)+ROUNDDOWN((K234-1700000)*40.84%,0),IF(AND(K234&gt;950000,K234&lt;1700000),VLOOKUP(950000,源泉DB!$B$256:$K$256,L234+3)+ROUNDDOWN((K234-950000)*33.693%,0),IF(AND(K234&gt;780000,K234&lt;950000),VLOOKUP(780000,源泉DB!$B$255:$K$255,L234+3)+ROUNDDOWN((K234-780000)*23.483%,0),IF(AND(K234&gt;740000,K234&lt;780000),VLOOKUP(740000,源泉DB!$B$254:$K$254,L234+3)+ROUNDDOWN((K234-740000)*20.42%,0),VLOOKUP(K234,源泉DB!$B$8:$K$299,L234+3))))))))),IF(F234="乙",IF(K234&gt;1700000,651900+(K234-1700000) *45.945%,IF(K234=1700000,651900,IF(AND(K234&gt;740000,K234&lt;1700000),259800+(K234-740000)*40.84%,IF(K234=740000,259800,IF(K234&lt;88000,ROUNDDOWN(K234*3.063%,9),VLOOKUP(K234,源泉DB!$B$8:$L$254,11)))))),"")),"")</f>
        <v/>
      </c>
      <c r="U234" s="165"/>
      <c r="V234" s="166"/>
      <c r="W234" s="166"/>
      <c r="X234" s="166"/>
      <c r="Y234" s="166"/>
      <c r="Z234" s="178">
        <f>ROUND(IFERROR(IF(($G234="加入"),VLOOKUP($I234,年金DB!$G$16:$P$65,6,TRUE),0),0)-0.1,0)</f>
        <v>0</v>
      </c>
      <c r="AA234" s="178">
        <f>ROUND(IFERROR(IF(AND($G234="加入",$D234&gt;=40,$D234&lt;=64),VLOOKUP($I234,年金DB!$G$16:$P$65,10,TRUE),0),0)-0.1,0)</f>
        <v>0</v>
      </c>
      <c r="AB234" s="178">
        <f>ROUND(IFERROR(IF(AND($G234="加入",$D234&lt;40),VLOOKUP($J234,年金DB!$G$16:$X$62,14,TRUE),IF(AND($G234="加入",$D234&gt;=40),VLOOKUP($J234,年金DB!$G$16:$X$62,14,TRUE),"0")),0)-0.1,0)</f>
        <v>0</v>
      </c>
      <c r="AC234" s="178">
        <f t="shared" si="24"/>
        <v>0</v>
      </c>
      <c r="AD234" s="21">
        <f t="shared" si="25"/>
        <v>0</v>
      </c>
      <c r="AE234" s="173">
        <f t="shared" si="26"/>
        <v>0</v>
      </c>
      <c r="AF234" s="14" t="str">
        <f t="shared" si="27"/>
        <v/>
      </c>
      <c r="AG234" s="14"/>
      <c r="AH234" s="14"/>
    </row>
    <row r="235" spans="1:34">
      <c r="A235" s="28"/>
      <c r="B235" s="180"/>
      <c r="C235" s="188"/>
      <c r="D235" s="161"/>
      <c r="E235" s="162"/>
      <c r="F235" s="162"/>
      <c r="G235" s="163"/>
      <c r="H235" s="285"/>
      <c r="I235" s="282"/>
      <c r="J235" s="16"/>
      <c r="K235" s="18">
        <f t="shared" si="21"/>
        <v>0</v>
      </c>
      <c r="L235" s="288">
        <v>0</v>
      </c>
      <c r="M235" s="291"/>
      <c r="N235" s="164"/>
      <c r="O235" s="164"/>
      <c r="P235" s="164"/>
      <c r="Q235" s="175">
        <f t="shared" si="22"/>
        <v>0</v>
      </c>
      <c r="R235" s="164"/>
      <c r="S235" s="197">
        <f t="shared" si="23"/>
        <v>0</v>
      </c>
      <c r="T235" s="201" t="str" cm="1">
        <f t="array" ref="T235">IFERROR(IF(F235="甲",IF(K235&gt;3500000,VLOOKUP(3500000,源泉DB!$B$261:$L$261,L235+3)+ROUNDDOWN((K235-3500000)*45.945%,0),IF(AND(K235&gt;2250000,K235&lt;3500000),VLOOKUP(2250000,源泉DB!$B$260:$K$260,L235+3)+ROUNDDOWN((K235-2250000)*40.84%,0),IF(AND(K235&gt;2210000,K235&lt;2250000),VLOOKUP(2210000,源泉DB!$B$259:$K$259,L235+3)+ROUNDDOWN((K235-2210000)*40.84%,0),IF(AND(K235&gt;2170000,K235&lt;2210000),VLOOKUP(2170000,源泉DB!$B$258:$K$258,L235+3)+ROUNDDOWN((K235-2170000)*40.84%,0),IF(AND(K235&gt;1700000,K235&lt;2170000),VLOOKUP(1700000,源泉DB!$B$257:$K$257,L235+3)+ROUNDDOWN((K235-1700000)*40.84%,0),IF(AND(K235&gt;950000,K235&lt;1700000),VLOOKUP(950000,源泉DB!$B$256:$K$256,L235+3)+ROUNDDOWN((K235-950000)*33.693%,0),IF(AND(K235&gt;780000,K235&lt;950000),VLOOKUP(780000,源泉DB!$B$255:$K$255,L235+3)+ROUNDDOWN((K235-780000)*23.483%,0),IF(AND(K235&gt;740000,K235&lt;780000),VLOOKUP(740000,源泉DB!$B$254:$K$254,L235+3)+ROUNDDOWN((K235-740000)*20.42%,0),VLOOKUP(K235,源泉DB!$B$8:$K$299,L235+3))))))))),IF(F235="乙",IF(K235&gt;1700000,651900+(K235-1700000) *45.945%,IF(K235=1700000,651900,IF(AND(K235&gt;740000,K235&lt;1700000),259800+(K235-740000)*40.84%,IF(K235=740000,259800,IF(K235&lt;88000,ROUNDDOWN(K235*3.063%,9),VLOOKUP(K235,源泉DB!$B$8:$L$254,11)))))),"")),"")</f>
        <v/>
      </c>
      <c r="U235" s="165"/>
      <c r="V235" s="166"/>
      <c r="W235" s="166"/>
      <c r="X235" s="166"/>
      <c r="Y235" s="166"/>
      <c r="Z235" s="178">
        <f>ROUND(IFERROR(IF(($G235="加入"),VLOOKUP($I235,年金DB!$G$16:$P$65,6,TRUE),0),0)-0.1,0)</f>
        <v>0</v>
      </c>
      <c r="AA235" s="178">
        <f>ROUND(IFERROR(IF(AND($G235="加入",$D235&gt;=40,$D235&lt;=64),VLOOKUP($I235,年金DB!$G$16:$P$65,10,TRUE),0),0)-0.1,0)</f>
        <v>0</v>
      </c>
      <c r="AB235" s="178">
        <f>ROUND(IFERROR(IF(AND($G235="加入",$D235&lt;40),VLOOKUP($J235,年金DB!$G$16:$X$62,14,TRUE),IF(AND($G235="加入",$D235&gt;=40),VLOOKUP($J235,年金DB!$G$16:$X$62,14,TRUE),"0")),0)-0.1,0)</f>
        <v>0</v>
      </c>
      <c r="AC235" s="178">
        <f t="shared" si="24"/>
        <v>0</v>
      </c>
      <c r="AD235" s="21">
        <f t="shared" si="25"/>
        <v>0</v>
      </c>
      <c r="AE235" s="173">
        <f t="shared" si="26"/>
        <v>0</v>
      </c>
      <c r="AF235" s="14" t="str">
        <f t="shared" si="27"/>
        <v/>
      </c>
      <c r="AG235" s="14"/>
      <c r="AH235" s="14"/>
    </row>
    <row r="236" spans="1:34">
      <c r="A236" s="28"/>
      <c r="B236" s="180"/>
      <c r="C236" s="188"/>
      <c r="D236" s="161"/>
      <c r="E236" s="162"/>
      <c r="F236" s="162"/>
      <c r="G236" s="163"/>
      <c r="H236" s="285"/>
      <c r="I236" s="282"/>
      <c r="J236" s="16"/>
      <c r="K236" s="18">
        <f t="shared" si="21"/>
        <v>0</v>
      </c>
      <c r="L236" s="288">
        <v>0</v>
      </c>
      <c r="M236" s="291"/>
      <c r="N236" s="164"/>
      <c r="O236" s="164"/>
      <c r="P236" s="164"/>
      <c r="Q236" s="175">
        <f t="shared" si="22"/>
        <v>0</v>
      </c>
      <c r="R236" s="164"/>
      <c r="S236" s="197">
        <f t="shared" si="23"/>
        <v>0</v>
      </c>
      <c r="T236" s="201" t="str" cm="1">
        <f t="array" ref="T236">IFERROR(IF(F236="甲",IF(K236&gt;3500000,VLOOKUP(3500000,源泉DB!$B$261:$L$261,L236+3)+ROUNDDOWN((K236-3500000)*45.945%,0),IF(AND(K236&gt;2250000,K236&lt;3500000),VLOOKUP(2250000,源泉DB!$B$260:$K$260,L236+3)+ROUNDDOWN((K236-2250000)*40.84%,0),IF(AND(K236&gt;2210000,K236&lt;2250000),VLOOKUP(2210000,源泉DB!$B$259:$K$259,L236+3)+ROUNDDOWN((K236-2210000)*40.84%,0),IF(AND(K236&gt;2170000,K236&lt;2210000),VLOOKUP(2170000,源泉DB!$B$258:$K$258,L236+3)+ROUNDDOWN((K236-2170000)*40.84%,0),IF(AND(K236&gt;1700000,K236&lt;2170000),VLOOKUP(1700000,源泉DB!$B$257:$K$257,L236+3)+ROUNDDOWN((K236-1700000)*40.84%,0),IF(AND(K236&gt;950000,K236&lt;1700000),VLOOKUP(950000,源泉DB!$B$256:$K$256,L236+3)+ROUNDDOWN((K236-950000)*33.693%,0),IF(AND(K236&gt;780000,K236&lt;950000),VLOOKUP(780000,源泉DB!$B$255:$K$255,L236+3)+ROUNDDOWN((K236-780000)*23.483%,0),IF(AND(K236&gt;740000,K236&lt;780000),VLOOKUP(740000,源泉DB!$B$254:$K$254,L236+3)+ROUNDDOWN((K236-740000)*20.42%,0),VLOOKUP(K236,源泉DB!$B$8:$K$299,L236+3))))))))),IF(F236="乙",IF(K236&gt;1700000,651900+(K236-1700000) *45.945%,IF(K236=1700000,651900,IF(AND(K236&gt;740000,K236&lt;1700000),259800+(K236-740000)*40.84%,IF(K236=740000,259800,IF(K236&lt;88000,ROUNDDOWN(K236*3.063%,9),VLOOKUP(K236,源泉DB!$B$8:$L$254,11)))))),"")),"")</f>
        <v/>
      </c>
      <c r="U236" s="165"/>
      <c r="V236" s="166"/>
      <c r="W236" s="166"/>
      <c r="X236" s="166"/>
      <c r="Y236" s="166"/>
      <c r="Z236" s="178">
        <f>ROUND(IFERROR(IF(($G236="加入"),VLOOKUP($I236,年金DB!$G$16:$P$65,6,TRUE),0),0)-0.1,0)</f>
        <v>0</v>
      </c>
      <c r="AA236" s="178">
        <f>ROUND(IFERROR(IF(AND($G236="加入",$D236&gt;=40,$D236&lt;=64),VLOOKUP($I236,年金DB!$G$16:$P$65,10,TRUE),0),0)-0.1,0)</f>
        <v>0</v>
      </c>
      <c r="AB236" s="178">
        <f>ROUND(IFERROR(IF(AND($G236="加入",$D236&lt;40),VLOOKUP($J236,年金DB!$G$16:$X$62,14,TRUE),IF(AND($G236="加入",$D236&gt;=40),VLOOKUP($J236,年金DB!$G$16:$X$62,14,TRUE),"0")),0)-0.1,0)</f>
        <v>0</v>
      </c>
      <c r="AC236" s="178">
        <f t="shared" si="24"/>
        <v>0</v>
      </c>
      <c r="AD236" s="21">
        <f t="shared" si="25"/>
        <v>0</v>
      </c>
      <c r="AE236" s="173">
        <f t="shared" si="26"/>
        <v>0</v>
      </c>
      <c r="AF236" s="14" t="str">
        <f t="shared" si="27"/>
        <v/>
      </c>
      <c r="AG236" s="14"/>
      <c r="AH236" s="14"/>
    </row>
    <row r="237" spans="1:34">
      <c r="A237" s="28"/>
      <c r="B237" s="180"/>
      <c r="C237" s="188"/>
      <c r="D237" s="161"/>
      <c r="E237" s="162"/>
      <c r="F237" s="162"/>
      <c r="G237" s="163"/>
      <c r="H237" s="285"/>
      <c r="I237" s="282"/>
      <c r="J237" s="16"/>
      <c r="K237" s="18">
        <f t="shared" si="21"/>
        <v>0</v>
      </c>
      <c r="L237" s="288">
        <v>0</v>
      </c>
      <c r="M237" s="291"/>
      <c r="N237" s="164"/>
      <c r="O237" s="164"/>
      <c r="P237" s="164"/>
      <c r="Q237" s="175">
        <f t="shared" si="22"/>
        <v>0</v>
      </c>
      <c r="R237" s="164"/>
      <c r="S237" s="197">
        <f t="shared" si="23"/>
        <v>0</v>
      </c>
      <c r="T237" s="201" t="str" cm="1">
        <f t="array" ref="T237">IFERROR(IF(F237="甲",IF(K237&gt;3500000,VLOOKUP(3500000,源泉DB!$B$261:$L$261,L237+3)+ROUNDDOWN((K237-3500000)*45.945%,0),IF(AND(K237&gt;2250000,K237&lt;3500000),VLOOKUP(2250000,源泉DB!$B$260:$K$260,L237+3)+ROUNDDOWN((K237-2250000)*40.84%,0),IF(AND(K237&gt;2210000,K237&lt;2250000),VLOOKUP(2210000,源泉DB!$B$259:$K$259,L237+3)+ROUNDDOWN((K237-2210000)*40.84%,0),IF(AND(K237&gt;2170000,K237&lt;2210000),VLOOKUP(2170000,源泉DB!$B$258:$K$258,L237+3)+ROUNDDOWN((K237-2170000)*40.84%,0),IF(AND(K237&gt;1700000,K237&lt;2170000),VLOOKUP(1700000,源泉DB!$B$257:$K$257,L237+3)+ROUNDDOWN((K237-1700000)*40.84%,0),IF(AND(K237&gt;950000,K237&lt;1700000),VLOOKUP(950000,源泉DB!$B$256:$K$256,L237+3)+ROUNDDOWN((K237-950000)*33.693%,0),IF(AND(K237&gt;780000,K237&lt;950000),VLOOKUP(780000,源泉DB!$B$255:$K$255,L237+3)+ROUNDDOWN((K237-780000)*23.483%,0),IF(AND(K237&gt;740000,K237&lt;780000),VLOOKUP(740000,源泉DB!$B$254:$K$254,L237+3)+ROUNDDOWN((K237-740000)*20.42%,0),VLOOKUP(K237,源泉DB!$B$8:$K$299,L237+3))))))))),IF(F237="乙",IF(K237&gt;1700000,651900+(K237-1700000) *45.945%,IF(K237=1700000,651900,IF(AND(K237&gt;740000,K237&lt;1700000),259800+(K237-740000)*40.84%,IF(K237=740000,259800,IF(K237&lt;88000,ROUNDDOWN(K237*3.063%,9),VLOOKUP(K237,源泉DB!$B$8:$L$254,11)))))),"")),"")</f>
        <v/>
      </c>
      <c r="U237" s="165"/>
      <c r="V237" s="166"/>
      <c r="W237" s="166"/>
      <c r="X237" s="166"/>
      <c r="Y237" s="166"/>
      <c r="Z237" s="178">
        <f>ROUND(IFERROR(IF(($G237="加入"),VLOOKUP($I237,年金DB!$G$16:$P$65,6,TRUE),0),0)-0.1,0)</f>
        <v>0</v>
      </c>
      <c r="AA237" s="178">
        <f>ROUND(IFERROR(IF(AND($G237="加入",$D237&gt;=40,$D237&lt;=64),VLOOKUP($I237,年金DB!$G$16:$P$65,10,TRUE),0),0)-0.1,0)</f>
        <v>0</v>
      </c>
      <c r="AB237" s="178">
        <f>ROUND(IFERROR(IF(AND($G237="加入",$D237&lt;40),VLOOKUP($J237,年金DB!$G$16:$X$62,14,TRUE),IF(AND($G237="加入",$D237&gt;=40),VLOOKUP($J237,年金DB!$G$16:$X$62,14,TRUE),"0")),0)-0.1,0)</f>
        <v>0</v>
      </c>
      <c r="AC237" s="178">
        <f t="shared" si="24"/>
        <v>0</v>
      </c>
      <c r="AD237" s="21">
        <f t="shared" si="25"/>
        <v>0</v>
      </c>
      <c r="AE237" s="173">
        <f t="shared" si="26"/>
        <v>0</v>
      </c>
      <c r="AF237" s="14" t="str">
        <f t="shared" si="27"/>
        <v/>
      </c>
      <c r="AG237" s="14"/>
      <c r="AH237" s="14"/>
    </row>
    <row r="238" spans="1:34">
      <c r="A238" s="28"/>
      <c r="B238" s="180"/>
      <c r="C238" s="188"/>
      <c r="D238" s="161"/>
      <c r="E238" s="162"/>
      <c r="F238" s="162"/>
      <c r="G238" s="163"/>
      <c r="H238" s="285"/>
      <c r="I238" s="282"/>
      <c r="J238" s="16"/>
      <c r="K238" s="18">
        <f t="shared" si="21"/>
        <v>0</v>
      </c>
      <c r="L238" s="288">
        <v>0</v>
      </c>
      <c r="M238" s="291"/>
      <c r="N238" s="164"/>
      <c r="O238" s="164"/>
      <c r="P238" s="164"/>
      <c r="Q238" s="175">
        <f t="shared" si="22"/>
        <v>0</v>
      </c>
      <c r="R238" s="164"/>
      <c r="S238" s="197">
        <f t="shared" si="23"/>
        <v>0</v>
      </c>
      <c r="T238" s="201" t="str" cm="1">
        <f t="array" ref="T238">IFERROR(IF(F238="甲",IF(K238&gt;3500000,VLOOKUP(3500000,源泉DB!$B$261:$L$261,L238+3)+ROUNDDOWN((K238-3500000)*45.945%,0),IF(AND(K238&gt;2250000,K238&lt;3500000),VLOOKUP(2250000,源泉DB!$B$260:$K$260,L238+3)+ROUNDDOWN((K238-2250000)*40.84%,0),IF(AND(K238&gt;2210000,K238&lt;2250000),VLOOKUP(2210000,源泉DB!$B$259:$K$259,L238+3)+ROUNDDOWN((K238-2210000)*40.84%,0),IF(AND(K238&gt;2170000,K238&lt;2210000),VLOOKUP(2170000,源泉DB!$B$258:$K$258,L238+3)+ROUNDDOWN((K238-2170000)*40.84%,0),IF(AND(K238&gt;1700000,K238&lt;2170000),VLOOKUP(1700000,源泉DB!$B$257:$K$257,L238+3)+ROUNDDOWN((K238-1700000)*40.84%,0),IF(AND(K238&gt;950000,K238&lt;1700000),VLOOKUP(950000,源泉DB!$B$256:$K$256,L238+3)+ROUNDDOWN((K238-950000)*33.693%,0),IF(AND(K238&gt;780000,K238&lt;950000),VLOOKUP(780000,源泉DB!$B$255:$K$255,L238+3)+ROUNDDOWN((K238-780000)*23.483%,0),IF(AND(K238&gt;740000,K238&lt;780000),VLOOKUP(740000,源泉DB!$B$254:$K$254,L238+3)+ROUNDDOWN((K238-740000)*20.42%,0),VLOOKUP(K238,源泉DB!$B$8:$K$299,L238+3))))))))),IF(F238="乙",IF(K238&gt;1700000,651900+(K238-1700000) *45.945%,IF(K238=1700000,651900,IF(AND(K238&gt;740000,K238&lt;1700000),259800+(K238-740000)*40.84%,IF(K238=740000,259800,IF(K238&lt;88000,ROUNDDOWN(K238*3.063%,9),VLOOKUP(K238,源泉DB!$B$8:$L$254,11)))))),"")),"")</f>
        <v/>
      </c>
      <c r="U238" s="165"/>
      <c r="V238" s="166"/>
      <c r="W238" s="166"/>
      <c r="X238" s="166"/>
      <c r="Y238" s="166"/>
      <c r="Z238" s="178">
        <f>ROUND(IFERROR(IF(($G238="加入"),VLOOKUP($I238,年金DB!$G$16:$P$65,6,TRUE),0),0)-0.1,0)</f>
        <v>0</v>
      </c>
      <c r="AA238" s="178">
        <f>ROUND(IFERROR(IF(AND($G238="加入",$D238&gt;=40,$D238&lt;=64),VLOOKUP($I238,年金DB!$G$16:$P$65,10,TRUE),0),0)-0.1,0)</f>
        <v>0</v>
      </c>
      <c r="AB238" s="178">
        <f>ROUND(IFERROR(IF(AND($G238="加入",$D238&lt;40),VLOOKUP($J238,年金DB!$G$16:$X$62,14,TRUE),IF(AND($G238="加入",$D238&gt;=40),VLOOKUP($J238,年金DB!$G$16:$X$62,14,TRUE),"0")),0)-0.1,0)</f>
        <v>0</v>
      </c>
      <c r="AC238" s="178">
        <f t="shared" si="24"/>
        <v>0</v>
      </c>
      <c r="AD238" s="21">
        <f t="shared" si="25"/>
        <v>0</v>
      </c>
      <c r="AE238" s="173">
        <f t="shared" si="26"/>
        <v>0</v>
      </c>
      <c r="AF238" s="14" t="str">
        <f t="shared" si="27"/>
        <v/>
      </c>
      <c r="AG238" s="14"/>
      <c r="AH238" s="14"/>
    </row>
    <row r="239" spans="1:34">
      <c r="A239" s="28"/>
      <c r="B239" s="180"/>
      <c r="C239" s="188"/>
      <c r="D239" s="161"/>
      <c r="E239" s="162"/>
      <c r="F239" s="162"/>
      <c r="G239" s="163"/>
      <c r="H239" s="285"/>
      <c r="I239" s="282"/>
      <c r="J239" s="16"/>
      <c r="K239" s="18">
        <f t="shared" si="21"/>
        <v>0</v>
      </c>
      <c r="L239" s="288">
        <v>0</v>
      </c>
      <c r="M239" s="291"/>
      <c r="N239" s="164"/>
      <c r="O239" s="164"/>
      <c r="P239" s="164"/>
      <c r="Q239" s="175">
        <f t="shared" si="22"/>
        <v>0</v>
      </c>
      <c r="R239" s="164"/>
      <c r="S239" s="197">
        <f t="shared" si="23"/>
        <v>0</v>
      </c>
      <c r="T239" s="201" t="str" cm="1">
        <f t="array" ref="T239">IFERROR(IF(F239="甲",IF(K239&gt;3500000,VLOOKUP(3500000,源泉DB!$B$261:$L$261,L239+3)+ROUNDDOWN((K239-3500000)*45.945%,0),IF(AND(K239&gt;2250000,K239&lt;3500000),VLOOKUP(2250000,源泉DB!$B$260:$K$260,L239+3)+ROUNDDOWN((K239-2250000)*40.84%,0),IF(AND(K239&gt;2210000,K239&lt;2250000),VLOOKUP(2210000,源泉DB!$B$259:$K$259,L239+3)+ROUNDDOWN((K239-2210000)*40.84%,0),IF(AND(K239&gt;2170000,K239&lt;2210000),VLOOKUP(2170000,源泉DB!$B$258:$K$258,L239+3)+ROUNDDOWN((K239-2170000)*40.84%,0),IF(AND(K239&gt;1700000,K239&lt;2170000),VLOOKUP(1700000,源泉DB!$B$257:$K$257,L239+3)+ROUNDDOWN((K239-1700000)*40.84%,0),IF(AND(K239&gt;950000,K239&lt;1700000),VLOOKUP(950000,源泉DB!$B$256:$K$256,L239+3)+ROUNDDOWN((K239-950000)*33.693%,0),IF(AND(K239&gt;780000,K239&lt;950000),VLOOKUP(780000,源泉DB!$B$255:$K$255,L239+3)+ROUNDDOWN((K239-780000)*23.483%,0),IF(AND(K239&gt;740000,K239&lt;780000),VLOOKUP(740000,源泉DB!$B$254:$K$254,L239+3)+ROUNDDOWN((K239-740000)*20.42%,0),VLOOKUP(K239,源泉DB!$B$8:$K$299,L239+3))))))))),IF(F239="乙",IF(K239&gt;1700000,651900+(K239-1700000) *45.945%,IF(K239=1700000,651900,IF(AND(K239&gt;740000,K239&lt;1700000),259800+(K239-740000)*40.84%,IF(K239=740000,259800,IF(K239&lt;88000,ROUNDDOWN(K239*3.063%,9),VLOOKUP(K239,源泉DB!$B$8:$L$254,11)))))),"")),"")</f>
        <v/>
      </c>
      <c r="U239" s="165"/>
      <c r="V239" s="166"/>
      <c r="W239" s="166"/>
      <c r="X239" s="166"/>
      <c r="Y239" s="166"/>
      <c r="Z239" s="178">
        <f>ROUND(IFERROR(IF(($G239="加入"),VLOOKUP($I239,年金DB!$G$16:$P$65,6,TRUE),0),0)-0.1,0)</f>
        <v>0</v>
      </c>
      <c r="AA239" s="178">
        <f>ROUND(IFERROR(IF(AND($G239="加入",$D239&gt;=40,$D239&lt;=64),VLOOKUP($I239,年金DB!$G$16:$P$65,10,TRUE),0),0)-0.1,0)</f>
        <v>0</v>
      </c>
      <c r="AB239" s="178">
        <f>ROUND(IFERROR(IF(AND($G239="加入",$D239&lt;40),VLOOKUP($J239,年金DB!$G$16:$X$62,14,TRUE),IF(AND($G239="加入",$D239&gt;=40),VLOOKUP($J239,年金DB!$G$16:$X$62,14,TRUE),"0")),0)-0.1,0)</f>
        <v>0</v>
      </c>
      <c r="AC239" s="178">
        <f t="shared" si="24"/>
        <v>0</v>
      </c>
      <c r="AD239" s="21">
        <f t="shared" si="25"/>
        <v>0</v>
      </c>
      <c r="AE239" s="173">
        <f t="shared" si="26"/>
        <v>0</v>
      </c>
      <c r="AF239" s="14" t="str">
        <f t="shared" si="27"/>
        <v/>
      </c>
      <c r="AG239" s="14"/>
      <c r="AH239" s="14"/>
    </row>
    <row r="240" spans="1:34">
      <c r="A240" s="28"/>
      <c r="B240" s="180"/>
      <c r="C240" s="188"/>
      <c r="D240" s="161"/>
      <c r="E240" s="162"/>
      <c r="F240" s="162"/>
      <c r="G240" s="163"/>
      <c r="H240" s="285"/>
      <c r="I240" s="282"/>
      <c r="J240" s="16"/>
      <c r="K240" s="18">
        <f t="shared" si="21"/>
        <v>0</v>
      </c>
      <c r="L240" s="288">
        <v>0</v>
      </c>
      <c r="M240" s="291"/>
      <c r="N240" s="164"/>
      <c r="O240" s="164"/>
      <c r="P240" s="164"/>
      <c r="Q240" s="175">
        <f t="shared" si="22"/>
        <v>0</v>
      </c>
      <c r="R240" s="164"/>
      <c r="S240" s="197">
        <f t="shared" si="23"/>
        <v>0</v>
      </c>
      <c r="T240" s="201" t="str" cm="1">
        <f t="array" ref="T240">IFERROR(IF(F240="甲",IF(K240&gt;3500000,VLOOKUP(3500000,源泉DB!$B$261:$L$261,L240+3)+ROUNDDOWN((K240-3500000)*45.945%,0),IF(AND(K240&gt;2250000,K240&lt;3500000),VLOOKUP(2250000,源泉DB!$B$260:$K$260,L240+3)+ROUNDDOWN((K240-2250000)*40.84%,0),IF(AND(K240&gt;2210000,K240&lt;2250000),VLOOKUP(2210000,源泉DB!$B$259:$K$259,L240+3)+ROUNDDOWN((K240-2210000)*40.84%,0),IF(AND(K240&gt;2170000,K240&lt;2210000),VLOOKUP(2170000,源泉DB!$B$258:$K$258,L240+3)+ROUNDDOWN((K240-2170000)*40.84%,0),IF(AND(K240&gt;1700000,K240&lt;2170000),VLOOKUP(1700000,源泉DB!$B$257:$K$257,L240+3)+ROUNDDOWN((K240-1700000)*40.84%,0),IF(AND(K240&gt;950000,K240&lt;1700000),VLOOKUP(950000,源泉DB!$B$256:$K$256,L240+3)+ROUNDDOWN((K240-950000)*33.693%,0),IF(AND(K240&gt;780000,K240&lt;950000),VLOOKUP(780000,源泉DB!$B$255:$K$255,L240+3)+ROUNDDOWN((K240-780000)*23.483%,0),IF(AND(K240&gt;740000,K240&lt;780000),VLOOKUP(740000,源泉DB!$B$254:$K$254,L240+3)+ROUNDDOWN((K240-740000)*20.42%,0),VLOOKUP(K240,源泉DB!$B$8:$K$299,L240+3))))))))),IF(F240="乙",IF(K240&gt;1700000,651900+(K240-1700000) *45.945%,IF(K240=1700000,651900,IF(AND(K240&gt;740000,K240&lt;1700000),259800+(K240-740000)*40.84%,IF(K240=740000,259800,IF(K240&lt;88000,ROUNDDOWN(K240*3.063%,9),VLOOKUP(K240,源泉DB!$B$8:$L$254,11)))))),"")),"")</f>
        <v/>
      </c>
      <c r="U240" s="165"/>
      <c r="V240" s="166"/>
      <c r="W240" s="166"/>
      <c r="X240" s="166"/>
      <c r="Y240" s="166"/>
      <c r="Z240" s="178">
        <f>ROUND(IFERROR(IF(($G240="加入"),VLOOKUP($I240,年金DB!$G$16:$P$65,6,TRUE),0),0)-0.1,0)</f>
        <v>0</v>
      </c>
      <c r="AA240" s="178">
        <f>ROUND(IFERROR(IF(AND($G240="加入",$D240&gt;=40,$D240&lt;=64),VLOOKUP($I240,年金DB!$G$16:$P$65,10,TRUE),0),0)-0.1,0)</f>
        <v>0</v>
      </c>
      <c r="AB240" s="178">
        <f>ROUND(IFERROR(IF(AND($G240="加入",$D240&lt;40),VLOOKUP($J240,年金DB!$G$16:$X$62,14,TRUE),IF(AND($G240="加入",$D240&gt;=40),VLOOKUP($J240,年金DB!$G$16:$X$62,14,TRUE),"0")),0)-0.1,0)</f>
        <v>0</v>
      </c>
      <c r="AC240" s="178">
        <f t="shared" si="24"/>
        <v>0</v>
      </c>
      <c r="AD240" s="21">
        <f t="shared" si="25"/>
        <v>0</v>
      </c>
      <c r="AE240" s="173">
        <f t="shared" si="26"/>
        <v>0</v>
      </c>
      <c r="AF240" s="14" t="str">
        <f t="shared" si="27"/>
        <v/>
      </c>
      <c r="AG240" s="14"/>
      <c r="AH240" s="14"/>
    </row>
    <row r="241" spans="1:34">
      <c r="A241" s="28"/>
      <c r="B241" s="180"/>
      <c r="C241" s="188"/>
      <c r="D241" s="161"/>
      <c r="E241" s="162"/>
      <c r="F241" s="162"/>
      <c r="G241" s="163"/>
      <c r="H241" s="285"/>
      <c r="I241" s="282"/>
      <c r="J241" s="16"/>
      <c r="K241" s="18">
        <f t="shared" si="21"/>
        <v>0</v>
      </c>
      <c r="L241" s="288">
        <v>0</v>
      </c>
      <c r="M241" s="291"/>
      <c r="N241" s="164"/>
      <c r="O241" s="164"/>
      <c r="P241" s="164"/>
      <c r="Q241" s="175">
        <f t="shared" si="22"/>
        <v>0</v>
      </c>
      <c r="R241" s="164"/>
      <c r="S241" s="197">
        <f t="shared" si="23"/>
        <v>0</v>
      </c>
      <c r="T241" s="201" t="str" cm="1">
        <f t="array" ref="T241">IFERROR(IF(F241="甲",IF(K241&gt;3500000,VLOOKUP(3500000,源泉DB!$B$261:$L$261,L241+3)+ROUNDDOWN((K241-3500000)*45.945%,0),IF(AND(K241&gt;2250000,K241&lt;3500000),VLOOKUP(2250000,源泉DB!$B$260:$K$260,L241+3)+ROUNDDOWN((K241-2250000)*40.84%,0),IF(AND(K241&gt;2210000,K241&lt;2250000),VLOOKUP(2210000,源泉DB!$B$259:$K$259,L241+3)+ROUNDDOWN((K241-2210000)*40.84%,0),IF(AND(K241&gt;2170000,K241&lt;2210000),VLOOKUP(2170000,源泉DB!$B$258:$K$258,L241+3)+ROUNDDOWN((K241-2170000)*40.84%,0),IF(AND(K241&gt;1700000,K241&lt;2170000),VLOOKUP(1700000,源泉DB!$B$257:$K$257,L241+3)+ROUNDDOWN((K241-1700000)*40.84%,0),IF(AND(K241&gt;950000,K241&lt;1700000),VLOOKUP(950000,源泉DB!$B$256:$K$256,L241+3)+ROUNDDOWN((K241-950000)*33.693%,0),IF(AND(K241&gt;780000,K241&lt;950000),VLOOKUP(780000,源泉DB!$B$255:$K$255,L241+3)+ROUNDDOWN((K241-780000)*23.483%,0),IF(AND(K241&gt;740000,K241&lt;780000),VLOOKUP(740000,源泉DB!$B$254:$K$254,L241+3)+ROUNDDOWN((K241-740000)*20.42%,0),VLOOKUP(K241,源泉DB!$B$8:$K$299,L241+3))))))))),IF(F241="乙",IF(K241&gt;1700000,651900+(K241-1700000) *45.945%,IF(K241=1700000,651900,IF(AND(K241&gt;740000,K241&lt;1700000),259800+(K241-740000)*40.84%,IF(K241=740000,259800,IF(K241&lt;88000,ROUNDDOWN(K241*3.063%,9),VLOOKUP(K241,源泉DB!$B$8:$L$254,11)))))),"")),"")</f>
        <v/>
      </c>
      <c r="U241" s="165"/>
      <c r="V241" s="166"/>
      <c r="W241" s="166"/>
      <c r="X241" s="166"/>
      <c r="Y241" s="166"/>
      <c r="Z241" s="178">
        <f>ROUND(IFERROR(IF(($G241="加入"),VLOOKUP($I241,年金DB!$G$16:$P$65,6,TRUE),0),0)-0.1,0)</f>
        <v>0</v>
      </c>
      <c r="AA241" s="178">
        <f>ROUND(IFERROR(IF(AND($G241="加入",$D241&gt;=40,$D241&lt;=64),VLOOKUP($I241,年金DB!$G$16:$P$65,10,TRUE),0),0)-0.1,0)</f>
        <v>0</v>
      </c>
      <c r="AB241" s="178">
        <f>ROUND(IFERROR(IF(AND($G241="加入",$D241&lt;40),VLOOKUP($J241,年金DB!$G$16:$X$62,14,TRUE),IF(AND($G241="加入",$D241&gt;=40),VLOOKUP($J241,年金DB!$G$16:$X$62,14,TRUE),"0")),0)-0.1,0)</f>
        <v>0</v>
      </c>
      <c r="AC241" s="178">
        <f t="shared" si="24"/>
        <v>0</v>
      </c>
      <c r="AD241" s="21">
        <f t="shared" si="25"/>
        <v>0</v>
      </c>
      <c r="AE241" s="173">
        <f t="shared" si="26"/>
        <v>0</v>
      </c>
      <c r="AF241" s="14" t="str">
        <f t="shared" si="27"/>
        <v/>
      </c>
      <c r="AG241" s="14"/>
      <c r="AH241" s="14"/>
    </row>
    <row r="242" spans="1:34">
      <c r="A242" s="28"/>
      <c r="B242" s="180"/>
      <c r="C242" s="188"/>
      <c r="D242" s="161"/>
      <c r="E242" s="162"/>
      <c r="F242" s="162"/>
      <c r="G242" s="163"/>
      <c r="H242" s="285"/>
      <c r="I242" s="282"/>
      <c r="J242" s="16"/>
      <c r="K242" s="18">
        <f t="shared" si="21"/>
        <v>0</v>
      </c>
      <c r="L242" s="288">
        <v>0</v>
      </c>
      <c r="M242" s="291"/>
      <c r="N242" s="164"/>
      <c r="O242" s="164"/>
      <c r="P242" s="164"/>
      <c r="Q242" s="175">
        <f t="shared" si="22"/>
        <v>0</v>
      </c>
      <c r="R242" s="164"/>
      <c r="S242" s="197">
        <f t="shared" si="23"/>
        <v>0</v>
      </c>
      <c r="T242" s="201" t="str" cm="1">
        <f t="array" ref="T242">IFERROR(IF(F242="甲",IF(K242&gt;3500000,VLOOKUP(3500000,源泉DB!$B$261:$L$261,L242+3)+ROUNDDOWN((K242-3500000)*45.945%,0),IF(AND(K242&gt;2250000,K242&lt;3500000),VLOOKUP(2250000,源泉DB!$B$260:$K$260,L242+3)+ROUNDDOWN((K242-2250000)*40.84%,0),IF(AND(K242&gt;2210000,K242&lt;2250000),VLOOKUP(2210000,源泉DB!$B$259:$K$259,L242+3)+ROUNDDOWN((K242-2210000)*40.84%,0),IF(AND(K242&gt;2170000,K242&lt;2210000),VLOOKUP(2170000,源泉DB!$B$258:$K$258,L242+3)+ROUNDDOWN((K242-2170000)*40.84%,0),IF(AND(K242&gt;1700000,K242&lt;2170000),VLOOKUP(1700000,源泉DB!$B$257:$K$257,L242+3)+ROUNDDOWN((K242-1700000)*40.84%,0),IF(AND(K242&gt;950000,K242&lt;1700000),VLOOKUP(950000,源泉DB!$B$256:$K$256,L242+3)+ROUNDDOWN((K242-950000)*33.693%,0),IF(AND(K242&gt;780000,K242&lt;950000),VLOOKUP(780000,源泉DB!$B$255:$K$255,L242+3)+ROUNDDOWN((K242-780000)*23.483%,0),IF(AND(K242&gt;740000,K242&lt;780000),VLOOKUP(740000,源泉DB!$B$254:$K$254,L242+3)+ROUNDDOWN((K242-740000)*20.42%,0),VLOOKUP(K242,源泉DB!$B$8:$K$299,L242+3))))))))),IF(F242="乙",IF(K242&gt;1700000,651900+(K242-1700000) *45.945%,IF(K242=1700000,651900,IF(AND(K242&gt;740000,K242&lt;1700000),259800+(K242-740000)*40.84%,IF(K242=740000,259800,IF(K242&lt;88000,ROUNDDOWN(K242*3.063%,9),VLOOKUP(K242,源泉DB!$B$8:$L$254,11)))))),"")),"")</f>
        <v/>
      </c>
      <c r="U242" s="165"/>
      <c r="V242" s="166"/>
      <c r="W242" s="166"/>
      <c r="X242" s="166"/>
      <c r="Y242" s="166"/>
      <c r="Z242" s="178">
        <f>ROUND(IFERROR(IF(($G242="加入"),VLOOKUP($I242,年金DB!$G$16:$P$65,6,TRUE),0),0)-0.1,0)</f>
        <v>0</v>
      </c>
      <c r="AA242" s="178">
        <f>ROUND(IFERROR(IF(AND($G242="加入",$D242&gt;=40,$D242&lt;=64),VLOOKUP($I242,年金DB!$G$16:$P$65,10,TRUE),0),0)-0.1,0)</f>
        <v>0</v>
      </c>
      <c r="AB242" s="178">
        <f>ROUND(IFERROR(IF(AND($G242="加入",$D242&lt;40),VLOOKUP($J242,年金DB!$G$16:$X$62,14,TRUE),IF(AND($G242="加入",$D242&gt;=40),VLOOKUP($J242,年金DB!$G$16:$X$62,14,TRUE),"0")),0)-0.1,0)</f>
        <v>0</v>
      </c>
      <c r="AC242" s="178">
        <f t="shared" si="24"/>
        <v>0</v>
      </c>
      <c r="AD242" s="21">
        <f t="shared" si="25"/>
        <v>0</v>
      </c>
      <c r="AE242" s="173">
        <f t="shared" si="26"/>
        <v>0</v>
      </c>
      <c r="AF242" s="14" t="str">
        <f t="shared" si="27"/>
        <v/>
      </c>
      <c r="AG242" s="14"/>
      <c r="AH242" s="14"/>
    </row>
    <row r="243" spans="1:34">
      <c r="A243" s="28"/>
      <c r="B243" s="180"/>
      <c r="C243" s="188"/>
      <c r="D243" s="161"/>
      <c r="E243" s="162"/>
      <c r="F243" s="162"/>
      <c r="G243" s="163"/>
      <c r="H243" s="285"/>
      <c r="I243" s="282"/>
      <c r="J243" s="16"/>
      <c r="K243" s="18">
        <f t="shared" si="21"/>
        <v>0</v>
      </c>
      <c r="L243" s="288">
        <v>0</v>
      </c>
      <c r="M243" s="291"/>
      <c r="N243" s="164"/>
      <c r="O243" s="164"/>
      <c r="P243" s="164"/>
      <c r="Q243" s="175">
        <f t="shared" si="22"/>
        <v>0</v>
      </c>
      <c r="R243" s="164"/>
      <c r="S243" s="197">
        <f t="shared" si="23"/>
        <v>0</v>
      </c>
      <c r="T243" s="201" t="str" cm="1">
        <f t="array" ref="T243">IFERROR(IF(F243="甲",IF(K243&gt;3500000,VLOOKUP(3500000,源泉DB!$B$261:$L$261,L243+3)+ROUNDDOWN((K243-3500000)*45.945%,0),IF(AND(K243&gt;2250000,K243&lt;3500000),VLOOKUP(2250000,源泉DB!$B$260:$K$260,L243+3)+ROUNDDOWN((K243-2250000)*40.84%,0),IF(AND(K243&gt;2210000,K243&lt;2250000),VLOOKUP(2210000,源泉DB!$B$259:$K$259,L243+3)+ROUNDDOWN((K243-2210000)*40.84%,0),IF(AND(K243&gt;2170000,K243&lt;2210000),VLOOKUP(2170000,源泉DB!$B$258:$K$258,L243+3)+ROUNDDOWN((K243-2170000)*40.84%,0),IF(AND(K243&gt;1700000,K243&lt;2170000),VLOOKUP(1700000,源泉DB!$B$257:$K$257,L243+3)+ROUNDDOWN((K243-1700000)*40.84%,0),IF(AND(K243&gt;950000,K243&lt;1700000),VLOOKUP(950000,源泉DB!$B$256:$K$256,L243+3)+ROUNDDOWN((K243-950000)*33.693%,0),IF(AND(K243&gt;780000,K243&lt;950000),VLOOKUP(780000,源泉DB!$B$255:$K$255,L243+3)+ROUNDDOWN((K243-780000)*23.483%,0),IF(AND(K243&gt;740000,K243&lt;780000),VLOOKUP(740000,源泉DB!$B$254:$K$254,L243+3)+ROUNDDOWN((K243-740000)*20.42%,0),VLOOKUP(K243,源泉DB!$B$8:$K$299,L243+3))))))))),IF(F243="乙",IF(K243&gt;1700000,651900+(K243-1700000) *45.945%,IF(K243=1700000,651900,IF(AND(K243&gt;740000,K243&lt;1700000),259800+(K243-740000)*40.84%,IF(K243=740000,259800,IF(K243&lt;88000,ROUNDDOWN(K243*3.063%,9),VLOOKUP(K243,源泉DB!$B$8:$L$254,11)))))),"")),"")</f>
        <v/>
      </c>
      <c r="U243" s="165"/>
      <c r="V243" s="166"/>
      <c r="W243" s="166"/>
      <c r="X243" s="166"/>
      <c r="Y243" s="166"/>
      <c r="Z243" s="178">
        <f>ROUND(IFERROR(IF(($G243="加入"),VLOOKUP($I243,年金DB!$G$16:$P$65,6,TRUE),0),0)-0.1,0)</f>
        <v>0</v>
      </c>
      <c r="AA243" s="178">
        <f>ROUND(IFERROR(IF(AND($G243="加入",$D243&gt;=40,$D243&lt;=64),VLOOKUP($I243,年金DB!$G$16:$P$65,10,TRUE),0),0)-0.1,0)</f>
        <v>0</v>
      </c>
      <c r="AB243" s="178">
        <f>ROUND(IFERROR(IF(AND($G243="加入",$D243&lt;40),VLOOKUP($J243,年金DB!$G$16:$X$62,14,TRUE),IF(AND($G243="加入",$D243&gt;=40),VLOOKUP($J243,年金DB!$G$16:$X$62,14,TRUE),"0")),0)-0.1,0)</f>
        <v>0</v>
      </c>
      <c r="AC243" s="178">
        <f t="shared" si="24"/>
        <v>0</v>
      </c>
      <c r="AD243" s="21">
        <f t="shared" si="25"/>
        <v>0</v>
      </c>
      <c r="AE243" s="173">
        <f t="shared" si="26"/>
        <v>0</v>
      </c>
      <c r="AF243" s="14" t="str">
        <f t="shared" si="27"/>
        <v/>
      </c>
      <c r="AG243" s="14"/>
      <c r="AH243" s="14"/>
    </row>
    <row r="244" spans="1:34">
      <c r="A244" s="28"/>
      <c r="B244" s="180"/>
      <c r="C244" s="188"/>
      <c r="D244" s="161"/>
      <c r="E244" s="162"/>
      <c r="F244" s="162"/>
      <c r="G244" s="163"/>
      <c r="H244" s="285"/>
      <c r="I244" s="282"/>
      <c r="J244" s="16"/>
      <c r="K244" s="18">
        <f t="shared" si="21"/>
        <v>0</v>
      </c>
      <c r="L244" s="288">
        <v>0</v>
      </c>
      <c r="M244" s="291"/>
      <c r="N244" s="164"/>
      <c r="O244" s="164"/>
      <c r="P244" s="164"/>
      <c r="Q244" s="175">
        <f t="shared" si="22"/>
        <v>0</v>
      </c>
      <c r="R244" s="164"/>
      <c r="S244" s="197">
        <f t="shared" si="23"/>
        <v>0</v>
      </c>
      <c r="T244" s="201" t="str" cm="1">
        <f t="array" ref="T244">IFERROR(IF(F244="甲",IF(K244&gt;3500000,VLOOKUP(3500000,源泉DB!$B$261:$L$261,L244+3)+ROUNDDOWN((K244-3500000)*45.945%,0),IF(AND(K244&gt;2250000,K244&lt;3500000),VLOOKUP(2250000,源泉DB!$B$260:$K$260,L244+3)+ROUNDDOWN((K244-2250000)*40.84%,0),IF(AND(K244&gt;2210000,K244&lt;2250000),VLOOKUP(2210000,源泉DB!$B$259:$K$259,L244+3)+ROUNDDOWN((K244-2210000)*40.84%,0),IF(AND(K244&gt;2170000,K244&lt;2210000),VLOOKUP(2170000,源泉DB!$B$258:$K$258,L244+3)+ROUNDDOWN((K244-2170000)*40.84%,0),IF(AND(K244&gt;1700000,K244&lt;2170000),VLOOKUP(1700000,源泉DB!$B$257:$K$257,L244+3)+ROUNDDOWN((K244-1700000)*40.84%,0),IF(AND(K244&gt;950000,K244&lt;1700000),VLOOKUP(950000,源泉DB!$B$256:$K$256,L244+3)+ROUNDDOWN((K244-950000)*33.693%,0),IF(AND(K244&gt;780000,K244&lt;950000),VLOOKUP(780000,源泉DB!$B$255:$K$255,L244+3)+ROUNDDOWN((K244-780000)*23.483%,0),IF(AND(K244&gt;740000,K244&lt;780000),VLOOKUP(740000,源泉DB!$B$254:$K$254,L244+3)+ROUNDDOWN((K244-740000)*20.42%,0),VLOOKUP(K244,源泉DB!$B$8:$K$299,L244+3))))))))),IF(F244="乙",IF(K244&gt;1700000,651900+(K244-1700000) *45.945%,IF(K244=1700000,651900,IF(AND(K244&gt;740000,K244&lt;1700000),259800+(K244-740000)*40.84%,IF(K244=740000,259800,IF(K244&lt;88000,ROUNDDOWN(K244*3.063%,9),VLOOKUP(K244,源泉DB!$B$8:$L$254,11)))))),"")),"")</f>
        <v/>
      </c>
      <c r="U244" s="165"/>
      <c r="V244" s="166"/>
      <c r="W244" s="166"/>
      <c r="X244" s="166"/>
      <c r="Y244" s="166"/>
      <c r="Z244" s="178">
        <f>ROUND(IFERROR(IF(($G244="加入"),VLOOKUP($I244,年金DB!$G$16:$P$65,6,TRUE),0),0)-0.1,0)</f>
        <v>0</v>
      </c>
      <c r="AA244" s="178">
        <f>ROUND(IFERROR(IF(AND($G244="加入",$D244&gt;=40,$D244&lt;=64),VLOOKUP($I244,年金DB!$G$16:$P$65,10,TRUE),0),0)-0.1,0)</f>
        <v>0</v>
      </c>
      <c r="AB244" s="178">
        <f>ROUND(IFERROR(IF(AND($G244="加入",$D244&lt;40),VLOOKUP($J244,年金DB!$G$16:$X$62,14,TRUE),IF(AND($G244="加入",$D244&gt;=40),VLOOKUP($J244,年金DB!$G$16:$X$62,14,TRUE),"0")),0)-0.1,0)</f>
        <v>0</v>
      </c>
      <c r="AC244" s="178">
        <f t="shared" si="24"/>
        <v>0</v>
      </c>
      <c r="AD244" s="21">
        <f t="shared" si="25"/>
        <v>0</v>
      </c>
      <c r="AE244" s="173">
        <f t="shared" si="26"/>
        <v>0</v>
      </c>
      <c r="AF244" s="14" t="str">
        <f t="shared" si="27"/>
        <v/>
      </c>
      <c r="AG244" s="14"/>
      <c r="AH244" s="14"/>
    </row>
    <row r="245" spans="1:34">
      <c r="A245" s="28"/>
      <c r="B245" s="180"/>
      <c r="C245" s="188"/>
      <c r="D245" s="161"/>
      <c r="E245" s="162"/>
      <c r="F245" s="162"/>
      <c r="G245" s="163"/>
      <c r="H245" s="285"/>
      <c r="I245" s="282"/>
      <c r="J245" s="16"/>
      <c r="K245" s="18">
        <f t="shared" si="21"/>
        <v>0</v>
      </c>
      <c r="L245" s="288">
        <v>0</v>
      </c>
      <c r="M245" s="291"/>
      <c r="N245" s="164"/>
      <c r="O245" s="164"/>
      <c r="P245" s="164"/>
      <c r="Q245" s="175">
        <f t="shared" si="22"/>
        <v>0</v>
      </c>
      <c r="R245" s="164"/>
      <c r="S245" s="197">
        <f t="shared" si="23"/>
        <v>0</v>
      </c>
      <c r="T245" s="201" t="str" cm="1">
        <f t="array" ref="T245">IFERROR(IF(F245="甲",IF(K245&gt;3500000,VLOOKUP(3500000,源泉DB!$B$261:$L$261,L245+3)+ROUNDDOWN((K245-3500000)*45.945%,0),IF(AND(K245&gt;2250000,K245&lt;3500000),VLOOKUP(2250000,源泉DB!$B$260:$K$260,L245+3)+ROUNDDOWN((K245-2250000)*40.84%,0),IF(AND(K245&gt;2210000,K245&lt;2250000),VLOOKUP(2210000,源泉DB!$B$259:$K$259,L245+3)+ROUNDDOWN((K245-2210000)*40.84%,0),IF(AND(K245&gt;2170000,K245&lt;2210000),VLOOKUP(2170000,源泉DB!$B$258:$K$258,L245+3)+ROUNDDOWN((K245-2170000)*40.84%,0),IF(AND(K245&gt;1700000,K245&lt;2170000),VLOOKUP(1700000,源泉DB!$B$257:$K$257,L245+3)+ROUNDDOWN((K245-1700000)*40.84%,0),IF(AND(K245&gt;950000,K245&lt;1700000),VLOOKUP(950000,源泉DB!$B$256:$K$256,L245+3)+ROUNDDOWN((K245-950000)*33.693%,0),IF(AND(K245&gt;780000,K245&lt;950000),VLOOKUP(780000,源泉DB!$B$255:$K$255,L245+3)+ROUNDDOWN((K245-780000)*23.483%,0),IF(AND(K245&gt;740000,K245&lt;780000),VLOOKUP(740000,源泉DB!$B$254:$K$254,L245+3)+ROUNDDOWN((K245-740000)*20.42%,0),VLOOKUP(K245,源泉DB!$B$8:$K$299,L245+3))))))))),IF(F245="乙",IF(K245&gt;1700000,651900+(K245-1700000) *45.945%,IF(K245=1700000,651900,IF(AND(K245&gt;740000,K245&lt;1700000),259800+(K245-740000)*40.84%,IF(K245=740000,259800,IF(K245&lt;88000,ROUNDDOWN(K245*3.063%,9),VLOOKUP(K245,源泉DB!$B$8:$L$254,11)))))),"")),"")</f>
        <v/>
      </c>
      <c r="U245" s="165"/>
      <c r="V245" s="166"/>
      <c r="W245" s="166"/>
      <c r="X245" s="166"/>
      <c r="Y245" s="166"/>
      <c r="Z245" s="178">
        <f>ROUND(IFERROR(IF(($G245="加入"),VLOOKUP($I245,年金DB!$G$16:$P$65,6,TRUE),0),0)-0.1,0)</f>
        <v>0</v>
      </c>
      <c r="AA245" s="178">
        <f>ROUND(IFERROR(IF(AND($G245="加入",$D245&gt;=40,$D245&lt;=64),VLOOKUP($I245,年金DB!$G$16:$P$65,10,TRUE),0),0)-0.1,0)</f>
        <v>0</v>
      </c>
      <c r="AB245" s="178">
        <f>ROUND(IFERROR(IF(AND($G245="加入",$D245&lt;40),VLOOKUP($J245,年金DB!$G$16:$X$62,14,TRUE),IF(AND($G245="加入",$D245&gt;=40),VLOOKUP($J245,年金DB!$G$16:$X$62,14,TRUE),"0")),0)-0.1,0)</f>
        <v>0</v>
      </c>
      <c r="AC245" s="178">
        <f t="shared" si="24"/>
        <v>0</v>
      </c>
      <c r="AD245" s="21">
        <f t="shared" si="25"/>
        <v>0</v>
      </c>
      <c r="AE245" s="173">
        <f t="shared" si="26"/>
        <v>0</v>
      </c>
      <c r="AF245" s="14" t="str">
        <f t="shared" si="27"/>
        <v/>
      </c>
      <c r="AG245" s="14"/>
      <c r="AH245" s="14"/>
    </row>
    <row r="246" spans="1:34">
      <c r="A246" s="28"/>
      <c r="B246" s="180"/>
      <c r="C246" s="188"/>
      <c r="D246" s="161"/>
      <c r="E246" s="162"/>
      <c r="F246" s="162"/>
      <c r="G246" s="163"/>
      <c r="H246" s="285"/>
      <c r="I246" s="282"/>
      <c r="J246" s="16"/>
      <c r="K246" s="18">
        <f t="shared" si="21"/>
        <v>0</v>
      </c>
      <c r="L246" s="288">
        <v>0</v>
      </c>
      <c r="M246" s="291"/>
      <c r="N246" s="164"/>
      <c r="O246" s="164"/>
      <c r="P246" s="164"/>
      <c r="Q246" s="175">
        <f t="shared" si="22"/>
        <v>0</v>
      </c>
      <c r="R246" s="164"/>
      <c r="S246" s="197">
        <f t="shared" si="23"/>
        <v>0</v>
      </c>
      <c r="T246" s="201" t="str" cm="1">
        <f t="array" ref="T246">IFERROR(IF(F246="甲",IF(K246&gt;3500000,VLOOKUP(3500000,源泉DB!$B$261:$L$261,L246+3)+ROUNDDOWN((K246-3500000)*45.945%,0),IF(AND(K246&gt;2250000,K246&lt;3500000),VLOOKUP(2250000,源泉DB!$B$260:$K$260,L246+3)+ROUNDDOWN((K246-2250000)*40.84%,0),IF(AND(K246&gt;2210000,K246&lt;2250000),VLOOKUP(2210000,源泉DB!$B$259:$K$259,L246+3)+ROUNDDOWN((K246-2210000)*40.84%,0),IF(AND(K246&gt;2170000,K246&lt;2210000),VLOOKUP(2170000,源泉DB!$B$258:$K$258,L246+3)+ROUNDDOWN((K246-2170000)*40.84%,0),IF(AND(K246&gt;1700000,K246&lt;2170000),VLOOKUP(1700000,源泉DB!$B$257:$K$257,L246+3)+ROUNDDOWN((K246-1700000)*40.84%,0),IF(AND(K246&gt;950000,K246&lt;1700000),VLOOKUP(950000,源泉DB!$B$256:$K$256,L246+3)+ROUNDDOWN((K246-950000)*33.693%,0),IF(AND(K246&gt;780000,K246&lt;950000),VLOOKUP(780000,源泉DB!$B$255:$K$255,L246+3)+ROUNDDOWN((K246-780000)*23.483%,0),IF(AND(K246&gt;740000,K246&lt;780000),VLOOKUP(740000,源泉DB!$B$254:$K$254,L246+3)+ROUNDDOWN((K246-740000)*20.42%,0),VLOOKUP(K246,源泉DB!$B$8:$K$299,L246+3))))))))),IF(F246="乙",IF(K246&gt;1700000,651900+(K246-1700000) *45.945%,IF(K246=1700000,651900,IF(AND(K246&gt;740000,K246&lt;1700000),259800+(K246-740000)*40.84%,IF(K246=740000,259800,IF(K246&lt;88000,ROUNDDOWN(K246*3.063%,9),VLOOKUP(K246,源泉DB!$B$8:$L$254,11)))))),"")),"")</f>
        <v/>
      </c>
      <c r="U246" s="165"/>
      <c r="V246" s="166"/>
      <c r="W246" s="166"/>
      <c r="X246" s="166"/>
      <c r="Y246" s="166"/>
      <c r="Z246" s="178">
        <f>ROUND(IFERROR(IF(($G246="加入"),VLOOKUP($I246,年金DB!$G$16:$P$65,6,TRUE),0),0)-0.1,0)</f>
        <v>0</v>
      </c>
      <c r="AA246" s="178">
        <f>ROUND(IFERROR(IF(AND($G246="加入",$D246&gt;=40,$D246&lt;=64),VLOOKUP($I246,年金DB!$G$16:$P$65,10,TRUE),0),0)-0.1,0)</f>
        <v>0</v>
      </c>
      <c r="AB246" s="178">
        <f>ROUND(IFERROR(IF(AND($G246="加入",$D246&lt;40),VLOOKUP($J246,年金DB!$G$16:$X$62,14,TRUE),IF(AND($G246="加入",$D246&gt;=40),VLOOKUP($J246,年金DB!$G$16:$X$62,14,TRUE),"0")),0)-0.1,0)</f>
        <v>0</v>
      </c>
      <c r="AC246" s="178">
        <f t="shared" si="24"/>
        <v>0</v>
      </c>
      <c r="AD246" s="21">
        <f t="shared" si="25"/>
        <v>0</v>
      </c>
      <c r="AE246" s="173">
        <f t="shared" si="26"/>
        <v>0</v>
      </c>
      <c r="AF246" s="14" t="str">
        <f t="shared" si="27"/>
        <v/>
      </c>
      <c r="AG246" s="14"/>
      <c r="AH246" s="14"/>
    </row>
    <row r="247" spans="1:34">
      <c r="A247" s="28"/>
      <c r="B247" s="180"/>
      <c r="C247" s="188"/>
      <c r="D247" s="161"/>
      <c r="E247" s="162"/>
      <c r="F247" s="162"/>
      <c r="G247" s="163"/>
      <c r="H247" s="285"/>
      <c r="I247" s="282"/>
      <c r="J247" s="16"/>
      <c r="K247" s="18">
        <f t="shared" si="21"/>
        <v>0</v>
      </c>
      <c r="L247" s="288">
        <v>0</v>
      </c>
      <c r="M247" s="291"/>
      <c r="N247" s="164"/>
      <c r="O247" s="164"/>
      <c r="P247" s="164"/>
      <c r="Q247" s="175">
        <f t="shared" si="22"/>
        <v>0</v>
      </c>
      <c r="R247" s="164"/>
      <c r="S247" s="197">
        <f t="shared" si="23"/>
        <v>0</v>
      </c>
      <c r="T247" s="201" t="str" cm="1">
        <f t="array" ref="T247">IFERROR(IF(F247="甲",IF(K247&gt;3500000,VLOOKUP(3500000,源泉DB!$B$261:$L$261,L247+3)+ROUNDDOWN((K247-3500000)*45.945%,0),IF(AND(K247&gt;2250000,K247&lt;3500000),VLOOKUP(2250000,源泉DB!$B$260:$K$260,L247+3)+ROUNDDOWN((K247-2250000)*40.84%,0),IF(AND(K247&gt;2210000,K247&lt;2250000),VLOOKUP(2210000,源泉DB!$B$259:$K$259,L247+3)+ROUNDDOWN((K247-2210000)*40.84%,0),IF(AND(K247&gt;2170000,K247&lt;2210000),VLOOKUP(2170000,源泉DB!$B$258:$K$258,L247+3)+ROUNDDOWN((K247-2170000)*40.84%,0),IF(AND(K247&gt;1700000,K247&lt;2170000),VLOOKUP(1700000,源泉DB!$B$257:$K$257,L247+3)+ROUNDDOWN((K247-1700000)*40.84%,0),IF(AND(K247&gt;950000,K247&lt;1700000),VLOOKUP(950000,源泉DB!$B$256:$K$256,L247+3)+ROUNDDOWN((K247-950000)*33.693%,0),IF(AND(K247&gt;780000,K247&lt;950000),VLOOKUP(780000,源泉DB!$B$255:$K$255,L247+3)+ROUNDDOWN((K247-780000)*23.483%,0),IF(AND(K247&gt;740000,K247&lt;780000),VLOOKUP(740000,源泉DB!$B$254:$K$254,L247+3)+ROUNDDOWN((K247-740000)*20.42%,0),VLOOKUP(K247,源泉DB!$B$8:$K$299,L247+3))))))))),IF(F247="乙",IF(K247&gt;1700000,651900+(K247-1700000) *45.945%,IF(K247=1700000,651900,IF(AND(K247&gt;740000,K247&lt;1700000),259800+(K247-740000)*40.84%,IF(K247=740000,259800,IF(K247&lt;88000,ROUNDDOWN(K247*3.063%,9),VLOOKUP(K247,源泉DB!$B$8:$L$254,11)))))),"")),"")</f>
        <v/>
      </c>
      <c r="U247" s="165"/>
      <c r="V247" s="166"/>
      <c r="W247" s="166"/>
      <c r="X247" s="166"/>
      <c r="Y247" s="166"/>
      <c r="Z247" s="178">
        <f>ROUND(IFERROR(IF(($G247="加入"),VLOOKUP($I247,年金DB!$G$16:$P$65,6,TRUE),0),0)-0.1,0)</f>
        <v>0</v>
      </c>
      <c r="AA247" s="178">
        <f>ROUND(IFERROR(IF(AND($G247="加入",$D247&gt;=40,$D247&lt;=64),VLOOKUP($I247,年金DB!$G$16:$P$65,10,TRUE),0),0)-0.1,0)</f>
        <v>0</v>
      </c>
      <c r="AB247" s="178">
        <f>ROUND(IFERROR(IF(AND($G247="加入",$D247&lt;40),VLOOKUP($J247,年金DB!$G$16:$X$62,14,TRUE),IF(AND($G247="加入",$D247&gt;=40),VLOOKUP($J247,年金DB!$G$16:$X$62,14,TRUE),"0")),0)-0.1,0)</f>
        <v>0</v>
      </c>
      <c r="AC247" s="178">
        <f t="shared" si="24"/>
        <v>0</v>
      </c>
      <c r="AD247" s="21">
        <f t="shared" si="25"/>
        <v>0</v>
      </c>
      <c r="AE247" s="173">
        <f t="shared" si="26"/>
        <v>0</v>
      </c>
      <c r="AF247" s="14" t="str">
        <f t="shared" si="27"/>
        <v/>
      </c>
      <c r="AG247" s="14"/>
      <c r="AH247" s="14"/>
    </row>
    <row r="248" spans="1:34">
      <c r="A248" s="28"/>
      <c r="B248" s="180"/>
      <c r="C248" s="188"/>
      <c r="D248" s="161"/>
      <c r="E248" s="162"/>
      <c r="F248" s="162"/>
      <c r="G248" s="163"/>
      <c r="H248" s="285"/>
      <c r="I248" s="282"/>
      <c r="J248" s="16"/>
      <c r="K248" s="18">
        <f t="shared" si="21"/>
        <v>0</v>
      </c>
      <c r="L248" s="288">
        <v>0</v>
      </c>
      <c r="M248" s="291"/>
      <c r="N248" s="164"/>
      <c r="O248" s="164"/>
      <c r="P248" s="164"/>
      <c r="Q248" s="175">
        <f t="shared" si="22"/>
        <v>0</v>
      </c>
      <c r="R248" s="164"/>
      <c r="S248" s="197">
        <f t="shared" si="23"/>
        <v>0</v>
      </c>
      <c r="T248" s="201" t="str" cm="1">
        <f t="array" ref="T248">IFERROR(IF(F248="甲",IF(K248&gt;3500000,VLOOKUP(3500000,源泉DB!$B$261:$L$261,L248+3)+ROUNDDOWN((K248-3500000)*45.945%,0),IF(AND(K248&gt;2250000,K248&lt;3500000),VLOOKUP(2250000,源泉DB!$B$260:$K$260,L248+3)+ROUNDDOWN((K248-2250000)*40.84%,0),IF(AND(K248&gt;2210000,K248&lt;2250000),VLOOKUP(2210000,源泉DB!$B$259:$K$259,L248+3)+ROUNDDOWN((K248-2210000)*40.84%,0),IF(AND(K248&gt;2170000,K248&lt;2210000),VLOOKUP(2170000,源泉DB!$B$258:$K$258,L248+3)+ROUNDDOWN((K248-2170000)*40.84%,0),IF(AND(K248&gt;1700000,K248&lt;2170000),VLOOKUP(1700000,源泉DB!$B$257:$K$257,L248+3)+ROUNDDOWN((K248-1700000)*40.84%,0),IF(AND(K248&gt;950000,K248&lt;1700000),VLOOKUP(950000,源泉DB!$B$256:$K$256,L248+3)+ROUNDDOWN((K248-950000)*33.693%,0),IF(AND(K248&gt;780000,K248&lt;950000),VLOOKUP(780000,源泉DB!$B$255:$K$255,L248+3)+ROUNDDOWN((K248-780000)*23.483%,0),IF(AND(K248&gt;740000,K248&lt;780000),VLOOKUP(740000,源泉DB!$B$254:$K$254,L248+3)+ROUNDDOWN((K248-740000)*20.42%,0),VLOOKUP(K248,源泉DB!$B$8:$K$299,L248+3))))))))),IF(F248="乙",IF(K248&gt;1700000,651900+(K248-1700000) *45.945%,IF(K248=1700000,651900,IF(AND(K248&gt;740000,K248&lt;1700000),259800+(K248-740000)*40.84%,IF(K248=740000,259800,IF(K248&lt;88000,ROUNDDOWN(K248*3.063%,9),VLOOKUP(K248,源泉DB!$B$8:$L$254,11)))))),"")),"")</f>
        <v/>
      </c>
      <c r="U248" s="165"/>
      <c r="V248" s="166"/>
      <c r="W248" s="166"/>
      <c r="X248" s="166"/>
      <c r="Y248" s="166"/>
      <c r="Z248" s="178">
        <f>ROUND(IFERROR(IF(($G248="加入"),VLOOKUP($I248,年金DB!$G$16:$P$65,6,TRUE),0),0)-0.1,0)</f>
        <v>0</v>
      </c>
      <c r="AA248" s="178">
        <f>ROUND(IFERROR(IF(AND($G248="加入",$D248&gt;=40,$D248&lt;=64),VLOOKUP($I248,年金DB!$G$16:$P$65,10,TRUE),0),0)-0.1,0)</f>
        <v>0</v>
      </c>
      <c r="AB248" s="178">
        <f>ROUND(IFERROR(IF(AND($G248="加入",$D248&lt;40),VLOOKUP($J248,年金DB!$G$16:$X$62,14,TRUE),IF(AND($G248="加入",$D248&gt;=40),VLOOKUP($J248,年金DB!$G$16:$X$62,14,TRUE),"0")),0)-0.1,0)</f>
        <v>0</v>
      </c>
      <c r="AC248" s="178">
        <f t="shared" si="24"/>
        <v>0</v>
      </c>
      <c r="AD248" s="21">
        <f t="shared" si="25"/>
        <v>0</v>
      </c>
      <c r="AE248" s="173">
        <f t="shared" si="26"/>
        <v>0</v>
      </c>
      <c r="AF248" s="14" t="str">
        <f t="shared" si="27"/>
        <v/>
      </c>
      <c r="AG248" s="14"/>
      <c r="AH248" s="14"/>
    </row>
    <row r="249" spans="1:34">
      <c r="A249" s="28"/>
      <c r="B249" s="180"/>
      <c r="C249" s="188"/>
      <c r="D249" s="161"/>
      <c r="E249" s="162"/>
      <c r="F249" s="162"/>
      <c r="G249" s="163"/>
      <c r="H249" s="285"/>
      <c r="I249" s="282"/>
      <c r="J249" s="16"/>
      <c r="K249" s="18">
        <f t="shared" si="21"/>
        <v>0</v>
      </c>
      <c r="L249" s="288">
        <v>0</v>
      </c>
      <c r="M249" s="291"/>
      <c r="N249" s="164"/>
      <c r="O249" s="164"/>
      <c r="P249" s="164"/>
      <c r="Q249" s="175">
        <f t="shared" si="22"/>
        <v>0</v>
      </c>
      <c r="R249" s="164"/>
      <c r="S249" s="197">
        <f t="shared" si="23"/>
        <v>0</v>
      </c>
      <c r="T249" s="201" t="str" cm="1">
        <f t="array" ref="T249">IFERROR(IF(F249="甲",IF(K249&gt;3500000,VLOOKUP(3500000,源泉DB!$B$261:$L$261,L249+3)+ROUNDDOWN((K249-3500000)*45.945%,0),IF(AND(K249&gt;2250000,K249&lt;3500000),VLOOKUP(2250000,源泉DB!$B$260:$K$260,L249+3)+ROUNDDOWN((K249-2250000)*40.84%,0),IF(AND(K249&gt;2210000,K249&lt;2250000),VLOOKUP(2210000,源泉DB!$B$259:$K$259,L249+3)+ROUNDDOWN((K249-2210000)*40.84%,0),IF(AND(K249&gt;2170000,K249&lt;2210000),VLOOKUP(2170000,源泉DB!$B$258:$K$258,L249+3)+ROUNDDOWN((K249-2170000)*40.84%,0),IF(AND(K249&gt;1700000,K249&lt;2170000),VLOOKUP(1700000,源泉DB!$B$257:$K$257,L249+3)+ROUNDDOWN((K249-1700000)*40.84%,0),IF(AND(K249&gt;950000,K249&lt;1700000),VLOOKUP(950000,源泉DB!$B$256:$K$256,L249+3)+ROUNDDOWN((K249-950000)*33.693%,0),IF(AND(K249&gt;780000,K249&lt;950000),VLOOKUP(780000,源泉DB!$B$255:$K$255,L249+3)+ROUNDDOWN((K249-780000)*23.483%,0),IF(AND(K249&gt;740000,K249&lt;780000),VLOOKUP(740000,源泉DB!$B$254:$K$254,L249+3)+ROUNDDOWN((K249-740000)*20.42%,0),VLOOKUP(K249,源泉DB!$B$8:$K$299,L249+3))))))))),IF(F249="乙",IF(K249&gt;1700000,651900+(K249-1700000) *45.945%,IF(K249=1700000,651900,IF(AND(K249&gt;740000,K249&lt;1700000),259800+(K249-740000)*40.84%,IF(K249=740000,259800,IF(K249&lt;88000,ROUNDDOWN(K249*3.063%,9),VLOOKUP(K249,源泉DB!$B$8:$L$254,11)))))),"")),"")</f>
        <v/>
      </c>
      <c r="U249" s="165"/>
      <c r="V249" s="166"/>
      <c r="W249" s="166"/>
      <c r="X249" s="166"/>
      <c r="Y249" s="166"/>
      <c r="Z249" s="178">
        <f>ROUND(IFERROR(IF(($G249="加入"),VLOOKUP($I249,年金DB!$G$16:$P$65,6,TRUE),0),0)-0.1,0)</f>
        <v>0</v>
      </c>
      <c r="AA249" s="178">
        <f>ROUND(IFERROR(IF(AND($G249="加入",$D249&gt;=40,$D249&lt;=64),VLOOKUP($I249,年金DB!$G$16:$P$65,10,TRUE),0),0)-0.1,0)</f>
        <v>0</v>
      </c>
      <c r="AB249" s="178">
        <f>ROUND(IFERROR(IF(AND($G249="加入",$D249&lt;40),VLOOKUP($J249,年金DB!$G$16:$X$62,14,TRUE),IF(AND($G249="加入",$D249&gt;=40),VLOOKUP($J249,年金DB!$G$16:$X$62,14,TRUE),"0")),0)-0.1,0)</f>
        <v>0</v>
      </c>
      <c r="AC249" s="178">
        <f t="shared" si="24"/>
        <v>0</v>
      </c>
      <c r="AD249" s="21">
        <f t="shared" si="25"/>
        <v>0</v>
      </c>
      <c r="AE249" s="173">
        <f t="shared" si="26"/>
        <v>0</v>
      </c>
      <c r="AF249" s="14" t="str">
        <f t="shared" si="27"/>
        <v/>
      </c>
      <c r="AG249" s="14"/>
      <c r="AH249" s="14"/>
    </row>
    <row r="250" spans="1:34">
      <c r="A250" s="28"/>
      <c r="B250" s="180"/>
      <c r="C250" s="188"/>
      <c r="D250" s="161"/>
      <c r="E250" s="162"/>
      <c r="F250" s="162"/>
      <c r="G250" s="163"/>
      <c r="H250" s="285"/>
      <c r="I250" s="282"/>
      <c r="J250" s="16"/>
      <c r="K250" s="18">
        <f t="shared" si="21"/>
        <v>0</v>
      </c>
      <c r="L250" s="288">
        <v>0</v>
      </c>
      <c r="M250" s="291"/>
      <c r="N250" s="164"/>
      <c r="O250" s="164"/>
      <c r="P250" s="164"/>
      <c r="Q250" s="175">
        <f t="shared" si="22"/>
        <v>0</v>
      </c>
      <c r="R250" s="164"/>
      <c r="S250" s="197">
        <f t="shared" si="23"/>
        <v>0</v>
      </c>
      <c r="T250" s="201" t="str" cm="1">
        <f t="array" ref="T250">IFERROR(IF(F250="甲",IF(K250&gt;3500000,VLOOKUP(3500000,源泉DB!$B$261:$L$261,L250+3)+ROUNDDOWN((K250-3500000)*45.945%,0),IF(AND(K250&gt;2250000,K250&lt;3500000),VLOOKUP(2250000,源泉DB!$B$260:$K$260,L250+3)+ROUNDDOWN((K250-2250000)*40.84%,0),IF(AND(K250&gt;2210000,K250&lt;2250000),VLOOKUP(2210000,源泉DB!$B$259:$K$259,L250+3)+ROUNDDOWN((K250-2210000)*40.84%,0),IF(AND(K250&gt;2170000,K250&lt;2210000),VLOOKUP(2170000,源泉DB!$B$258:$K$258,L250+3)+ROUNDDOWN((K250-2170000)*40.84%,0),IF(AND(K250&gt;1700000,K250&lt;2170000),VLOOKUP(1700000,源泉DB!$B$257:$K$257,L250+3)+ROUNDDOWN((K250-1700000)*40.84%,0),IF(AND(K250&gt;950000,K250&lt;1700000),VLOOKUP(950000,源泉DB!$B$256:$K$256,L250+3)+ROUNDDOWN((K250-950000)*33.693%,0),IF(AND(K250&gt;780000,K250&lt;950000),VLOOKUP(780000,源泉DB!$B$255:$K$255,L250+3)+ROUNDDOWN((K250-780000)*23.483%,0),IF(AND(K250&gt;740000,K250&lt;780000),VLOOKUP(740000,源泉DB!$B$254:$K$254,L250+3)+ROUNDDOWN((K250-740000)*20.42%,0),VLOOKUP(K250,源泉DB!$B$8:$K$299,L250+3))))))))),IF(F250="乙",IF(K250&gt;1700000,651900+(K250-1700000) *45.945%,IF(K250=1700000,651900,IF(AND(K250&gt;740000,K250&lt;1700000),259800+(K250-740000)*40.84%,IF(K250=740000,259800,IF(K250&lt;88000,ROUNDDOWN(K250*3.063%,9),VLOOKUP(K250,源泉DB!$B$8:$L$254,11)))))),"")),"")</f>
        <v/>
      </c>
      <c r="U250" s="165"/>
      <c r="V250" s="166"/>
      <c r="W250" s="166"/>
      <c r="X250" s="166"/>
      <c r="Y250" s="166"/>
      <c r="Z250" s="178">
        <f>ROUND(IFERROR(IF(($G250="加入"),VLOOKUP($I250,年金DB!$G$16:$P$65,6,TRUE),0),0)-0.1,0)</f>
        <v>0</v>
      </c>
      <c r="AA250" s="178">
        <f>ROUND(IFERROR(IF(AND($G250="加入",$D250&gt;=40,$D250&lt;=64),VLOOKUP($I250,年金DB!$G$16:$P$65,10,TRUE),0),0)-0.1,0)</f>
        <v>0</v>
      </c>
      <c r="AB250" s="178">
        <f>ROUND(IFERROR(IF(AND($G250="加入",$D250&lt;40),VLOOKUP($J250,年金DB!$G$16:$X$62,14,TRUE),IF(AND($G250="加入",$D250&gt;=40),VLOOKUP($J250,年金DB!$G$16:$X$62,14,TRUE),"0")),0)-0.1,0)</f>
        <v>0</v>
      </c>
      <c r="AC250" s="178">
        <f t="shared" si="24"/>
        <v>0</v>
      </c>
      <c r="AD250" s="21">
        <f t="shared" si="25"/>
        <v>0</v>
      </c>
      <c r="AE250" s="173">
        <f t="shared" si="26"/>
        <v>0</v>
      </c>
      <c r="AF250" s="14" t="str">
        <f t="shared" si="27"/>
        <v/>
      </c>
      <c r="AG250" s="14"/>
      <c r="AH250" s="14"/>
    </row>
    <row r="251" spans="1:34">
      <c r="A251" s="28"/>
      <c r="B251" s="180"/>
      <c r="C251" s="188"/>
      <c r="D251" s="161"/>
      <c r="E251" s="162"/>
      <c r="F251" s="162"/>
      <c r="G251" s="163"/>
      <c r="H251" s="285"/>
      <c r="I251" s="282"/>
      <c r="J251" s="16"/>
      <c r="K251" s="18">
        <f t="shared" si="21"/>
        <v>0</v>
      </c>
      <c r="L251" s="288">
        <v>0</v>
      </c>
      <c r="M251" s="291"/>
      <c r="N251" s="164"/>
      <c r="O251" s="164"/>
      <c r="P251" s="164"/>
      <c r="Q251" s="175">
        <f t="shared" si="22"/>
        <v>0</v>
      </c>
      <c r="R251" s="164"/>
      <c r="S251" s="197">
        <f t="shared" si="23"/>
        <v>0</v>
      </c>
      <c r="T251" s="201" t="str" cm="1">
        <f t="array" ref="T251">IFERROR(IF(F251="甲",IF(K251&gt;3500000,VLOOKUP(3500000,源泉DB!$B$261:$L$261,L251+3)+ROUNDDOWN((K251-3500000)*45.945%,0),IF(AND(K251&gt;2250000,K251&lt;3500000),VLOOKUP(2250000,源泉DB!$B$260:$K$260,L251+3)+ROUNDDOWN((K251-2250000)*40.84%,0),IF(AND(K251&gt;2210000,K251&lt;2250000),VLOOKUP(2210000,源泉DB!$B$259:$K$259,L251+3)+ROUNDDOWN((K251-2210000)*40.84%,0),IF(AND(K251&gt;2170000,K251&lt;2210000),VLOOKUP(2170000,源泉DB!$B$258:$K$258,L251+3)+ROUNDDOWN((K251-2170000)*40.84%,0),IF(AND(K251&gt;1700000,K251&lt;2170000),VLOOKUP(1700000,源泉DB!$B$257:$K$257,L251+3)+ROUNDDOWN((K251-1700000)*40.84%,0),IF(AND(K251&gt;950000,K251&lt;1700000),VLOOKUP(950000,源泉DB!$B$256:$K$256,L251+3)+ROUNDDOWN((K251-950000)*33.693%,0),IF(AND(K251&gt;780000,K251&lt;950000),VLOOKUP(780000,源泉DB!$B$255:$K$255,L251+3)+ROUNDDOWN((K251-780000)*23.483%,0),IF(AND(K251&gt;740000,K251&lt;780000),VLOOKUP(740000,源泉DB!$B$254:$K$254,L251+3)+ROUNDDOWN((K251-740000)*20.42%,0),VLOOKUP(K251,源泉DB!$B$8:$K$299,L251+3))))))))),IF(F251="乙",IF(K251&gt;1700000,651900+(K251-1700000) *45.945%,IF(K251=1700000,651900,IF(AND(K251&gt;740000,K251&lt;1700000),259800+(K251-740000)*40.84%,IF(K251=740000,259800,IF(K251&lt;88000,ROUNDDOWN(K251*3.063%,9),VLOOKUP(K251,源泉DB!$B$8:$L$254,11)))))),"")),"")</f>
        <v/>
      </c>
      <c r="U251" s="165"/>
      <c r="V251" s="166"/>
      <c r="W251" s="166"/>
      <c r="X251" s="166"/>
      <c r="Y251" s="166"/>
      <c r="Z251" s="178">
        <f>ROUND(IFERROR(IF(($G251="加入"),VLOOKUP($I251,年金DB!$G$16:$P$65,6,TRUE),0),0)-0.1,0)</f>
        <v>0</v>
      </c>
      <c r="AA251" s="178">
        <f>ROUND(IFERROR(IF(AND($G251="加入",$D251&gt;=40,$D251&lt;=64),VLOOKUP($I251,年金DB!$G$16:$P$65,10,TRUE),0),0)-0.1,0)</f>
        <v>0</v>
      </c>
      <c r="AB251" s="178">
        <f>ROUND(IFERROR(IF(AND($G251="加入",$D251&lt;40),VLOOKUP($J251,年金DB!$G$16:$X$62,14,TRUE),IF(AND($G251="加入",$D251&gt;=40),VLOOKUP($J251,年金DB!$G$16:$X$62,14,TRUE),"0")),0)-0.1,0)</f>
        <v>0</v>
      </c>
      <c r="AC251" s="178">
        <f t="shared" si="24"/>
        <v>0</v>
      </c>
      <c r="AD251" s="21">
        <f t="shared" si="25"/>
        <v>0</v>
      </c>
      <c r="AE251" s="173">
        <f t="shared" si="26"/>
        <v>0</v>
      </c>
      <c r="AF251" s="14" t="str">
        <f t="shared" si="27"/>
        <v/>
      </c>
      <c r="AG251" s="14"/>
      <c r="AH251" s="14"/>
    </row>
    <row r="252" spans="1:34">
      <c r="A252" s="28"/>
      <c r="B252" s="180"/>
      <c r="C252" s="188"/>
      <c r="D252" s="161"/>
      <c r="E252" s="162"/>
      <c r="F252" s="162"/>
      <c r="G252" s="163"/>
      <c r="H252" s="285"/>
      <c r="I252" s="282"/>
      <c r="J252" s="16"/>
      <c r="K252" s="18">
        <f t="shared" si="21"/>
        <v>0</v>
      </c>
      <c r="L252" s="288">
        <v>0</v>
      </c>
      <c r="M252" s="291"/>
      <c r="N252" s="164"/>
      <c r="O252" s="164"/>
      <c r="P252" s="164"/>
      <c r="Q252" s="175">
        <f t="shared" si="22"/>
        <v>0</v>
      </c>
      <c r="R252" s="164"/>
      <c r="S252" s="197">
        <f t="shared" si="23"/>
        <v>0</v>
      </c>
      <c r="T252" s="201" t="str" cm="1">
        <f t="array" ref="T252">IFERROR(IF(F252="甲",IF(K252&gt;3500000,VLOOKUP(3500000,源泉DB!$B$261:$L$261,L252+3)+ROUNDDOWN((K252-3500000)*45.945%,0),IF(AND(K252&gt;2250000,K252&lt;3500000),VLOOKUP(2250000,源泉DB!$B$260:$K$260,L252+3)+ROUNDDOWN((K252-2250000)*40.84%,0),IF(AND(K252&gt;2210000,K252&lt;2250000),VLOOKUP(2210000,源泉DB!$B$259:$K$259,L252+3)+ROUNDDOWN((K252-2210000)*40.84%,0),IF(AND(K252&gt;2170000,K252&lt;2210000),VLOOKUP(2170000,源泉DB!$B$258:$K$258,L252+3)+ROUNDDOWN((K252-2170000)*40.84%,0),IF(AND(K252&gt;1700000,K252&lt;2170000),VLOOKUP(1700000,源泉DB!$B$257:$K$257,L252+3)+ROUNDDOWN((K252-1700000)*40.84%,0),IF(AND(K252&gt;950000,K252&lt;1700000),VLOOKUP(950000,源泉DB!$B$256:$K$256,L252+3)+ROUNDDOWN((K252-950000)*33.693%,0),IF(AND(K252&gt;780000,K252&lt;950000),VLOOKUP(780000,源泉DB!$B$255:$K$255,L252+3)+ROUNDDOWN((K252-780000)*23.483%,0),IF(AND(K252&gt;740000,K252&lt;780000),VLOOKUP(740000,源泉DB!$B$254:$K$254,L252+3)+ROUNDDOWN((K252-740000)*20.42%,0),VLOOKUP(K252,源泉DB!$B$8:$K$299,L252+3))))))))),IF(F252="乙",IF(K252&gt;1700000,651900+(K252-1700000) *45.945%,IF(K252=1700000,651900,IF(AND(K252&gt;740000,K252&lt;1700000),259800+(K252-740000)*40.84%,IF(K252=740000,259800,IF(K252&lt;88000,ROUNDDOWN(K252*3.063%,9),VLOOKUP(K252,源泉DB!$B$8:$L$254,11)))))),"")),"")</f>
        <v/>
      </c>
      <c r="U252" s="165"/>
      <c r="V252" s="166"/>
      <c r="W252" s="166"/>
      <c r="X252" s="166"/>
      <c r="Y252" s="166"/>
      <c r="Z252" s="178">
        <f>ROUND(IFERROR(IF(($G252="加入"),VLOOKUP($I252,年金DB!$G$16:$P$65,6,TRUE),0),0)-0.1,0)</f>
        <v>0</v>
      </c>
      <c r="AA252" s="178">
        <f>ROUND(IFERROR(IF(AND($G252="加入",$D252&gt;=40,$D252&lt;=64),VLOOKUP($I252,年金DB!$G$16:$P$65,10,TRUE),0),0)-0.1,0)</f>
        <v>0</v>
      </c>
      <c r="AB252" s="178">
        <f>ROUND(IFERROR(IF(AND($G252="加入",$D252&lt;40),VLOOKUP($J252,年金DB!$G$16:$X$62,14,TRUE),IF(AND($G252="加入",$D252&gt;=40),VLOOKUP($J252,年金DB!$G$16:$X$62,14,TRUE),"0")),0)-0.1,0)</f>
        <v>0</v>
      </c>
      <c r="AC252" s="178">
        <f t="shared" si="24"/>
        <v>0</v>
      </c>
      <c r="AD252" s="21">
        <f t="shared" si="25"/>
        <v>0</v>
      </c>
      <c r="AE252" s="173">
        <f t="shared" si="26"/>
        <v>0</v>
      </c>
      <c r="AF252" s="14" t="str">
        <f t="shared" si="27"/>
        <v/>
      </c>
      <c r="AG252" s="14"/>
      <c r="AH252" s="14"/>
    </row>
    <row r="253" spans="1:34">
      <c r="A253" s="28"/>
      <c r="B253" s="180"/>
      <c r="C253" s="188"/>
      <c r="D253" s="161"/>
      <c r="E253" s="162"/>
      <c r="F253" s="162"/>
      <c r="G253" s="163"/>
      <c r="H253" s="285"/>
      <c r="I253" s="282"/>
      <c r="J253" s="16"/>
      <c r="K253" s="18">
        <f t="shared" si="21"/>
        <v>0</v>
      </c>
      <c r="L253" s="288">
        <v>0</v>
      </c>
      <c r="M253" s="291"/>
      <c r="N253" s="164"/>
      <c r="O253" s="164"/>
      <c r="P253" s="164"/>
      <c r="Q253" s="175">
        <f t="shared" si="22"/>
        <v>0</v>
      </c>
      <c r="R253" s="164"/>
      <c r="S253" s="197">
        <f t="shared" si="23"/>
        <v>0</v>
      </c>
      <c r="T253" s="201" t="str" cm="1">
        <f t="array" ref="T253">IFERROR(IF(F253="甲",IF(K253&gt;3500000,VLOOKUP(3500000,源泉DB!$B$261:$L$261,L253+3)+ROUNDDOWN((K253-3500000)*45.945%,0),IF(AND(K253&gt;2250000,K253&lt;3500000),VLOOKUP(2250000,源泉DB!$B$260:$K$260,L253+3)+ROUNDDOWN((K253-2250000)*40.84%,0),IF(AND(K253&gt;2210000,K253&lt;2250000),VLOOKUP(2210000,源泉DB!$B$259:$K$259,L253+3)+ROUNDDOWN((K253-2210000)*40.84%,0),IF(AND(K253&gt;2170000,K253&lt;2210000),VLOOKUP(2170000,源泉DB!$B$258:$K$258,L253+3)+ROUNDDOWN((K253-2170000)*40.84%,0),IF(AND(K253&gt;1700000,K253&lt;2170000),VLOOKUP(1700000,源泉DB!$B$257:$K$257,L253+3)+ROUNDDOWN((K253-1700000)*40.84%,0),IF(AND(K253&gt;950000,K253&lt;1700000),VLOOKUP(950000,源泉DB!$B$256:$K$256,L253+3)+ROUNDDOWN((K253-950000)*33.693%,0),IF(AND(K253&gt;780000,K253&lt;950000),VLOOKUP(780000,源泉DB!$B$255:$K$255,L253+3)+ROUNDDOWN((K253-780000)*23.483%,0),IF(AND(K253&gt;740000,K253&lt;780000),VLOOKUP(740000,源泉DB!$B$254:$K$254,L253+3)+ROUNDDOWN((K253-740000)*20.42%,0),VLOOKUP(K253,源泉DB!$B$8:$K$299,L253+3))))))))),IF(F253="乙",IF(K253&gt;1700000,651900+(K253-1700000) *45.945%,IF(K253=1700000,651900,IF(AND(K253&gt;740000,K253&lt;1700000),259800+(K253-740000)*40.84%,IF(K253=740000,259800,IF(K253&lt;88000,ROUNDDOWN(K253*3.063%,9),VLOOKUP(K253,源泉DB!$B$8:$L$254,11)))))),"")),"")</f>
        <v/>
      </c>
      <c r="U253" s="165"/>
      <c r="V253" s="166"/>
      <c r="W253" s="166"/>
      <c r="X253" s="166"/>
      <c r="Y253" s="166"/>
      <c r="Z253" s="178">
        <f>ROUND(IFERROR(IF(($G253="加入"),VLOOKUP($I253,年金DB!$G$16:$P$65,6,TRUE),0),0)-0.1,0)</f>
        <v>0</v>
      </c>
      <c r="AA253" s="178">
        <f>ROUND(IFERROR(IF(AND($G253="加入",$D253&gt;=40,$D253&lt;=64),VLOOKUP($I253,年金DB!$G$16:$P$65,10,TRUE),0),0)-0.1,0)</f>
        <v>0</v>
      </c>
      <c r="AB253" s="178">
        <f>ROUND(IFERROR(IF(AND($G253="加入",$D253&lt;40),VLOOKUP($J253,年金DB!$G$16:$X$62,14,TRUE),IF(AND($G253="加入",$D253&gt;=40),VLOOKUP($J253,年金DB!$G$16:$X$62,14,TRUE),"0")),0)-0.1,0)</f>
        <v>0</v>
      </c>
      <c r="AC253" s="178">
        <f t="shared" si="24"/>
        <v>0</v>
      </c>
      <c r="AD253" s="21">
        <f t="shared" si="25"/>
        <v>0</v>
      </c>
      <c r="AE253" s="173">
        <f t="shared" si="26"/>
        <v>0</v>
      </c>
      <c r="AF253" s="14" t="str">
        <f t="shared" si="27"/>
        <v/>
      </c>
      <c r="AG253" s="14"/>
      <c r="AH253" s="14"/>
    </row>
    <row r="254" spans="1:34">
      <c r="A254" s="28"/>
      <c r="B254" s="180"/>
      <c r="C254" s="188"/>
      <c r="D254" s="161"/>
      <c r="E254" s="162"/>
      <c r="F254" s="162"/>
      <c r="G254" s="163"/>
      <c r="H254" s="285"/>
      <c r="I254" s="282"/>
      <c r="J254" s="16"/>
      <c r="K254" s="18">
        <f t="shared" si="21"/>
        <v>0</v>
      </c>
      <c r="L254" s="288">
        <v>0</v>
      </c>
      <c r="M254" s="291"/>
      <c r="N254" s="164"/>
      <c r="O254" s="164"/>
      <c r="P254" s="164"/>
      <c r="Q254" s="175">
        <f t="shared" si="22"/>
        <v>0</v>
      </c>
      <c r="R254" s="164"/>
      <c r="S254" s="197">
        <f t="shared" si="23"/>
        <v>0</v>
      </c>
      <c r="T254" s="201" t="str" cm="1">
        <f t="array" ref="T254">IFERROR(IF(F254="甲",IF(K254&gt;3500000,VLOOKUP(3500000,源泉DB!$B$261:$L$261,L254+3)+ROUNDDOWN((K254-3500000)*45.945%,0),IF(AND(K254&gt;2250000,K254&lt;3500000),VLOOKUP(2250000,源泉DB!$B$260:$K$260,L254+3)+ROUNDDOWN((K254-2250000)*40.84%,0),IF(AND(K254&gt;2210000,K254&lt;2250000),VLOOKUP(2210000,源泉DB!$B$259:$K$259,L254+3)+ROUNDDOWN((K254-2210000)*40.84%,0),IF(AND(K254&gt;2170000,K254&lt;2210000),VLOOKUP(2170000,源泉DB!$B$258:$K$258,L254+3)+ROUNDDOWN((K254-2170000)*40.84%,0),IF(AND(K254&gt;1700000,K254&lt;2170000),VLOOKUP(1700000,源泉DB!$B$257:$K$257,L254+3)+ROUNDDOWN((K254-1700000)*40.84%,0),IF(AND(K254&gt;950000,K254&lt;1700000),VLOOKUP(950000,源泉DB!$B$256:$K$256,L254+3)+ROUNDDOWN((K254-950000)*33.693%,0),IF(AND(K254&gt;780000,K254&lt;950000),VLOOKUP(780000,源泉DB!$B$255:$K$255,L254+3)+ROUNDDOWN((K254-780000)*23.483%,0),IF(AND(K254&gt;740000,K254&lt;780000),VLOOKUP(740000,源泉DB!$B$254:$K$254,L254+3)+ROUNDDOWN((K254-740000)*20.42%,0),VLOOKUP(K254,源泉DB!$B$8:$K$299,L254+3))))))))),IF(F254="乙",IF(K254&gt;1700000,651900+(K254-1700000) *45.945%,IF(K254=1700000,651900,IF(AND(K254&gt;740000,K254&lt;1700000),259800+(K254-740000)*40.84%,IF(K254=740000,259800,IF(K254&lt;88000,ROUNDDOWN(K254*3.063%,9),VLOOKUP(K254,源泉DB!$B$8:$L$254,11)))))),"")),"")</f>
        <v/>
      </c>
      <c r="U254" s="165"/>
      <c r="V254" s="166"/>
      <c r="W254" s="166"/>
      <c r="X254" s="166"/>
      <c r="Y254" s="166"/>
      <c r="Z254" s="178">
        <f>ROUND(IFERROR(IF(($G254="加入"),VLOOKUP($I254,年金DB!$G$16:$P$65,6,TRUE),0),0)-0.1,0)</f>
        <v>0</v>
      </c>
      <c r="AA254" s="178">
        <f>ROUND(IFERROR(IF(AND($G254="加入",$D254&gt;=40,$D254&lt;=64),VLOOKUP($I254,年金DB!$G$16:$P$65,10,TRUE),0),0)-0.1,0)</f>
        <v>0</v>
      </c>
      <c r="AB254" s="178">
        <f>ROUND(IFERROR(IF(AND($G254="加入",$D254&lt;40),VLOOKUP($J254,年金DB!$G$16:$X$62,14,TRUE),IF(AND($G254="加入",$D254&gt;=40),VLOOKUP($J254,年金DB!$G$16:$X$62,14,TRUE),"0")),0)-0.1,0)</f>
        <v>0</v>
      </c>
      <c r="AC254" s="178">
        <f t="shared" si="24"/>
        <v>0</v>
      </c>
      <c r="AD254" s="21">
        <f t="shared" si="25"/>
        <v>0</v>
      </c>
      <c r="AE254" s="173">
        <f t="shared" si="26"/>
        <v>0</v>
      </c>
      <c r="AF254" s="14" t="str">
        <f t="shared" si="27"/>
        <v/>
      </c>
      <c r="AG254" s="14"/>
      <c r="AH254" s="14"/>
    </row>
    <row r="255" spans="1:34">
      <c r="A255" s="28"/>
      <c r="B255" s="180"/>
      <c r="C255" s="188"/>
      <c r="D255" s="161"/>
      <c r="E255" s="162"/>
      <c r="F255" s="162"/>
      <c r="G255" s="163"/>
      <c r="H255" s="285"/>
      <c r="I255" s="282"/>
      <c r="J255" s="16"/>
      <c r="K255" s="18">
        <f t="shared" si="21"/>
        <v>0</v>
      </c>
      <c r="L255" s="288">
        <v>0</v>
      </c>
      <c r="M255" s="291"/>
      <c r="N255" s="164"/>
      <c r="O255" s="164"/>
      <c r="P255" s="164"/>
      <c r="Q255" s="175">
        <f t="shared" si="22"/>
        <v>0</v>
      </c>
      <c r="R255" s="164"/>
      <c r="S255" s="197">
        <f t="shared" si="23"/>
        <v>0</v>
      </c>
      <c r="T255" s="201" t="str" cm="1">
        <f t="array" ref="T255">IFERROR(IF(F255="甲",IF(K255&gt;3500000,VLOOKUP(3500000,源泉DB!$B$261:$L$261,L255+3)+ROUNDDOWN((K255-3500000)*45.945%,0),IF(AND(K255&gt;2250000,K255&lt;3500000),VLOOKUP(2250000,源泉DB!$B$260:$K$260,L255+3)+ROUNDDOWN((K255-2250000)*40.84%,0),IF(AND(K255&gt;2210000,K255&lt;2250000),VLOOKUP(2210000,源泉DB!$B$259:$K$259,L255+3)+ROUNDDOWN((K255-2210000)*40.84%,0),IF(AND(K255&gt;2170000,K255&lt;2210000),VLOOKUP(2170000,源泉DB!$B$258:$K$258,L255+3)+ROUNDDOWN((K255-2170000)*40.84%,0),IF(AND(K255&gt;1700000,K255&lt;2170000),VLOOKUP(1700000,源泉DB!$B$257:$K$257,L255+3)+ROUNDDOWN((K255-1700000)*40.84%,0),IF(AND(K255&gt;950000,K255&lt;1700000),VLOOKUP(950000,源泉DB!$B$256:$K$256,L255+3)+ROUNDDOWN((K255-950000)*33.693%,0),IF(AND(K255&gt;780000,K255&lt;950000),VLOOKUP(780000,源泉DB!$B$255:$K$255,L255+3)+ROUNDDOWN((K255-780000)*23.483%,0),IF(AND(K255&gt;740000,K255&lt;780000),VLOOKUP(740000,源泉DB!$B$254:$K$254,L255+3)+ROUNDDOWN((K255-740000)*20.42%,0),VLOOKUP(K255,源泉DB!$B$8:$K$299,L255+3))))))))),IF(F255="乙",IF(K255&gt;1700000,651900+(K255-1700000) *45.945%,IF(K255=1700000,651900,IF(AND(K255&gt;740000,K255&lt;1700000),259800+(K255-740000)*40.84%,IF(K255=740000,259800,IF(K255&lt;88000,ROUNDDOWN(K255*3.063%,9),VLOOKUP(K255,源泉DB!$B$8:$L$254,11)))))),"")),"")</f>
        <v/>
      </c>
      <c r="U255" s="165"/>
      <c r="V255" s="166"/>
      <c r="W255" s="166"/>
      <c r="X255" s="166"/>
      <c r="Y255" s="166"/>
      <c r="Z255" s="178">
        <f>ROUND(IFERROR(IF(($G255="加入"),VLOOKUP($I255,年金DB!$G$16:$P$65,6,TRUE),0),0)-0.1,0)</f>
        <v>0</v>
      </c>
      <c r="AA255" s="178">
        <f>ROUND(IFERROR(IF(AND($G255="加入",$D255&gt;=40,$D255&lt;=64),VLOOKUP($I255,年金DB!$G$16:$P$65,10,TRUE),0),0)-0.1,0)</f>
        <v>0</v>
      </c>
      <c r="AB255" s="178">
        <f>ROUND(IFERROR(IF(AND($G255="加入",$D255&lt;40),VLOOKUP($J255,年金DB!$G$16:$X$62,14,TRUE),IF(AND($G255="加入",$D255&gt;=40),VLOOKUP($J255,年金DB!$G$16:$X$62,14,TRUE),"0")),0)-0.1,0)</f>
        <v>0</v>
      </c>
      <c r="AC255" s="178">
        <f t="shared" si="24"/>
        <v>0</v>
      </c>
      <c r="AD255" s="21">
        <f t="shared" si="25"/>
        <v>0</v>
      </c>
      <c r="AE255" s="173">
        <f t="shared" si="26"/>
        <v>0</v>
      </c>
      <c r="AF255" s="14" t="str">
        <f t="shared" si="27"/>
        <v/>
      </c>
      <c r="AG255" s="14"/>
      <c r="AH255" s="14"/>
    </row>
    <row r="256" spans="1:34">
      <c r="A256" s="28"/>
      <c r="B256" s="180"/>
      <c r="C256" s="188"/>
      <c r="D256" s="161"/>
      <c r="E256" s="162"/>
      <c r="F256" s="162"/>
      <c r="G256" s="163"/>
      <c r="H256" s="285"/>
      <c r="I256" s="282"/>
      <c r="J256" s="16"/>
      <c r="K256" s="18">
        <f t="shared" si="21"/>
        <v>0</v>
      </c>
      <c r="L256" s="288">
        <v>0</v>
      </c>
      <c r="M256" s="291"/>
      <c r="N256" s="164"/>
      <c r="O256" s="164"/>
      <c r="P256" s="164"/>
      <c r="Q256" s="175">
        <f t="shared" si="22"/>
        <v>0</v>
      </c>
      <c r="R256" s="164"/>
      <c r="S256" s="197">
        <f t="shared" si="23"/>
        <v>0</v>
      </c>
      <c r="T256" s="201" t="str" cm="1">
        <f t="array" ref="T256">IFERROR(IF(F256="甲",IF(K256&gt;3500000,VLOOKUP(3500000,源泉DB!$B$261:$L$261,L256+3)+ROUNDDOWN((K256-3500000)*45.945%,0),IF(AND(K256&gt;2250000,K256&lt;3500000),VLOOKUP(2250000,源泉DB!$B$260:$K$260,L256+3)+ROUNDDOWN((K256-2250000)*40.84%,0),IF(AND(K256&gt;2210000,K256&lt;2250000),VLOOKUP(2210000,源泉DB!$B$259:$K$259,L256+3)+ROUNDDOWN((K256-2210000)*40.84%,0),IF(AND(K256&gt;2170000,K256&lt;2210000),VLOOKUP(2170000,源泉DB!$B$258:$K$258,L256+3)+ROUNDDOWN((K256-2170000)*40.84%,0),IF(AND(K256&gt;1700000,K256&lt;2170000),VLOOKUP(1700000,源泉DB!$B$257:$K$257,L256+3)+ROUNDDOWN((K256-1700000)*40.84%,0),IF(AND(K256&gt;950000,K256&lt;1700000),VLOOKUP(950000,源泉DB!$B$256:$K$256,L256+3)+ROUNDDOWN((K256-950000)*33.693%,0),IF(AND(K256&gt;780000,K256&lt;950000),VLOOKUP(780000,源泉DB!$B$255:$K$255,L256+3)+ROUNDDOWN((K256-780000)*23.483%,0),IF(AND(K256&gt;740000,K256&lt;780000),VLOOKUP(740000,源泉DB!$B$254:$K$254,L256+3)+ROUNDDOWN((K256-740000)*20.42%,0),VLOOKUP(K256,源泉DB!$B$8:$K$299,L256+3))))))))),IF(F256="乙",IF(K256&gt;1700000,651900+(K256-1700000) *45.945%,IF(K256=1700000,651900,IF(AND(K256&gt;740000,K256&lt;1700000),259800+(K256-740000)*40.84%,IF(K256=740000,259800,IF(K256&lt;88000,ROUNDDOWN(K256*3.063%,9),VLOOKUP(K256,源泉DB!$B$8:$L$254,11)))))),"")),"")</f>
        <v/>
      </c>
      <c r="U256" s="165"/>
      <c r="V256" s="166"/>
      <c r="W256" s="166"/>
      <c r="X256" s="166"/>
      <c r="Y256" s="166"/>
      <c r="Z256" s="178">
        <f>ROUND(IFERROR(IF(($G256="加入"),VLOOKUP($I256,年金DB!$G$16:$P$65,6,TRUE),0),0)-0.1,0)</f>
        <v>0</v>
      </c>
      <c r="AA256" s="178">
        <f>ROUND(IFERROR(IF(AND($G256="加入",$D256&gt;=40,$D256&lt;=64),VLOOKUP($I256,年金DB!$G$16:$P$65,10,TRUE),0),0)-0.1,0)</f>
        <v>0</v>
      </c>
      <c r="AB256" s="178">
        <f>ROUND(IFERROR(IF(AND($G256="加入",$D256&lt;40),VLOOKUP($J256,年金DB!$G$16:$X$62,14,TRUE),IF(AND($G256="加入",$D256&gt;=40),VLOOKUP($J256,年金DB!$G$16:$X$62,14,TRUE),"0")),0)-0.1,0)</f>
        <v>0</v>
      </c>
      <c r="AC256" s="178">
        <f t="shared" si="24"/>
        <v>0</v>
      </c>
      <c r="AD256" s="21">
        <f t="shared" si="25"/>
        <v>0</v>
      </c>
      <c r="AE256" s="173">
        <f t="shared" si="26"/>
        <v>0</v>
      </c>
      <c r="AF256" s="14" t="str">
        <f t="shared" si="27"/>
        <v/>
      </c>
      <c r="AG256" s="14"/>
      <c r="AH256" s="14"/>
    </row>
    <row r="257" spans="1:34">
      <c r="A257" s="28"/>
      <c r="B257" s="180"/>
      <c r="C257" s="188"/>
      <c r="D257" s="161"/>
      <c r="E257" s="162"/>
      <c r="F257" s="162"/>
      <c r="G257" s="163"/>
      <c r="H257" s="285"/>
      <c r="I257" s="282"/>
      <c r="J257" s="16"/>
      <c r="K257" s="18">
        <f t="shared" si="21"/>
        <v>0</v>
      </c>
      <c r="L257" s="288">
        <v>0</v>
      </c>
      <c r="M257" s="291"/>
      <c r="N257" s="164"/>
      <c r="O257" s="164"/>
      <c r="P257" s="164"/>
      <c r="Q257" s="175">
        <f t="shared" si="22"/>
        <v>0</v>
      </c>
      <c r="R257" s="164"/>
      <c r="S257" s="197">
        <f t="shared" si="23"/>
        <v>0</v>
      </c>
      <c r="T257" s="201" t="str" cm="1">
        <f t="array" ref="T257">IFERROR(IF(F257="甲",IF(K257&gt;3500000,VLOOKUP(3500000,源泉DB!$B$261:$L$261,L257+3)+ROUNDDOWN((K257-3500000)*45.945%,0),IF(AND(K257&gt;2250000,K257&lt;3500000),VLOOKUP(2250000,源泉DB!$B$260:$K$260,L257+3)+ROUNDDOWN((K257-2250000)*40.84%,0),IF(AND(K257&gt;2210000,K257&lt;2250000),VLOOKUP(2210000,源泉DB!$B$259:$K$259,L257+3)+ROUNDDOWN((K257-2210000)*40.84%,0),IF(AND(K257&gt;2170000,K257&lt;2210000),VLOOKUP(2170000,源泉DB!$B$258:$K$258,L257+3)+ROUNDDOWN((K257-2170000)*40.84%,0),IF(AND(K257&gt;1700000,K257&lt;2170000),VLOOKUP(1700000,源泉DB!$B$257:$K$257,L257+3)+ROUNDDOWN((K257-1700000)*40.84%,0),IF(AND(K257&gt;950000,K257&lt;1700000),VLOOKUP(950000,源泉DB!$B$256:$K$256,L257+3)+ROUNDDOWN((K257-950000)*33.693%,0),IF(AND(K257&gt;780000,K257&lt;950000),VLOOKUP(780000,源泉DB!$B$255:$K$255,L257+3)+ROUNDDOWN((K257-780000)*23.483%,0),IF(AND(K257&gt;740000,K257&lt;780000),VLOOKUP(740000,源泉DB!$B$254:$K$254,L257+3)+ROUNDDOWN((K257-740000)*20.42%,0),VLOOKUP(K257,源泉DB!$B$8:$K$299,L257+3))))))))),IF(F257="乙",IF(K257&gt;1700000,651900+(K257-1700000) *45.945%,IF(K257=1700000,651900,IF(AND(K257&gt;740000,K257&lt;1700000),259800+(K257-740000)*40.84%,IF(K257=740000,259800,IF(K257&lt;88000,ROUNDDOWN(K257*3.063%,9),VLOOKUP(K257,源泉DB!$B$8:$L$254,11)))))),"")),"")</f>
        <v/>
      </c>
      <c r="U257" s="165"/>
      <c r="V257" s="166"/>
      <c r="W257" s="166"/>
      <c r="X257" s="166"/>
      <c r="Y257" s="166"/>
      <c r="Z257" s="178">
        <f>ROUND(IFERROR(IF(($G257="加入"),VLOOKUP($I257,年金DB!$G$16:$P$65,6,TRUE),0),0)-0.1,0)</f>
        <v>0</v>
      </c>
      <c r="AA257" s="178">
        <f>ROUND(IFERROR(IF(AND($G257="加入",$D257&gt;=40,$D257&lt;=64),VLOOKUP($I257,年金DB!$G$16:$P$65,10,TRUE),0),0)-0.1,0)</f>
        <v>0</v>
      </c>
      <c r="AB257" s="178">
        <f>ROUND(IFERROR(IF(AND($G257="加入",$D257&lt;40),VLOOKUP($J257,年金DB!$G$16:$X$62,14,TRUE),IF(AND($G257="加入",$D257&gt;=40),VLOOKUP($J257,年金DB!$G$16:$X$62,14,TRUE),"0")),0)-0.1,0)</f>
        <v>0</v>
      </c>
      <c r="AC257" s="178">
        <f t="shared" si="24"/>
        <v>0</v>
      </c>
      <c r="AD257" s="21">
        <f t="shared" si="25"/>
        <v>0</v>
      </c>
      <c r="AE257" s="173">
        <f t="shared" si="26"/>
        <v>0</v>
      </c>
      <c r="AF257" s="14" t="str">
        <f t="shared" si="27"/>
        <v/>
      </c>
      <c r="AG257" s="14"/>
      <c r="AH257" s="14"/>
    </row>
    <row r="258" spans="1:34">
      <c r="A258" s="28"/>
      <c r="B258" s="180"/>
      <c r="C258" s="188"/>
      <c r="D258" s="161"/>
      <c r="E258" s="162"/>
      <c r="F258" s="162"/>
      <c r="G258" s="163"/>
      <c r="H258" s="285"/>
      <c r="I258" s="282"/>
      <c r="J258" s="16"/>
      <c r="K258" s="18">
        <f t="shared" si="21"/>
        <v>0</v>
      </c>
      <c r="L258" s="288">
        <v>0</v>
      </c>
      <c r="M258" s="291"/>
      <c r="N258" s="164"/>
      <c r="O258" s="164"/>
      <c r="P258" s="164"/>
      <c r="Q258" s="175">
        <f t="shared" si="22"/>
        <v>0</v>
      </c>
      <c r="R258" s="164"/>
      <c r="S258" s="197">
        <f t="shared" si="23"/>
        <v>0</v>
      </c>
      <c r="T258" s="201" t="str" cm="1">
        <f t="array" ref="T258">IFERROR(IF(F258="甲",IF(K258&gt;3500000,VLOOKUP(3500000,源泉DB!$B$261:$L$261,L258+3)+ROUNDDOWN((K258-3500000)*45.945%,0),IF(AND(K258&gt;2250000,K258&lt;3500000),VLOOKUP(2250000,源泉DB!$B$260:$K$260,L258+3)+ROUNDDOWN((K258-2250000)*40.84%,0),IF(AND(K258&gt;2210000,K258&lt;2250000),VLOOKUP(2210000,源泉DB!$B$259:$K$259,L258+3)+ROUNDDOWN((K258-2210000)*40.84%,0),IF(AND(K258&gt;2170000,K258&lt;2210000),VLOOKUP(2170000,源泉DB!$B$258:$K$258,L258+3)+ROUNDDOWN((K258-2170000)*40.84%,0),IF(AND(K258&gt;1700000,K258&lt;2170000),VLOOKUP(1700000,源泉DB!$B$257:$K$257,L258+3)+ROUNDDOWN((K258-1700000)*40.84%,0),IF(AND(K258&gt;950000,K258&lt;1700000),VLOOKUP(950000,源泉DB!$B$256:$K$256,L258+3)+ROUNDDOWN((K258-950000)*33.693%,0),IF(AND(K258&gt;780000,K258&lt;950000),VLOOKUP(780000,源泉DB!$B$255:$K$255,L258+3)+ROUNDDOWN((K258-780000)*23.483%,0),IF(AND(K258&gt;740000,K258&lt;780000),VLOOKUP(740000,源泉DB!$B$254:$K$254,L258+3)+ROUNDDOWN((K258-740000)*20.42%,0),VLOOKUP(K258,源泉DB!$B$8:$K$299,L258+3))))))))),IF(F258="乙",IF(K258&gt;1700000,651900+(K258-1700000) *45.945%,IF(K258=1700000,651900,IF(AND(K258&gt;740000,K258&lt;1700000),259800+(K258-740000)*40.84%,IF(K258=740000,259800,IF(K258&lt;88000,ROUNDDOWN(K258*3.063%,9),VLOOKUP(K258,源泉DB!$B$8:$L$254,11)))))),"")),"")</f>
        <v/>
      </c>
      <c r="U258" s="165"/>
      <c r="V258" s="166"/>
      <c r="W258" s="166"/>
      <c r="X258" s="166"/>
      <c r="Y258" s="166"/>
      <c r="Z258" s="178">
        <f>ROUND(IFERROR(IF(($G258="加入"),VLOOKUP($I258,年金DB!$G$16:$P$65,6,TRUE),0),0)-0.1,0)</f>
        <v>0</v>
      </c>
      <c r="AA258" s="178">
        <f>ROUND(IFERROR(IF(AND($G258="加入",$D258&gt;=40,$D258&lt;=64),VLOOKUP($I258,年金DB!$G$16:$P$65,10,TRUE),0),0)-0.1,0)</f>
        <v>0</v>
      </c>
      <c r="AB258" s="178">
        <f>ROUND(IFERROR(IF(AND($G258="加入",$D258&lt;40),VLOOKUP($J258,年金DB!$G$16:$X$62,14,TRUE),IF(AND($G258="加入",$D258&gt;=40),VLOOKUP($J258,年金DB!$G$16:$X$62,14,TRUE),"0")),0)-0.1,0)</f>
        <v>0</v>
      </c>
      <c r="AC258" s="178">
        <f t="shared" si="24"/>
        <v>0</v>
      </c>
      <c r="AD258" s="21">
        <f t="shared" si="25"/>
        <v>0</v>
      </c>
      <c r="AE258" s="173">
        <f t="shared" si="26"/>
        <v>0</v>
      </c>
      <c r="AF258" s="14" t="str">
        <f t="shared" si="27"/>
        <v/>
      </c>
      <c r="AG258" s="14"/>
      <c r="AH258" s="14"/>
    </row>
    <row r="259" spans="1:34">
      <c r="A259" s="28"/>
      <c r="B259" s="180"/>
      <c r="C259" s="188"/>
      <c r="D259" s="161"/>
      <c r="E259" s="162"/>
      <c r="F259" s="162"/>
      <c r="G259" s="163"/>
      <c r="H259" s="285"/>
      <c r="I259" s="282"/>
      <c r="J259" s="16"/>
      <c r="K259" s="18">
        <f t="shared" si="21"/>
        <v>0</v>
      </c>
      <c r="L259" s="288">
        <v>0</v>
      </c>
      <c r="M259" s="291"/>
      <c r="N259" s="164"/>
      <c r="O259" s="164"/>
      <c r="P259" s="164"/>
      <c r="Q259" s="175">
        <f t="shared" si="22"/>
        <v>0</v>
      </c>
      <c r="R259" s="164"/>
      <c r="S259" s="197">
        <f t="shared" si="23"/>
        <v>0</v>
      </c>
      <c r="T259" s="201" t="str" cm="1">
        <f t="array" ref="T259">IFERROR(IF(F259="甲",IF(K259&gt;3500000,VLOOKUP(3500000,源泉DB!$B$261:$L$261,L259+3)+ROUNDDOWN((K259-3500000)*45.945%,0),IF(AND(K259&gt;2250000,K259&lt;3500000),VLOOKUP(2250000,源泉DB!$B$260:$K$260,L259+3)+ROUNDDOWN((K259-2250000)*40.84%,0),IF(AND(K259&gt;2210000,K259&lt;2250000),VLOOKUP(2210000,源泉DB!$B$259:$K$259,L259+3)+ROUNDDOWN((K259-2210000)*40.84%,0),IF(AND(K259&gt;2170000,K259&lt;2210000),VLOOKUP(2170000,源泉DB!$B$258:$K$258,L259+3)+ROUNDDOWN((K259-2170000)*40.84%,0),IF(AND(K259&gt;1700000,K259&lt;2170000),VLOOKUP(1700000,源泉DB!$B$257:$K$257,L259+3)+ROUNDDOWN((K259-1700000)*40.84%,0),IF(AND(K259&gt;950000,K259&lt;1700000),VLOOKUP(950000,源泉DB!$B$256:$K$256,L259+3)+ROUNDDOWN((K259-950000)*33.693%,0),IF(AND(K259&gt;780000,K259&lt;950000),VLOOKUP(780000,源泉DB!$B$255:$K$255,L259+3)+ROUNDDOWN((K259-780000)*23.483%,0),IF(AND(K259&gt;740000,K259&lt;780000),VLOOKUP(740000,源泉DB!$B$254:$K$254,L259+3)+ROUNDDOWN((K259-740000)*20.42%,0),VLOOKUP(K259,源泉DB!$B$8:$K$299,L259+3))))))))),IF(F259="乙",IF(K259&gt;1700000,651900+(K259-1700000) *45.945%,IF(K259=1700000,651900,IF(AND(K259&gt;740000,K259&lt;1700000),259800+(K259-740000)*40.84%,IF(K259=740000,259800,IF(K259&lt;88000,ROUNDDOWN(K259*3.063%,9),VLOOKUP(K259,源泉DB!$B$8:$L$254,11)))))),"")),"")</f>
        <v/>
      </c>
      <c r="U259" s="165"/>
      <c r="V259" s="166"/>
      <c r="W259" s="166"/>
      <c r="X259" s="166"/>
      <c r="Y259" s="166"/>
      <c r="Z259" s="178">
        <f>ROUND(IFERROR(IF(($G259="加入"),VLOOKUP($I259,年金DB!$G$16:$P$65,6,TRUE),0),0)-0.1,0)</f>
        <v>0</v>
      </c>
      <c r="AA259" s="178">
        <f>ROUND(IFERROR(IF(AND($G259="加入",$D259&gt;=40,$D259&lt;=64),VLOOKUP($I259,年金DB!$G$16:$P$65,10,TRUE),0),0)-0.1,0)</f>
        <v>0</v>
      </c>
      <c r="AB259" s="178">
        <f>ROUND(IFERROR(IF(AND($G259="加入",$D259&lt;40),VLOOKUP($J259,年金DB!$G$16:$X$62,14,TRUE),IF(AND($G259="加入",$D259&gt;=40),VLOOKUP($J259,年金DB!$G$16:$X$62,14,TRUE),"0")),0)-0.1,0)</f>
        <v>0</v>
      </c>
      <c r="AC259" s="178">
        <f t="shared" si="24"/>
        <v>0</v>
      </c>
      <c r="AD259" s="21">
        <f t="shared" si="25"/>
        <v>0</v>
      </c>
      <c r="AE259" s="173">
        <f t="shared" si="26"/>
        <v>0</v>
      </c>
      <c r="AF259" s="14" t="str">
        <f t="shared" si="27"/>
        <v/>
      </c>
      <c r="AG259" s="14"/>
      <c r="AH259" s="14"/>
    </row>
    <row r="260" spans="1:34">
      <c r="A260" s="28"/>
      <c r="B260" s="180"/>
      <c r="C260" s="188"/>
      <c r="D260" s="161"/>
      <c r="E260" s="162"/>
      <c r="F260" s="162"/>
      <c r="G260" s="163"/>
      <c r="H260" s="285"/>
      <c r="I260" s="282"/>
      <c r="J260" s="16"/>
      <c r="K260" s="18">
        <f t="shared" si="21"/>
        <v>0</v>
      </c>
      <c r="L260" s="288">
        <v>0</v>
      </c>
      <c r="M260" s="291"/>
      <c r="N260" s="164"/>
      <c r="O260" s="164"/>
      <c r="P260" s="164"/>
      <c r="Q260" s="175">
        <f t="shared" si="22"/>
        <v>0</v>
      </c>
      <c r="R260" s="164"/>
      <c r="S260" s="197">
        <f t="shared" si="23"/>
        <v>0</v>
      </c>
      <c r="T260" s="201" t="str" cm="1">
        <f t="array" ref="T260">IFERROR(IF(F260="甲",IF(K260&gt;3500000,VLOOKUP(3500000,源泉DB!$B$261:$L$261,L260+3)+ROUNDDOWN((K260-3500000)*45.945%,0),IF(AND(K260&gt;2250000,K260&lt;3500000),VLOOKUP(2250000,源泉DB!$B$260:$K$260,L260+3)+ROUNDDOWN((K260-2250000)*40.84%,0),IF(AND(K260&gt;2210000,K260&lt;2250000),VLOOKUP(2210000,源泉DB!$B$259:$K$259,L260+3)+ROUNDDOWN((K260-2210000)*40.84%,0),IF(AND(K260&gt;2170000,K260&lt;2210000),VLOOKUP(2170000,源泉DB!$B$258:$K$258,L260+3)+ROUNDDOWN((K260-2170000)*40.84%,0),IF(AND(K260&gt;1700000,K260&lt;2170000),VLOOKUP(1700000,源泉DB!$B$257:$K$257,L260+3)+ROUNDDOWN((K260-1700000)*40.84%,0),IF(AND(K260&gt;950000,K260&lt;1700000),VLOOKUP(950000,源泉DB!$B$256:$K$256,L260+3)+ROUNDDOWN((K260-950000)*33.693%,0),IF(AND(K260&gt;780000,K260&lt;950000),VLOOKUP(780000,源泉DB!$B$255:$K$255,L260+3)+ROUNDDOWN((K260-780000)*23.483%,0),IF(AND(K260&gt;740000,K260&lt;780000),VLOOKUP(740000,源泉DB!$B$254:$K$254,L260+3)+ROUNDDOWN((K260-740000)*20.42%,0),VLOOKUP(K260,源泉DB!$B$8:$K$299,L260+3))))))))),IF(F260="乙",IF(K260&gt;1700000,651900+(K260-1700000) *45.945%,IF(K260=1700000,651900,IF(AND(K260&gt;740000,K260&lt;1700000),259800+(K260-740000)*40.84%,IF(K260=740000,259800,IF(K260&lt;88000,ROUNDDOWN(K260*3.063%,9),VLOOKUP(K260,源泉DB!$B$8:$L$254,11)))))),"")),"")</f>
        <v/>
      </c>
      <c r="U260" s="165"/>
      <c r="V260" s="166"/>
      <c r="W260" s="166"/>
      <c r="X260" s="166"/>
      <c r="Y260" s="166"/>
      <c r="Z260" s="178">
        <f>ROUND(IFERROR(IF(($G260="加入"),VLOOKUP($I260,年金DB!$G$16:$P$65,6,TRUE),0),0)-0.1,0)</f>
        <v>0</v>
      </c>
      <c r="AA260" s="178">
        <f>ROUND(IFERROR(IF(AND($G260="加入",$D260&gt;=40,$D260&lt;=64),VLOOKUP($I260,年金DB!$G$16:$P$65,10,TRUE),0),0)-0.1,0)</f>
        <v>0</v>
      </c>
      <c r="AB260" s="178">
        <f>ROUND(IFERROR(IF(AND($G260="加入",$D260&lt;40),VLOOKUP($J260,年金DB!$G$16:$X$62,14,TRUE),IF(AND($G260="加入",$D260&gt;=40),VLOOKUP($J260,年金DB!$G$16:$X$62,14,TRUE),"0")),0)-0.1,0)</f>
        <v>0</v>
      </c>
      <c r="AC260" s="178">
        <f t="shared" si="24"/>
        <v>0</v>
      </c>
      <c r="AD260" s="21">
        <f t="shared" si="25"/>
        <v>0</v>
      </c>
      <c r="AE260" s="173">
        <f t="shared" si="26"/>
        <v>0</v>
      </c>
      <c r="AF260" s="14" t="str">
        <f t="shared" si="27"/>
        <v/>
      </c>
      <c r="AG260" s="14"/>
      <c r="AH260" s="14"/>
    </row>
    <row r="261" spans="1:34">
      <c r="A261" s="28"/>
      <c r="B261" s="180"/>
      <c r="C261" s="188"/>
      <c r="D261" s="161"/>
      <c r="E261" s="162"/>
      <c r="F261" s="162"/>
      <c r="G261" s="163"/>
      <c r="H261" s="285"/>
      <c r="I261" s="282"/>
      <c r="J261" s="16"/>
      <c r="K261" s="18">
        <f t="shared" si="21"/>
        <v>0</v>
      </c>
      <c r="L261" s="288">
        <v>0</v>
      </c>
      <c r="M261" s="291"/>
      <c r="N261" s="164"/>
      <c r="O261" s="164"/>
      <c r="P261" s="164"/>
      <c r="Q261" s="175">
        <f t="shared" si="22"/>
        <v>0</v>
      </c>
      <c r="R261" s="164"/>
      <c r="S261" s="197">
        <f t="shared" si="23"/>
        <v>0</v>
      </c>
      <c r="T261" s="201" t="str" cm="1">
        <f t="array" ref="T261">IFERROR(IF(F261="甲",IF(K261&gt;3500000,VLOOKUP(3500000,源泉DB!$B$261:$L$261,L261+3)+ROUNDDOWN((K261-3500000)*45.945%,0),IF(AND(K261&gt;2250000,K261&lt;3500000),VLOOKUP(2250000,源泉DB!$B$260:$K$260,L261+3)+ROUNDDOWN((K261-2250000)*40.84%,0),IF(AND(K261&gt;2210000,K261&lt;2250000),VLOOKUP(2210000,源泉DB!$B$259:$K$259,L261+3)+ROUNDDOWN((K261-2210000)*40.84%,0),IF(AND(K261&gt;2170000,K261&lt;2210000),VLOOKUP(2170000,源泉DB!$B$258:$K$258,L261+3)+ROUNDDOWN((K261-2170000)*40.84%,0),IF(AND(K261&gt;1700000,K261&lt;2170000),VLOOKUP(1700000,源泉DB!$B$257:$K$257,L261+3)+ROUNDDOWN((K261-1700000)*40.84%,0),IF(AND(K261&gt;950000,K261&lt;1700000),VLOOKUP(950000,源泉DB!$B$256:$K$256,L261+3)+ROUNDDOWN((K261-950000)*33.693%,0),IF(AND(K261&gt;780000,K261&lt;950000),VLOOKUP(780000,源泉DB!$B$255:$K$255,L261+3)+ROUNDDOWN((K261-780000)*23.483%,0),IF(AND(K261&gt;740000,K261&lt;780000),VLOOKUP(740000,源泉DB!$B$254:$K$254,L261+3)+ROUNDDOWN((K261-740000)*20.42%,0),VLOOKUP(K261,源泉DB!$B$8:$K$299,L261+3))))))))),IF(F261="乙",IF(K261&gt;1700000,651900+(K261-1700000) *45.945%,IF(K261=1700000,651900,IF(AND(K261&gt;740000,K261&lt;1700000),259800+(K261-740000)*40.84%,IF(K261=740000,259800,IF(K261&lt;88000,ROUNDDOWN(K261*3.063%,9),VLOOKUP(K261,源泉DB!$B$8:$L$254,11)))))),"")),"")</f>
        <v/>
      </c>
      <c r="U261" s="165"/>
      <c r="V261" s="166"/>
      <c r="W261" s="166"/>
      <c r="X261" s="166"/>
      <c r="Y261" s="166"/>
      <c r="Z261" s="178">
        <f>ROUND(IFERROR(IF(($G261="加入"),VLOOKUP($I261,年金DB!$G$16:$P$65,6,TRUE),0),0)-0.1,0)</f>
        <v>0</v>
      </c>
      <c r="AA261" s="178">
        <f>ROUND(IFERROR(IF(AND($G261="加入",$D261&gt;=40,$D261&lt;=64),VLOOKUP($I261,年金DB!$G$16:$P$65,10,TRUE),0),0)-0.1,0)</f>
        <v>0</v>
      </c>
      <c r="AB261" s="178">
        <f>ROUND(IFERROR(IF(AND($G261="加入",$D261&lt;40),VLOOKUP($J261,年金DB!$G$16:$X$62,14,TRUE),IF(AND($G261="加入",$D261&gt;=40),VLOOKUP($J261,年金DB!$G$16:$X$62,14,TRUE),"0")),0)-0.1,0)</f>
        <v>0</v>
      </c>
      <c r="AC261" s="178">
        <f t="shared" si="24"/>
        <v>0</v>
      </c>
      <c r="AD261" s="21">
        <f t="shared" si="25"/>
        <v>0</v>
      </c>
      <c r="AE261" s="173">
        <f t="shared" si="26"/>
        <v>0</v>
      </c>
      <c r="AF261" s="14" t="str">
        <f t="shared" si="27"/>
        <v/>
      </c>
      <c r="AG261" s="14"/>
      <c r="AH261" s="14"/>
    </row>
    <row r="262" spans="1:34">
      <c r="A262" s="28"/>
      <c r="B262" s="180"/>
      <c r="C262" s="188"/>
      <c r="D262" s="161"/>
      <c r="E262" s="162"/>
      <c r="F262" s="162"/>
      <c r="G262" s="163"/>
      <c r="H262" s="285"/>
      <c r="I262" s="282"/>
      <c r="J262" s="16"/>
      <c r="K262" s="18">
        <f t="shared" si="21"/>
        <v>0</v>
      </c>
      <c r="L262" s="288">
        <v>0</v>
      </c>
      <c r="M262" s="291"/>
      <c r="N262" s="164"/>
      <c r="O262" s="164"/>
      <c r="P262" s="164"/>
      <c r="Q262" s="175">
        <f t="shared" si="22"/>
        <v>0</v>
      </c>
      <c r="R262" s="164"/>
      <c r="S262" s="197">
        <f t="shared" si="23"/>
        <v>0</v>
      </c>
      <c r="T262" s="201" t="str" cm="1">
        <f t="array" ref="T262">IFERROR(IF(F262="甲",IF(K262&gt;3500000,VLOOKUP(3500000,源泉DB!$B$261:$L$261,L262+3)+ROUNDDOWN((K262-3500000)*45.945%,0),IF(AND(K262&gt;2250000,K262&lt;3500000),VLOOKUP(2250000,源泉DB!$B$260:$K$260,L262+3)+ROUNDDOWN((K262-2250000)*40.84%,0),IF(AND(K262&gt;2210000,K262&lt;2250000),VLOOKUP(2210000,源泉DB!$B$259:$K$259,L262+3)+ROUNDDOWN((K262-2210000)*40.84%,0),IF(AND(K262&gt;2170000,K262&lt;2210000),VLOOKUP(2170000,源泉DB!$B$258:$K$258,L262+3)+ROUNDDOWN((K262-2170000)*40.84%,0),IF(AND(K262&gt;1700000,K262&lt;2170000),VLOOKUP(1700000,源泉DB!$B$257:$K$257,L262+3)+ROUNDDOWN((K262-1700000)*40.84%,0),IF(AND(K262&gt;950000,K262&lt;1700000),VLOOKUP(950000,源泉DB!$B$256:$K$256,L262+3)+ROUNDDOWN((K262-950000)*33.693%,0),IF(AND(K262&gt;780000,K262&lt;950000),VLOOKUP(780000,源泉DB!$B$255:$K$255,L262+3)+ROUNDDOWN((K262-780000)*23.483%,0),IF(AND(K262&gt;740000,K262&lt;780000),VLOOKUP(740000,源泉DB!$B$254:$K$254,L262+3)+ROUNDDOWN((K262-740000)*20.42%,0),VLOOKUP(K262,源泉DB!$B$8:$K$299,L262+3))))))))),IF(F262="乙",IF(K262&gt;1700000,651900+(K262-1700000) *45.945%,IF(K262=1700000,651900,IF(AND(K262&gt;740000,K262&lt;1700000),259800+(K262-740000)*40.84%,IF(K262=740000,259800,IF(K262&lt;88000,ROUNDDOWN(K262*3.063%,9),VLOOKUP(K262,源泉DB!$B$8:$L$254,11)))))),"")),"")</f>
        <v/>
      </c>
      <c r="U262" s="165"/>
      <c r="V262" s="166"/>
      <c r="W262" s="166"/>
      <c r="X262" s="166"/>
      <c r="Y262" s="166"/>
      <c r="Z262" s="178">
        <f>ROUND(IFERROR(IF(($G262="加入"),VLOOKUP($I262,年金DB!$G$16:$P$65,6,TRUE),0),0)-0.1,0)</f>
        <v>0</v>
      </c>
      <c r="AA262" s="178">
        <f>ROUND(IFERROR(IF(AND($G262="加入",$D262&gt;=40,$D262&lt;=64),VLOOKUP($I262,年金DB!$G$16:$P$65,10,TRUE),0),0)-0.1,0)</f>
        <v>0</v>
      </c>
      <c r="AB262" s="178">
        <f>ROUND(IFERROR(IF(AND($G262="加入",$D262&lt;40),VLOOKUP($J262,年金DB!$G$16:$X$62,14,TRUE),IF(AND($G262="加入",$D262&gt;=40),VLOOKUP($J262,年金DB!$G$16:$X$62,14,TRUE),"0")),0)-0.1,0)</f>
        <v>0</v>
      </c>
      <c r="AC262" s="178">
        <f t="shared" si="24"/>
        <v>0</v>
      </c>
      <c r="AD262" s="21">
        <f t="shared" si="25"/>
        <v>0</v>
      </c>
      <c r="AE262" s="173">
        <f t="shared" si="26"/>
        <v>0</v>
      </c>
      <c r="AF262" s="14" t="str">
        <f t="shared" si="27"/>
        <v/>
      </c>
      <c r="AG262" s="14"/>
      <c r="AH262" s="14"/>
    </row>
    <row r="263" spans="1:34">
      <c r="A263" s="28"/>
      <c r="B263" s="180"/>
      <c r="C263" s="188"/>
      <c r="D263" s="161"/>
      <c r="E263" s="162"/>
      <c r="F263" s="162"/>
      <c r="G263" s="163"/>
      <c r="H263" s="285"/>
      <c r="I263" s="282"/>
      <c r="J263" s="16"/>
      <c r="K263" s="18">
        <f t="shared" ref="K263:K282" si="28">IF((Q263-Z263-AA263-AB263-AC263)&lt;0,0,Q263-Z263-AA263-AB263-AC263)</f>
        <v>0</v>
      </c>
      <c r="L263" s="288">
        <v>0</v>
      </c>
      <c r="M263" s="291"/>
      <c r="N263" s="164"/>
      <c r="O263" s="164"/>
      <c r="P263" s="164"/>
      <c r="Q263" s="175">
        <f t="shared" ref="Q263:Q282" si="29">SUM(M263:P263)</f>
        <v>0</v>
      </c>
      <c r="R263" s="164"/>
      <c r="S263" s="197">
        <f t="shared" ref="S263:S282" si="30">SUM(Q263:R263)</f>
        <v>0</v>
      </c>
      <c r="T263" s="201" t="str" cm="1">
        <f t="array" ref="T263">IFERROR(IF(F263="甲",IF(K263&gt;3500000,VLOOKUP(3500000,源泉DB!$B$261:$L$261,L263+3)+ROUNDDOWN((K263-3500000)*45.945%,0),IF(AND(K263&gt;2250000,K263&lt;3500000),VLOOKUP(2250000,源泉DB!$B$260:$K$260,L263+3)+ROUNDDOWN((K263-2250000)*40.84%,0),IF(AND(K263&gt;2210000,K263&lt;2250000),VLOOKUP(2210000,源泉DB!$B$259:$K$259,L263+3)+ROUNDDOWN((K263-2210000)*40.84%,0),IF(AND(K263&gt;2170000,K263&lt;2210000),VLOOKUP(2170000,源泉DB!$B$258:$K$258,L263+3)+ROUNDDOWN((K263-2170000)*40.84%,0),IF(AND(K263&gt;1700000,K263&lt;2170000),VLOOKUP(1700000,源泉DB!$B$257:$K$257,L263+3)+ROUNDDOWN((K263-1700000)*40.84%,0),IF(AND(K263&gt;950000,K263&lt;1700000),VLOOKUP(950000,源泉DB!$B$256:$K$256,L263+3)+ROUNDDOWN((K263-950000)*33.693%,0),IF(AND(K263&gt;780000,K263&lt;950000),VLOOKUP(780000,源泉DB!$B$255:$K$255,L263+3)+ROUNDDOWN((K263-780000)*23.483%,0),IF(AND(K263&gt;740000,K263&lt;780000),VLOOKUP(740000,源泉DB!$B$254:$K$254,L263+3)+ROUNDDOWN((K263-740000)*20.42%,0),VLOOKUP(K263,源泉DB!$B$8:$K$299,L263+3))))))))),IF(F263="乙",IF(K263&gt;1700000,651900+(K263-1700000) *45.945%,IF(K263=1700000,651900,IF(AND(K263&gt;740000,K263&lt;1700000),259800+(K263-740000)*40.84%,IF(K263=740000,259800,IF(K263&lt;88000,ROUNDDOWN(K263*3.063%,9),VLOOKUP(K263,源泉DB!$B$8:$L$254,11)))))),"")),"")</f>
        <v/>
      </c>
      <c r="U263" s="165"/>
      <c r="V263" s="166"/>
      <c r="W263" s="166"/>
      <c r="X263" s="166"/>
      <c r="Y263" s="166"/>
      <c r="Z263" s="178">
        <f>ROUND(IFERROR(IF(($G263="加入"),VLOOKUP($I263,年金DB!$G$16:$P$65,6,TRUE),0),0)-0.1,0)</f>
        <v>0</v>
      </c>
      <c r="AA263" s="178">
        <f>ROUND(IFERROR(IF(AND($G263="加入",$D263&gt;=40,$D263&lt;=64),VLOOKUP($I263,年金DB!$G$16:$P$65,10,TRUE),0),0)-0.1,0)</f>
        <v>0</v>
      </c>
      <c r="AB263" s="178">
        <f>ROUND(IFERROR(IF(AND($G263="加入",$D263&lt;40),VLOOKUP($J263,年金DB!$G$16:$X$62,14,TRUE),IF(AND($G263="加入",$D263&gt;=40),VLOOKUP($J263,年金DB!$G$16:$X$62,14,TRUE),"0")),0)-0.1,0)</f>
        <v>0</v>
      </c>
      <c r="AC263" s="178">
        <f t="shared" ref="AC263:AC282" si="31">IF(OR(H263="非加入",H263=""),0,ROUNDUP(IFERROR(IF(H263="加入",(Q263+R263)*3/1000,0),0)-0.5,0))</f>
        <v>0</v>
      </c>
      <c r="AD263" s="21">
        <f t="shared" ref="AD263:AD282" si="32">SUM(T263:AC263)</f>
        <v>0</v>
      </c>
      <c r="AE263" s="173">
        <f t="shared" ref="AE263:AE282" si="33">S263-AD263</f>
        <v>0</v>
      </c>
      <c r="AF263" s="14" t="str">
        <f t="shared" ref="AF263:AF282" si="34">IF(AE263&gt;0,"←同額をお振込みください","")</f>
        <v/>
      </c>
      <c r="AG263" s="14"/>
      <c r="AH263" s="14"/>
    </row>
    <row r="264" spans="1:34">
      <c r="A264" s="28"/>
      <c r="B264" s="180"/>
      <c r="C264" s="188"/>
      <c r="D264" s="161"/>
      <c r="E264" s="162"/>
      <c r="F264" s="162"/>
      <c r="G264" s="163"/>
      <c r="H264" s="285"/>
      <c r="I264" s="282"/>
      <c r="J264" s="16"/>
      <c r="K264" s="18">
        <f t="shared" si="28"/>
        <v>0</v>
      </c>
      <c r="L264" s="288">
        <v>0</v>
      </c>
      <c r="M264" s="291"/>
      <c r="N264" s="164"/>
      <c r="O264" s="164"/>
      <c r="P264" s="164"/>
      <c r="Q264" s="175">
        <f t="shared" si="29"/>
        <v>0</v>
      </c>
      <c r="R264" s="164"/>
      <c r="S264" s="197">
        <f t="shared" si="30"/>
        <v>0</v>
      </c>
      <c r="T264" s="201" t="str" cm="1">
        <f t="array" ref="T264">IFERROR(IF(F264="甲",IF(K264&gt;3500000,VLOOKUP(3500000,源泉DB!$B$261:$L$261,L264+3)+ROUNDDOWN((K264-3500000)*45.945%,0),IF(AND(K264&gt;2250000,K264&lt;3500000),VLOOKUP(2250000,源泉DB!$B$260:$K$260,L264+3)+ROUNDDOWN((K264-2250000)*40.84%,0),IF(AND(K264&gt;2210000,K264&lt;2250000),VLOOKUP(2210000,源泉DB!$B$259:$K$259,L264+3)+ROUNDDOWN((K264-2210000)*40.84%,0),IF(AND(K264&gt;2170000,K264&lt;2210000),VLOOKUP(2170000,源泉DB!$B$258:$K$258,L264+3)+ROUNDDOWN((K264-2170000)*40.84%,0),IF(AND(K264&gt;1700000,K264&lt;2170000),VLOOKUP(1700000,源泉DB!$B$257:$K$257,L264+3)+ROUNDDOWN((K264-1700000)*40.84%,0),IF(AND(K264&gt;950000,K264&lt;1700000),VLOOKUP(950000,源泉DB!$B$256:$K$256,L264+3)+ROUNDDOWN((K264-950000)*33.693%,0),IF(AND(K264&gt;780000,K264&lt;950000),VLOOKUP(780000,源泉DB!$B$255:$K$255,L264+3)+ROUNDDOWN((K264-780000)*23.483%,0),IF(AND(K264&gt;740000,K264&lt;780000),VLOOKUP(740000,源泉DB!$B$254:$K$254,L264+3)+ROUNDDOWN((K264-740000)*20.42%,0),VLOOKUP(K264,源泉DB!$B$8:$K$299,L264+3))))))))),IF(F264="乙",IF(K264&gt;1700000,651900+(K264-1700000) *45.945%,IF(K264=1700000,651900,IF(AND(K264&gt;740000,K264&lt;1700000),259800+(K264-740000)*40.84%,IF(K264=740000,259800,IF(K264&lt;88000,ROUNDDOWN(K264*3.063%,9),VLOOKUP(K264,源泉DB!$B$8:$L$254,11)))))),"")),"")</f>
        <v/>
      </c>
      <c r="U264" s="165"/>
      <c r="V264" s="166"/>
      <c r="W264" s="166"/>
      <c r="X264" s="166"/>
      <c r="Y264" s="166"/>
      <c r="Z264" s="178">
        <f>ROUND(IFERROR(IF(($G264="加入"),VLOOKUP($I264,年金DB!$G$16:$P$65,6,TRUE),0),0)-0.1,0)</f>
        <v>0</v>
      </c>
      <c r="AA264" s="178">
        <f>ROUND(IFERROR(IF(AND($G264="加入",$D264&gt;=40,$D264&lt;=64),VLOOKUP($I264,年金DB!$G$16:$P$65,10,TRUE),0),0)-0.1,0)</f>
        <v>0</v>
      </c>
      <c r="AB264" s="178">
        <f>ROUND(IFERROR(IF(AND($G264="加入",$D264&lt;40),VLOOKUP($J264,年金DB!$G$16:$X$62,14,TRUE),IF(AND($G264="加入",$D264&gt;=40),VLOOKUP($J264,年金DB!$G$16:$X$62,14,TRUE),"0")),0)-0.1,0)</f>
        <v>0</v>
      </c>
      <c r="AC264" s="178">
        <f t="shared" si="31"/>
        <v>0</v>
      </c>
      <c r="AD264" s="21">
        <f t="shared" si="32"/>
        <v>0</v>
      </c>
      <c r="AE264" s="173">
        <f t="shared" si="33"/>
        <v>0</v>
      </c>
      <c r="AF264" s="14" t="str">
        <f t="shared" si="34"/>
        <v/>
      </c>
      <c r="AG264" s="14"/>
      <c r="AH264" s="14"/>
    </row>
    <row r="265" spans="1:34">
      <c r="A265" s="28"/>
      <c r="B265" s="180"/>
      <c r="C265" s="188"/>
      <c r="D265" s="161"/>
      <c r="E265" s="162"/>
      <c r="F265" s="162"/>
      <c r="G265" s="163"/>
      <c r="H265" s="285"/>
      <c r="I265" s="282"/>
      <c r="J265" s="16"/>
      <c r="K265" s="18">
        <f t="shared" si="28"/>
        <v>0</v>
      </c>
      <c r="L265" s="288">
        <v>0</v>
      </c>
      <c r="M265" s="291"/>
      <c r="N265" s="164"/>
      <c r="O265" s="164"/>
      <c r="P265" s="164"/>
      <c r="Q265" s="175">
        <f t="shared" si="29"/>
        <v>0</v>
      </c>
      <c r="R265" s="164"/>
      <c r="S265" s="197">
        <f t="shared" si="30"/>
        <v>0</v>
      </c>
      <c r="T265" s="201" t="str" cm="1">
        <f t="array" ref="T265">IFERROR(IF(F265="甲",IF(K265&gt;3500000,VLOOKUP(3500000,源泉DB!$B$261:$L$261,L265+3)+ROUNDDOWN((K265-3500000)*45.945%,0),IF(AND(K265&gt;2250000,K265&lt;3500000),VLOOKUP(2250000,源泉DB!$B$260:$K$260,L265+3)+ROUNDDOWN((K265-2250000)*40.84%,0),IF(AND(K265&gt;2210000,K265&lt;2250000),VLOOKUP(2210000,源泉DB!$B$259:$K$259,L265+3)+ROUNDDOWN((K265-2210000)*40.84%,0),IF(AND(K265&gt;2170000,K265&lt;2210000),VLOOKUP(2170000,源泉DB!$B$258:$K$258,L265+3)+ROUNDDOWN((K265-2170000)*40.84%,0),IF(AND(K265&gt;1700000,K265&lt;2170000),VLOOKUP(1700000,源泉DB!$B$257:$K$257,L265+3)+ROUNDDOWN((K265-1700000)*40.84%,0),IF(AND(K265&gt;950000,K265&lt;1700000),VLOOKUP(950000,源泉DB!$B$256:$K$256,L265+3)+ROUNDDOWN((K265-950000)*33.693%,0),IF(AND(K265&gt;780000,K265&lt;950000),VLOOKUP(780000,源泉DB!$B$255:$K$255,L265+3)+ROUNDDOWN((K265-780000)*23.483%,0),IF(AND(K265&gt;740000,K265&lt;780000),VLOOKUP(740000,源泉DB!$B$254:$K$254,L265+3)+ROUNDDOWN((K265-740000)*20.42%,0),VLOOKUP(K265,源泉DB!$B$8:$K$299,L265+3))))))))),IF(F265="乙",IF(K265&gt;1700000,651900+(K265-1700000) *45.945%,IF(K265=1700000,651900,IF(AND(K265&gt;740000,K265&lt;1700000),259800+(K265-740000)*40.84%,IF(K265=740000,259800,IF(K265&lt;88000,ROUNDDOWN(K265*3.063%,9),VLOOKUP(K265,源泉DB!$B$8:$L$254,11)))))),"")),"")</f>
        <v/>
      </c>
      <c r="U265" s="165"/>
      <c r="V265" s="166"/>
      <c r="W265" s="166"/>
      <c r="X265" s="166"/>
      <c r="Y265" s="166"/>
      <c r="Z265" s="178">
        <f>ROUND(IFERROR(IF(($G265="加入"),VLOOKUP($I265,年金DB!$G$16:$P$65,6,TRUE),0),0)-0.1,0)</f>
        <v>0</v>
      </c>
      <c r="AA265" s="178">
        <f>ROUND(IFERROR(IF(AND($G265="加入",$D265&gt;=40,$D265&lt;=64),VLOOKUP($I265,年金DB!$G$16:$P$65,10,TRUE),0),0)-0.1,0)</f>
        <v>0</v>
      </c>
      <c r="AB265" s="178">
        <f>ROUND(IFERROR(IF(AND($G265="加入",$D265&lt;40),VLOOKUP($J265,年金DB!$G$16:$X$62,14,TRUE),IF(AND($G265="加入",$D265&gt;=40),VLOOKUP($J265,年金DB!$G$16:$X$62,14,TRUE),"0")),0)-0.1,0)</f>
        <v>0</v>
      </c>
      <c r="AC265" s="178">
        <f t="shared" si="31"/>
        <v>0</v>
      </c>
      <c r="AD265" s="21">
        <f t="shared" si="32"/>
        <v>0</v>
      </c>
      <c r="AE265" s="173">
        <f t="shared" si="33"/>
        <v>0</v>
      </c>
      <c r="AF265" s="14" t="str">
        <f t="shared" si="34"/>
        <v/>
      </c>
      <c r="AG265" s="14"/>
      <c r="AH265" s="14"/>
    </row>
    <row r="266" spans="1:34">
      <c r="A266" s="28"/>
      <c r="B266" s="180"/>
      <c r="C266" s="188"/>
      <c r="D266" s="161"/>
      <c r="E266" s="162"/>
      <c r="F266" s="162"/>
      <c r="G266" s="163"/>
      <c r="H266" s="285"/>
      <c r="I266" s="282"/>
      <c r="J266" s="16"/>
      <c r="K266" s="18">
        <f t="shared" si="28"/>
        <v>0</v>
      </c>
      <c r="L266" s="288">
        <v>0</v>
      </c>
      <c r="M266" s="291"/>
      <c r="N266" s="164"/>
      <c r="O266" s="164"/>
      <c r="P266" s="164"/>
      <c r="Q266" s="175">
        <f t="shared" si="29"/>
        <v>0</v>
      </c>
      <c r="R266" s="164"/>
      <c r="S266" s="197">
        <f t="shared" si="30"/>
        <v>0</v>
      </c>
      <c r="T266" s="201" t="str" cm="1">
        <f t="array" ref="T266">IFERROR(IF(F266="甲",IF(K266&gt;3500000,VLOOKUP(3500000,源泉DB!$B$261:$L$261,L266+3)+ROUNDDOWN((K266-3500000)*45.945%,0),IF(AND(K266&gt;2250000,K266&lt;3500000),VLOOKUP(2250000,源泉DB!$B$260:$K$260,L266+3)+ROUNDDOWN((K266-2250000)*40.84%,0),IF(AND(K266&gt;2210000,K266&lt;2250000),VLOOKUP(2210000,源泉DB!$B$259:$K$259,L266+3)+ROUNDDOWN((K266-2210000)*40.84%,0),IF(AND(K266&gt;2170000,K266&lt;2210000),VLOOKUP(2170000,源泉DB!$B$258:$K$258,L266+3)+ROUNDDOWN((K266-2170000)*40.84%,0),IF(AND(K266&gt;1700000,K266&lt;2170000),VLOOKUP(1700000,源泉DB!$B$257:$K$257,L266+3)+ROUNDDOWN((K266-1700000)*40.84%,0),IF(AND(K266&gt;950000,K266&lt;1700000),VLOOKUP(950000,源泉DB!$B$256:$K$256,L266+3)+ROUNDDOWN((K266-950000)*33.693%,0),IF(AND(K266&gt;780000,K266&lt;950000),VLOOKUP(780000,源泉DB!$B$255:$K$255,L266+3)+ROUNDDOWN((K266-780000)*23.483%,0),IF(AND(K266&gt;740000,K266&lt;780000),VLOOKUP(740000,源泉DB!$B$254:$K$254,L266+3)+ROUNDDOWN((K266-740000)*20.42%,0),VLOOKUP(K266,源泉DB!$B$8:$K$299,L266+3))))))))),IF(F266="乙",IF(K266&gt;1700000,651900+(K266-1700000) *45.945%,IF(K266=1700000,651900,IF(AND(K266&gt;740000,K266&lt;1700000),259800+(K266-740000)*40.84%,IF(K266=740000,259800,IF(K266&lt;88000,ROUNDDOWN(K266*3.063%,9),VLOOKUP(K266,源泉DB!$B$8:$L$254,11)))))),"")),"")</f>
        <v/>
      </c>
      <c r="U266" s="165"/>
      <c r="V266" s="166"/>
      <c r="W266" s="166"/>
      <c r="X266" s="166"/>
      <c r="Y266" s="166"/>
      <c r="Z266" s="178">
        <f>ROUND(IFERROR(IF(($G266="加入"),VLOOKUP($I266,年金DB!$G$16:$P$65,6,TRUE),0),0)-0.1,0)</f>
        <v>0</v>
      </c>
      <c r="AA266" s="178">
        <f>ROUND(IFERROR(IF(AND($G266="加入",$D266&gt;=40,$D266&lt;=64),VLOOKUP($I266,年金DB!$G$16:$P$65,10,TRUE),0),0)-0.1,0)</f>
        <v>0</v>
      </c>
      <c r="AB266" s="178">
        <f>ROUND(IFERROR(IF(AND($G266="加入",$D266&lt;40),VLOOKUP($J266,年金DB!$G$16:$X$62,14,TRUE),IF(AND($G266="加入",$D266&gt;=40),VLOOKUP($J266,年金DB!$G$16:$X$62,14,TRUE),"0")),0)-0.1,0)</f>
        <v>0</v>
      </c>
      <c r="AC266" s="178">
        <f t="shared" si="31"/>
        <v>0</v>
      </c>
      <c r="AD266" s="21">
        <f t="shared" si="32"/>
        <v>0</v>
      </c>
      <c r="AE266" s="173">
        <f t="shared" si="33"/>
        <v>0</v>
      </c>
      <c r="AF266" s="14" t="str">
        <f t="shared" si="34"/>
        <v/>
      </c>
      <c r="AG266" s="14"/>
      <c r="AH266" s="14"/>
    </row>
    <row r="267" spans="1:34">
      <c r="A267" s="28"/>
      <c r="B267" s="180"/>
      <c r="C267" s="188"/>
      <c r="D267" s="161"/>
      <c r="E267" s="162"/>
      <c r="F267" s="162"/>
      <c r="G267" s="163"/>
      <c r="H267" s="285"/>
      <c r="I267" s="282"/>
      <c r="J267" s="16"/>
      <c r="K267" s="18">
        <f t="shared" si="28"/>
        <v>0</v>
      </c>
      <c r="L267" s="288">
        <v>0</v>
      </c>
      <c r="M267" s="291"/>
      <c r="N267" s="164"/>
      <c r="O267" s="164"/>
      <c r="P267" s="164"/>
      <c r="Q267" s="175">
        <f t="shared" si="29"/>
        <v>0</v>
      </c>
      <c r="R267" s="164"/>
      <c r="S267" s="197">
        <f t="shared" si="30"/>
        <v>0</v>
      </c>
      <c r="T267" s="201" t="str" cm="1">
        <f t="array" ref="T267">IFERROR(IF(F267="甲",IF(K267&gt;3500000,VLOOKUP(3500000,源泉DB!$B$261:$L$261,L267+3)+ROUNDDOWN((K267-3500000)*45.945%,0),IF(AND(K267&gt;2250000,K267&lt;3500000),VLOOKUP(2250000,源泉DB!$B$260:$K$260,L267+3)+ROUNDDOWN((K267-2250000)*40.84%,0),IF(AND(K267&gt;2210000,K267&lt;2250000),VLOOKUP(2210000,源泉DB!$B$259:$K$259,L267+3)+ROUNDDOWN((K267-2210000)*40.84%,0),IF(AND(K267&gt;2170000,K267&lt;2210000),VLOOKUP(2170000,源泉DB!$B$258:$K$258,L267+3)+ROUNDDOWN((K267-2170000)*40.84%,0),IF(AND(K267&gt;1700000,K267&lt;2170000),VLOOKUP(1700000,源泉DB!$B$257:$K$257,L267+3)+ROUNDDOWN((K267-1700000)*40.84%,0),IF(AND(K267&gt;950000,K267&lt;1700000),VLOOKUP(950000,源泉DB!$B$256:$K$256,L267+3)+ROUNDDOWN((K267-950000)*33.693%,0),IF(AND(K267&gt;780000,K267&lt;950000),VLOOKUP(780000,源泉DB!$B$255:$K$255,L267+3)+ROUNDDOWN((K267-780000)*23.483%,0),IF(AND(K267&gt;740000,K267&lt;780000),VLOOKUP(740000,源泉DB!$B$254:$K$254,L267+3)+ROUNDDOWN((K267-740000)*20.42%,0),VLOOKUP(K267,源泉DB!$B$8:$K$299,L267+3))))))))),IF(F267="乙",IF(K267&gt;1700000,651900+(K267-1700000) *45.945%,IF(K267=1700000,651900,IF(AND(K267&gt;740000,K267&lt;1700000),259800+(K267-740000)*40.84%,IF(K267=740000,259800,IF(K267&lt;88000,ROUNDDOWN(K267*3.063%,9),VLOOKUP(K267,源泉DB!$B$8:$L$254,11)))))),"")),"")</f>
        <v/>
      </c>
      <c r="U267" s="165"/>
      <c r="V267" s="166"/>
      <c r="W267" s="166"/>
      <c r="X267" s="166"/>
      <c r="Y267" s="166"/>
      <c r="Z267" s="178">
        <f>ROUND(IFERROR(IF(($G267="加入"),VLOOKUP($I267,年金DB!$G$16:$P$65,6,TRUE),0),0)-0.1,0)</f>
        <v>0</v>
      </c>
      <c r="AA267" s="178">
        <f>ROUND(IFERROR(IF(AND($G267="加入",$D267&gt;=40,$D267&lt;=64),VLOOKUP($I267,年金DB!$G$16:$P$65,10,TRUE),0),0)-0.1,0)</f>
        <v>0</v>
      </c>
      <c r="AB267" s="178">
        <f>ROUND(IFERROR(IF(AND($G267="加入",$D267&lt;40),VLOOKUP($J267,年金DB!$G$16:$X$62,14,TRUE),IF(AND($G267="加入",$D267&gt;=40),VLOOKUP($J267,年金DB!$G$16:$X$62,14,TRUE),"0")),0)-0.1,0)</f>
        <v>0</v>
      </c>
      <c r="AC267" s="178">
        <f t="shared" si="31"/>
        <v>0</v>
      </c>
      <c r="AD267" s="21">
        <f t="shared" si="32"/>
        <v>0</v>
      </c>
      <c r="AE267" s="173">
        <f t="shared" si="33"/>
        <v>0</v>
      </c>
      <c r="AF267" s="14" t="str">
        <f t="shared" si="34"/>
        <v/>
      </c>
      <c r="AG267" s="14"/>
      <c r="AH267" s="14"/>
    </row>
    <row r="268" spans="1:34">
      <c r="A268" s="28"/>
      <c r="B268" s="180"/>
      <c r="C268" s="188"/>
      <c r="D268" s="161"/>
      <c r="E268" s="162"/>
      <c r="F268" s="162"/>
      <c r="G268" s="163"/>
      <c r="H268" s="285"/>
      <c r="I268" s="282"/>
      <c r="J268" s="16"/>
      <c r="K268" s="18">
        <f t="shared" si="28"/>
        <v>0</v>
      </c>
      <c r="L268" s="288">
        <v>0</v>
      </c>
      <c r="M268" s="291"/>
      <c r="N268" s="164"/>
      <c r="O268" s="164"/>
      <c r="P268" s="164"/>
      <c r="Q268" s="175">
        <f t="shared" si="29"/>
        <v>0</v>
      </c>
      <c r="R268" s="164"/>
      <c r="S268" s="197">
        <f t="shared" si="30"/>
        <v>0</v>
      </c>
      <c r="T268" s="201" t="str" cm="1">
        <f t="array" ref="T268">IFERROR(IF(F268="甲",IF(K268&gt;3500000,VLOOKUP(3500000,源泉DB!$B$261:$L$261,L268+3)+ROUNDDOWN((K268-3500000)*45.945%,0),IF(AND(K268&gt;2250000,K268&lt;3500000),VLOOKUP(2250000,源泉DB!$B$260:$K$260,L268+3)+ROUNDDOWN((K268-2250000)*40.84%,0),IF(AND(K268&gt;2210000,K268&lt;2250000),VLOOKUP(2210000,源泉DB!$B$259:$K$259,L268+3)+ROUNDDOWN((K268-2210000)*40.84%,0),IF(AND(K268&gt;2170000,K268&lt;2210000),VLOOKUP(2170000,源泉DB!$B$258:$K$258,L268+3)+ROUNDDOWN((K268-2170000)*40.84%,0),IF(AND(K268&gt;1700000,K268&lt;2170000),VLOOKUP(1700000,源泉DB!$B$257:$K$257,L268+3)+ROUNDDOWN((K268-1700000)*40.84%,0),IF(AND(K268&gt;950000,K268&lt;1700000),VLOOKUP(950000,源泉DB!$B$256:$K$256,L268+3)+ROUNDDOWN((K268-950000)*33.693%,0),IF(AND(K268&gt;780000,K268&lt;950000),VLOOKUP(780000,源泉DB!$B$255:$K$255,L268+3)+ROUNDDOWN((K268-780000)*23.483%,0),IF(AND(K268&gt;740000,K268&lt;780000),VLOOKUP(740000,源泉DB!$B$254:$K$254,L268+3)+ROUNDDOWN((K268-740000)*20.42%,0),VLOOKUP(K268,源泉DB!$B$8:$K$299,L268+3))))))))),IF(F268="乙",IF(K268&gt;1700000,651900+(K268-1700000) *45.945%,IF(K268=1700000,651900,IF(AND(K268&gt;740000,K268&lt;1700000),259800+(K268-740000)*40.84%,IF(K268=740000,259800,IF(K268&lt;88000,ROUNDDOWN(K268*3.063%,9),VLOOKUP(K268,源泉DB!$B$8:$L$254,11)))))),"")),"")</f>
        <v/>
      </c>
      <c r="U268" s="165"/>
      <c r="V268" s="166"/>
      <c r="W268" s="166"/>
      <c r="X268" s="166"/>
      <c r="Y268" s="166"/>
      <c r="Z268" s="178">
        <f>ROUND(IFERROR(IF(($G268="加入"),VLOOKUP($I268,年金DB!$G$16:$P$65,6,TRUE),0),0)-0.1,0)</f>
        <v>0</v>
      </c>
      <c r="AA268" s="178">
        <f>ROUND(IFERROR(IF(AND($G268="加入",$D268&gt;=40,$D268&lt;=64),VLOOKUP($I268,年金DB!$G$16:$P$65,10,TRUE),0),0)-0.1,0)</f>
        <v>0</v>
      </c>
      <c r="AB268" s="178">
        <f>ROUND(IFERROR(IF(AND($G268="加入",$D268&lt;40),VLOOKUP($J268,年金DB!$G$16:$X$62,14,TRUE),IF(AND($G268="加入",$D268&gt;=40),VLOOKUP($J268,年金DB!$G$16:$X$62,14,TRUE),"0")),0)-0.1,0)</f>
        <v>0</v>
      </c>
      <c r="AC268" s="178">
        <f t="shared" si="31"/>
        <v>0</v>
      </c>
      <c r="AD268" s="21">
        <f t="shared" si="32"/>
        <v>0</v>
      </c>
      <c r="AE268" s="173">
        <f t="shared" si="33"/>
        <v>0</v>
      </c>
      <c r="AF268" s="14" t="str">
        <f t="shared" si="34"/>
        <v/>
      </c>
      <c r="AG268" s="14"/>
      <c r="AH268" s="14"/>
    </row>
    <row r="269" spans="1:34">
      <c r="A269" s="28"/>
      <c r="B269" s="180"/>
      <c r="C269" s="188"/>
      <c r="D269" s="161"/>
      <c r="E269" s="162"/>
      <c r="F269" s="162"/>
      <c r="G269" s="163"/>
      <c r="H269" s="285"/>
      <c r="I269" s="282"/>
      <c r="J269" s="16"/>
      <c r="K269" s="18">
        <f t="shared" si="28"/>
        <v>0</v>
      </c>
      <c r="L269" s="288">
        <v>0</v>
      </c>
      <c r="M269" s="291"/>
      <c r="N269" s="164"/>
      <c r="O269" s="164"/>
      <c r="P269" s="164"/>
      <c r="Q269" s="175">
        <f t="shared" si="29"/>
        <v>0</v>
      </c>
      <c r="R269" s="164"/>
      <c r="S269" s="197">
        <f t="shared" si="30"/>
        <v>0</v>
      </c>
      <c r="T269" s="201" t="str" cm="1">
        <f t="array" ref="T269">IFERROR(IF(F269="甲",IF(K269&gt;3500000,VLOOKUP(3500000,源泉DB!$B$261:$L$261,L269+3)+ROUNDDOWN((K269-3500000)*45.945%,0),IF(AND(K269&gt;2250000,K269&lt;3500000),VLOOKUP(2250000,源泉DB!$B$260:$K$260,L269+3)+ROUNDDOWN((K269-2250000)*40.84%,0),IF(AND(K269&gt;2210000,K269&lt;2250000),VLOOKUP(2210000,源泉DB!$B$259:$K$259,L269+3)+ROUNDDOWN((K269-2210000)*40.84%,0),IF(AND(K269&gt;2170000,K269&lt;2210000),VLOOKUP(2170000,源泉DB!$B$258:$K$258,L269+3)+ROUNDDOWN((K269-2170000)*40.84%,0),IF(AND(K269&gt;1700000,K269&lt;2170000),VLOOKUP(1700000,源泉DB!$B$257:$K$257,L269+3)+ROUNDDOWN((K269-1700000)*40.84%,0),IF(AND(K269&gt;950000,K269&lt;1700000),VLOOKUP(950000,源泉DB!$B$256:$K$256,L269+3)+ROUNDDOWN((K269-950000)*33.693%,0),IF(AND(K269&gt;780000,K269&lt;950000),VLOOKUP(780000,源泉DB!$B$255:$K$255,L269+3)+ROUNDDOWN((K269-780000)*23.483%,0),IF(AND(K269&gt;740000,K269&lt;780000),VLOOKUP(740000,源泉DB!$B$254:$K$254,L269+3)+ROUNDDOWN((K269-740000)*20.42%,0),VLOOKUP(K269,源泉DB!$B$8:$K$299,L269+3))))))))),IF(F269="乙",IF(K269&gt;1700000,651900+(K269-1700000) *45.945%,IF(K269=1700000,651900,IF(AND(K269&gt;740000,K269&lt;1700000),259800+(K269-740000)*40.84%,IF(K269=740000,259800,IF(K269&lt;88000,ROUNDDOWN(K269*3.063%,9),VLOOKUP(K269,源泉DB!$B$8:$L$254,11)))))),"")),"")</f>
        <v/>
      </c>
      <c r="U269" s="165"/>
      <c r="V269" s="166"/>
      <c r="W269" s="166"/>
      <c r="X269" s="166"/>
      <c r="Y269" s="166"/>
      <c r="Z269" s="178">
        <f>ROUND(IFERROR(IF(($G269="加入"),VLOOKUP($I269,年金DB!$G$16:$P$65,6,TRUE),0),0)-0.1,0)</f>
        <v>0</v>
      </c>
      <c r="AA269" s="178">
        <f>ROUND(IFERROR(IF(AND($G269="加入",$D269&gt;=40,$D269&lt;=64),VLOOKUP($I269,年金DB!$G$16:$P$65,10,TRUE),0),0)-0.1,0)</f>
        <v>0</v>
      </c>
      <c r="AB269" s="178">
        <f>ROUND(IFERROR(IF(AND($G269="加入",$D269&lt;40),VLOOKUP($J269,年金DB!$G$16:$X$62,14,TRUE),IF(AND($G269="加入",$D269&gt;=40),VLOOKUP($J269,年金DB!$G$16:$X$62,14,TRUE),"0")),0)-0.1,0)</f>
        <v>0</v>
      </c>
      <c r="AC269" s="178">
        <f t="shared" si="31"/>
        <v>0</v>
      </c>
      <c r="AD269" s="21">
        <f t="shared" si="32"/>
        <v>0</v>
      </c>
      <c r="AE269" s="173">
        <f t="shared" si="33"/>
        <v>0</v>
      </c>
      <c r="AF269" s="14" t="str">
        <f t="shared" si="34"/>
        <v/>
      </c>
      <c r="AG269" s="14"/>
      <c r="AH269" s="14"/>
    </row>
    <row r="270" spans="1:34">
      <c r="A270" s="28"/>
      <c r="B270" s="180"/>
      <c r="C270" s="188"/>
      <c r="D270" s="161"/>
      <c r="E270" s="162"/>
      <c r="F270" s="162"/>
      <c r="G270" s="163"/>
      <c r="H270" s="285"/>
      <c r="I270" s="282"/>
      <c r="J270" s="16"/>
      <c r="K270" s="18">
        <f t="shared" si="28"/>
        <v>0</v>
      </c>
      <c r="L270" s="288">
        <v>0</v>
      </c>
      <c r="M270" s="291"/>
      <c r="N270" s="164"/>
      <c r="O270" s="164"/>
      <c r="P270" s="164"/>
      <c r="Q270" s="175">
        <f t="shared" si="29"/>
        <v>0</v>
      </c>
      <c r="R270" s="164"/>
      <c r="S270" s="197">
        <f t="shared" si="30"/>
        <v>0</v>
      </c>
      <c r="T270" s="201" t="str" cm="1">
        <f t="array" ref="T270">IFERROR(IF(F270="甲",IF(K270&gt;3500000,VLOOKUP(3500000,源泉DB!$B$261:$L$261,L270+3)+ROUNDDOWN((K270-3500000)*45.945%,0),IF(AND(K270&gt;2250000,K270&lt;3500000),VLOOKUP(2250000,源泉DB!$B$260:$K$260,L270+3)+ROUNDDOWN((K270-2250000)*40.84%,0),IF(AND(K270&gt;2210000,K270&lt;2250000),VLOOKUP(2210000,源泉DB!$B$259:$K$259,L270+3)+ROUNDDOWN((K270-2210000)*40.84%,0),IF(AND(K270&gt;2170000,K270&lt;2210000),VLOOKUP(2170000,源泉DB!$B$258:$K$258,L270+3)+ROUNDDOWN((K270-2170000)*40.84%,0),IF(AND(K270&gt;1700000,K270&lt;2170000),VLOOKUP(1700000,源泉DB!$B$257:$K$257,L270+3)+ROUNDDOWN((K270-1700000)*40.84%,0),IF(AND(K270&gt;950000,K270&lt;1700000),VLOOKUP(950000,源泉DB!$B$256:$K$256,L270+3)+ROUNDDOWN((K270-950000)*33.693%,0),IF(AND(K270&gt;780000,K270&lt;950000),VLOOKUP(780000,源泉DB!$B$255:$K$255,L270+3)+ROUNDDOWN((K270-780000)*23.483%,0),IF(AND(K270&gt;740000,K270&lt;780000),VLOOKUP(740000,源泉DB!$B$254:$K$254,L270+3)+ROUNDDOWN((K270-740000)*20.42%,0),VLOOKUP(K270,源泉DB!$B$8:$K$299,L270+3))))))))),IF(F270="乙",IF(K270&gt;1700000,651900+(K270-1700000) *45.945%,IF(K270=1700000,651900,IF(AND(K270&gt;740000,K270&lt;1700000),259800+(K270-740000)*40.84%,IF(K270=740000,259800,IF(K270&lt;88000,ROUNDDOWN(K270*3.063%,9),VLOOKUP(K270,源泉DB!$B$8:$L$254,11)))))),"")),"")</f>
        <v/>
      </c>
      <c r="U270" s="165"/>
      <c r="V270" s="166"/>
      <c r="W270" s="166"/>
      <c r="X270" s="166"/>
      <c r="Y270" s="166"/>
      <c r="Z270" s="178">
        <f>ROUND(IFERROR(IF(($G270="加入"),VLOOKUP($I270,年金DB!$G$16:$P$65,6,TRUE),0),0)-0.1,0)</f>
        <v>0</v>
      </c>
      <c r="AA270" s="178">
        <f>ROUND(IFERROR(IF(AND($G270="加入",$D270&gt;=40,$D270&lt;=64),VLOOKUP($I270,年金DB!$G$16:$P$65,10,TRUE),0),0)-0.1,0)</f>
        <v>0</v>
      </c>
      <c r="AB270" s="178">
        <f>ROUND(IFERROR(IF(AND($G270="加入",$D270&lt;40),VLOOKUP($J270,年金DB!$G$16:$X$62,14,TRUE),IF(AND($G270="加入",$D270&gt;=40),VLOOKUP($J270,年金DB!$G$16:$X$62,14,TRUE),"0")),0)-0.1,0)</f>
        <v>0</v>
      </c>
      <c r="AC270" s="178">
        <f t="shared" si="31"/>
        <v>0</v>
      </c>
      <c r="AD270" s="21">
        <f t="shared" si="32"/>
        <v>0</v>
      </c>
      <c r="AE270" s="173">
        <f t="shared" si="33"/>
        <v>0</v>
      </c>
      <c r="AF270" s="14" t="str">
        <f t="shared" si="34"/>
        <v/>
      </c>
      <c r="AG270" s="14"/>
      <c r="AH270" s="14"/>
    </row>
    <row r="271" spans="1:34">
      <c r="A271" s="28"/>
      <c r="B271" s="180"/>
      <c r="C271" s="188"/>
      <c r="D271" s="161"/>
      <c r="E271" s="162"/>
      <c r="F271" s="162"/>
      <c r="G271" s="163"/>
      <c r="H271" s="285"/>
      <c r="I271" s="282"/>
      <c r="J271" s="16"/>
      <c r="K271" s="18">
        <f t="shared" si="28"/>
        <v>0</v>
      </c>
      <c r="L271" s="288">
        <v>0</v>
      </c>
      <c r="M271" s="291"/>
      <c r="N271" s="164"/>
      <c r="O271" s="164"/>
      <c r="P271" s="164"/>
      <c r="Q271" s="175">
        <f t="shared" si="29"/>
        <v>0</v>
      </c>
      <c r="R271" s="164"/>
      <c r="S271" s="197">
        <f t="shared" si="30"/>
        <v>0</v>
      </c>
      <c r="T271" s="201" t="str" cm="1">
        <f t="array" ref="T271">IFERROR(IF(F271="甲",IF(K271&gt;3500000,VLOOKUP(3500000,源泉DB!$B$261:$L$261,L271+3)+ROUNDDOWN((K271-3500000)*45.945%,0),IF(AND(K271&gt;2250000,K271&lt;3500000),VLOOKUP(2250000,源泉DB!$B$260:$K$260,L271+3)+ROUNDDOWN((K271-2250000)*40.84%,0),IF(AND(K271&gt;2210000,K271&lt;2250000),VLOOKUP(2210000,源泉DB!$B$259:$K$259,L271+3)+ROUNDDOWN((K271-2210000)*40.84%,0),IF(AND(K271&gt;2170000,K271&lt;2210000),VLOOKUP(2170000,源泉DB!$B$258:$K$258,L271+3)+ROUNDDOWN((K271-2170000)*40.84%,0),IF(AND(K271&gt;1700000,K271&lt;2170000),VLOOKUP(1700000,源泉DB!$B$257:$K$257,L271+3)+ROUNDDOWN((K271-1700000)*40.84%,0),IF(AND(K271&gt;950000,K271&lt;1700000),VLOOKUP(950000,源泉DB!$B$256:$K$256,L271+3)+ROUNDDOWN((K271-950000)*33.693%,0),IF(AND(K271&gt;780000,K271&lt;950000),VLOOKUP(780000,源泉DB!$B$255:$K$255,L271+3)+ROUNDDOWN((K271-780000)*23.483%,0),IF(AND(K271&gt;740000,K271&lt;780000),VLOOKUP(740000,源泉DB!$B$254:$K$254,L271+3)+ROUNDDOWN((K271-740000)*20.42%,0),VLOOKUP(K271,源泉DB!$B$8:$K$299,L271+3))))))))),IF(F271="乙",IF(K271&gt;1700000,651900+(K271-1700000) *45.945%,IF(K271=1700000,651900,IF(AND(K271&gt;740000,K271&lt;1700000),259800+(K271-740000)*40.84%,IF(K271=740000,259800,IF(K271&lt;88000,ROUNDDOWN(K271*3.063%,9),VLOOKUP(K271,源泉DB!$B$8:$L$254,11)))))),"")),"")</f>
        <v/>
      </c>
      <c r="U271" s="165"/>
      <c r="V271" s="166"/>
      <c r="W271" s="166"/>
      <c r="X271" s="166"/>
      <c r="Y271" s="166"/>
      <c r="Z271" s="178">
        <f>ROUND(IFERROR(IF(($G271="加入"),VLOOKUP($I271,年金DB!$G$16:$P$65,6,TRUE),0),0)-0.1,0)</f>
        <v>0</v>
      </c>
      <c r="AA271" s="178">
        <f>ROUND(IFERROR(IF(AND($G271="加入",$D271&gt;=40,$D271&lt;=64),VLOOKUP($I271,年金DB!$G$16:$P$65,10,TRUE),0),0)-0.1,0)</f>
        <v>0</v>
      </c>
      <c r="AB271" s="178">
        <f>ROUND(IFERROR(IF(AND($G271="加入",$D271&lt;40),VLOOKUP($J271,年金DB!$G$16:$X$62,14,TRUE),IF(AND($G271="加入",$D271&gt;=40),VLOOKUP($J271,年金DB!$G$16:$X$62,14,TRUE),"0")),0)-0.1,0)</f>
        <v>0</v>
      </c>
      <c r="AC271" s="178">
        <f t="shared" si="31"/>
        <v>0</v>
      </c>
      <c r="AD271" s="21">
        <f t="shared" si="32"/>
        <v>0</v>
      </c>
      <c r="AE271" s="173">
        <f t="shared" si="33"/>
        <v>0</v>
      </c>
      <c r="AF271" s="14" t="str">
        <f t="shared" si="34"/>
        <v/>
      </c>
      <c r="AG271" s="14"/>
      <c r="AH271" s="14"/>
    </row>
    <row r="272" spans="1:34">
      <c r="A272" s="28"/>
      <c r="B272" s="180"/>
      <c r="C272" s="188"/>
      <c r="D272" s="161"/>
      <c r="E272" s="162"/>
      <c r="F272" s="162"/>
      <c r="G272" s="163"/>
      <c r="H272" s="285"/>
      <c r="I272" s="282"/>
      <c r="J272" s="16"/>
      <c r="K272" s="18">
        <f t="shared" si="28"/>
        <v>0</v>
      </c>
      <c r="L272" s="288">
        <v>0</v>
      </c>
      <c r="M272" s="291"/>
      <c r="N272" s="164"/>
      <c r="O272" s="164"/>
      <c r="P272" s="164"/>
      <c r="Q272" s="175">
        <f t="shared" si="29"/>
        <v>0</v>
      </c>
      <c r="R272" s="164"/>
      <c r="S272" s="197">
        <f t="shared" si="30"/>
        <v>0</v>
      </c>
      <c r="T272" s="201" t="str" cm="1">
        <f t="array" ref="T272">IFERROR(IF(F272="甲",IF(K272&gt;3500000,VLOOKUP(3500000,源泉DB!$B$261:$L$261,L272+3)+ROUNDDOWN((K272-3500000)*45.945%,0),IF(AND(K272&gt;2250000,K272&lt;3500000),VLOOKUP(2250000,源泉DB!$B$260:$K$260,L272+3)+ROUNDDOWN((K272-2250000)*40.84%,0),IF(AND(K272&gt;2210000,K272&lt;2250000),VLOOKUP(2210000,源泉DB!$B$259:$K$259,L272+3)+ROUNDDOWN((K272-2210000)*40.84%,0),IF(AND(K272&gt;2170000,K272&lt;2210000),VLOOKUP(2170000,源泉DB!$B$258:$K$258,L272+3)+ROUNDDOWN((K272-2170000)*40.84%,0),IF(AND(K272&gt;1700000,K272&lt;2170000),VLOOKUP(1700000,源泉DB!$B$257:$K$257,L272+3)+ROUNDDOWN((K272-1700000)*40.84%,0),IF(AND(K272&gt;950000,K272&lt;1700000),VLOOKUP(950000,源泉DB!$B$256:$K$256,L272+3)+ROUNDDOWN((K272-950000)*33.693%,0),IF(AND(K272&gt;780000,K272&lt;950000),VLOOKUP(780000,源泉DB!$B$255:$K$255,L272+3)+ROUNDDOWN((K272-780000)*23.483%,0),IF(AND(K272&gt;740000,K272&lt;780000),VLOOKUP(740000,源泉DB!$B$254:$K$254,L272+3)+ROUNDDOWN((K272-740000)*20.42%,0),VLOOKUP(K272,源泉DB!$B$8:$K$299,L272+3))))))))),IF(F272="乙",IF(K272&gt;1700000,651900+(K272-1700000) *45.945%,IF(K272=1700000,651900,IF(AND(K272&gt;740000,K272&lt;1700000),259800+(K272-740000)*40.84%,IF(K272=740000,259800,IF(K272&lt;88000,ROUNDDOWN(K272*3.063%,9),VLOOKUP(K272,源泉DB!$B$8:$L$254,11)))))),"")),"")</f>
        <v/>
      </c>
      <c r="U272" s="165"/>
      <c r="V272" s="166"/>
      <c r="W272" s="166"/>
      <c r="X272" s="166"/>
      <c r="Y272" s="166"/>
      <c r="Z272" s="178">
        <f>ROUND(IFERROR(IF(($G272="加入"),VLOOKUP($I272,年金DB!$G$16:$P$65,6,TRUE),0),0)-0.1,0)</f>
        <v>0</v>
      </c>
      <c r="AA272" s="178">
        <f>ROUND(IFERROR(IF(AND($G272="加入",$D272&gt;=40,$D272&lt;=64),VLOOKUP($I272,年金DB!$G$16:$P$65,10,TRUE),0),0)-0.1,0)</f>
        <v>0</v>
      </c>
      <c r="AB272" s="178">
        <f>ROUND(IFERROR(IF(AND($G272="加入",$D272&lt;40),VLOOKUP($J272,年金DB!$G$16:$X$62,14,TRUE),IF(AND($G272="加入",$D272&gt;=40),VLOOKUP($J272,年金DB!$G$16:$X$62,14,TRUE),"0")),0)-0.1,0)</f>
        <v>0</v>
      </c>
      <c r="AC272" s="178">
        <f t="shared" si="31"/>
        <v>0</v>
      </c>
      <c r="AD272" s="21">
        <f t="shared" si="32"/>
        <v>0</v>
      </c>
      <c r="AE272" s="173">
        <f t="shared" si="33"/>
        <v>0</v>
      </c>
      <c r="AF272" s="14" t="str">
        <f t="shared" si="34"/>
        <v/>
      </c>
      <c r="AG272" s="14"/>
      <c r="AH272" s="14"/>
    </row>
    <row r="273" spans="1:34">
      <c r="A273" s="28"/>
      <c r="B273" s="180"/>
      <c r="C273" s="188"/>
      <c r="D273" s="161"/>
      <c r="E273" s="162"/>
      <c r="F273" s="162"/>
      <c r="G273" s="163"/>
      <c r="H273" s="285"/>
      <c r="I273" s="282"/>
      <c r="J273" s="16"/>
      <c r="K273" s="18">
        <f t="shared" si="28"/>
        <v>0</v>
      </c>
      <c r="L273" s="288">
        <v>0</v>
      </c>
      <c r="M273" s="291"/>
      <c r="N273" s="164"/>
      <c r="O273" s="164"/>
      <c r="P273" s="164"/>
      <c r="Q273" s="175">
        <f t="shared" si="29"/>
        <v>0</v>
      </c>
      <c r="R273" s="164"/>
      <c r="S273" s="197">
        <f t="shared" si="30"/>
        <v>0</v>
      </c>
      <c r="T273" s="201" t="str" cm="1">
        <f t="array" ref="T273">IFERROR(IF(F273="甲",IF(K273&gt;3500000,VLOOKUP(3500000,源泉DB!$B$261:$L$261,L273+3)+ROUNDDOWN((K273-3500000)*45.945%,0),IF(AND(K273&gt;2250000,K273&lt;3500000),VLOOKUP(2250000,源泉DB!$B$260:$K$260,L273+3)+ROUNDDOWN((K273-2250000)*40.84%,0),IF(AND(K273&gt;2210000,K273&lt;2250000),VLOOKUP(2210000,源泉DB!$B$259:$K$259,L273+3)+ROUNDDOWN((K273-2210000)*40.84%,0),IF(AND(K273&gt;2170000,K273&lt;2210000),VLOOKUP(2170000,源泉DB!$B$258:$K$258,L273+3)+ROUNDDOWN((K273-2170000)*40.84%,0),IF(AND(K273&gt;1700000,K273&lt;2170000),VLOOKUP(1700000,源泉DB!$B$257:$K$257,L273+3)+ROUNDDOWN((K273-1700000)*40.84%,0),IF(AND(K273&gt;950000,K273&lt;1700000),VLOOKUP(950000,源泉DB!$B$256:$K$256,L273+3)+ROUNDDOWN((K273-950000)*33.693%,0),IF(AND(K273&gt;780000,K273&lt;950000),VLOOKUP(780000,源泉DB!$B$255:$K$255,L273+3)+ROUNDDOWN((K273-780000)*23.483%,0),IF(AND(K273&gt;740000,K273&lt;780000),VLOOKUP(740000,源泉DB!$B$254:$K$254,L273+3)+ROUNDDOWN((K273-740000)*20.42%,0),VLOOKUP(K273,源泉DB!$B$8:$K$299,L273+3))))))))),IF(F273="乙",IF(K273&gt;1700000,651900+(K273-1700000) *45.945%,IF(K273=1700000,651900,IF(AND(K273&gt;740000,K273&lt;1700000),259800+(K273-740000)*40.84%,IF(K273=740000,259800,IF(K273&lt;88000,ROUNDDOWN(K273*3.063%,9),VLOOKUP(K273,源泉DB!$B$8:$L$254,11)))))),"")),"")</f>
        <v/>
      </c>
      <c r="U273" s="165"/>
      <c r="V273" s="166"/>
      <c r="W273" s="166"/>
      <c r="X273" s="166"/>
      <c r="Y273" s="166"/>
      <c r="Z273" s="178">
        <f>ROUND(IFERROR(IF(($G273="加入"),VLOOKUP($I273,年金DB!$G$16:$P$65,6,TRUE),0),0)-0.1,0)</f>
        <v>0</v>
      </c>
      <c r="AA273" s="178">
        <f>ROUND(IFERROR(IF(AND($G273="加入",$D273&gt;=40,$D273&lt;=64),VLOOKUP($I273,年金DB!$G$16:$P$65,10,TRUE),0),0)-0.1,0)</f>
        <v>0</v>
      </c>
      <c r="AB273" s="178">
        <f>ROUND(IFERROR(IF(AND($G273="加入",$D273&lt;40),VLOOKUP($J273,年金DB!$G$16:$X$62,14,TRUE),IF(AND($G273="加入",$D273&gt;=40),VLOOKUP($J273,年金DB!$G$16:$X$62,14,TRUE),"0")),0)-0.1,0)</f>
        <v>0</v>
      </c>
      <c r="AC273" s="178">
        <f t="shared" si="31"/>
        <v>0</v>
      </c>
      <c r="AD273" s="21">
        <f t="shared" si="32"/>
        <v>0</v>
      </c>
      <c r="AE273" s="173">
        <f t="shared" si="33"/>
        <v>0</v>
      </c>
      <c r="AF273" s="14" t="str">
        <f t="shared" si="34"/>
        <v/>
      </c>
      <c r="AG273" s="14"/>
      <c r="AH273" s="14"/>
    </row>
    <row r="274" spans="1:34">
      <c r="A274" s="28"/>
      <c r="B274" s="180"/>
      <c r="C274" s="188"/>
      <c r="D274" s="161"/>
      <c r="E274" s="162"/>
      <c r="F274" s="162"/>
      <c r="G274" s="163"/>
      <c r="H274" s="285"/>
      <c r="I274" s="282"/>
      <c r="J274" s="16"/>
      <c r="K274" s="18">
        <f t="shared" si="28"/>
        <v>0</v>
      </c>
      <c r="L274" s="288">
        <v>0</v>
      </c>
      <c r="M274" s="291"/>
      <c r="N274" s="164"/>
      <c r="O274" s="164"/>
      <c r="P274" s="164"/>
      <c r="Q274" s="175">
        <f t="shared" si="29"/>
        <v>0</v>
      </c>
      <c r="R274" s="164"/>
      <c r="S274" s="197">
        <f t="shared" si="30"/>
        <v>0</v>
      </c>
      <c r="T274" s="201" t="str" cm="1">
        <f t="array" ref="T274">IFERROR(IF(F274="甲",IF(K274&gt;3500000,VLOOKUP(3500000,源泉DB!$B$261:$L$261,L274+3)+ROUNDDOWN((K274-3500000)*45.945%,0),IF(AND(K274&gt;2250000,K274&lt;3500000),VLOOKUP(2250000,源泉DB!$B$260:$K$260,L274+3)+ROUNDDOWN((K274-2250000)*40.84%,0),IF(AND(K274&gt;2210000,K274&lt;2250000),VLOOKUP(2210000,源泉DB!$B$259:$K$259,L274+3)+ROUNDDOWN((K274-2210000)*40.84%,0),IF(AND(K274&gt;2170000,K274&lt;2210000),VLOOKUP(2170000,源泉DB!$B$258:$K$258,L274+3)+ROUNDDOWN((K274-2170000)*40.84%,0),IF(AND(K274&gt;1700000,K274&lt;2170000),VLOOKUP(1700000,源泉DB!$B$257:$K$257,L274+3)+ROUNDDOWN((K274-1700000)*40.84%,0),IF(AND(K274&gt;950000,K274&lt;1700000),VLOOKUP(950000,源泉DB!$B$256:$K$256,L274+3)+ROUNDDOWN((K274-950000)*33.693%,0),IF(AND(K274&gt;780000,K274&lt;950000),VLOOKUP(780000,源泉DB!$B$255:$K$255,L274+3)+ROUNDDOWN((K274-780000)*23.483%,0),IF(AND(K274&gt;740000,K274&lt;780000),VLOOKUP(740000,源泉DB!$B$254:$K$254,L274+3)+ROUNDDOWN((K274-740000)*20.42%,0),VLOOKUP(K274,源泉DB!$B$8:$K$299,L274+3))))))))),IF(F274="乙",IF(K274&gt;1700000,651900+(K274-1700000) *45.945%,IF(K274=1700000,651900,IF(AND(K274&gt;740000,K274&lt;1700000),259800+(K274-740000)*40.84%,IF(K274=740000,259800,IF(K274&lt;88000,ROUNDDOWN(K274*3.063%,9),VLOOKUP(K274,源泉DB!$B$8:$L$254,11)))))),"")),"")</f>
        <v/>
      </c>
      <c r="U274" s="165"/>
      <c r="V274" s="166"/>
      <c r="W274" s="166"/>
      <c r="X274" s="166"/>
      <c r="Y274" s="166"/>
      <c r="Z274" s="178">
        <f>ROUND(IFERROR(IF(($G274="加入"),VLOOKUP($I274,年金DB!$G$16:$P$65,6,TRUE),0),0)-0.1,0)</f>
        <v>0</v>
      </c>
      <c r="AA274" s="178">
        <f>ROUND(IFERROR(IF(AND($G274="加入",$D274&gt;=40,$D274&lt;=64),VLOOKUP($I274,年金DB!$G$16:$P$65,10,TRUE),0),0)-0.1,0)</f>
        <v>0</v>
      </c>
      <c r="AB274" s="178">
        <f>ROUND(IFERROR(IF(AND($G274="加入",$D274&lt;40),VLOOKUP($J274,年金DB!$G$16:$X$62,14,TRUE),IF(AND($G274="加入",$D274&gt;=40),VLOOKUP($J274,年金DB!$G$16:$X$62,14,TRUE),"0")),0)-0.1,0)</f>
        <v>0</v>
      </c>
      <c r="AC274" s="178">
        <f t="shared" si="31"/>
        <v>0</v>
      </c>
      <c r="AD274" s="21">
        <f t="shared" si="32"/>
        <v>0</v>
      </c>
      <c r="AE274" s="173">
        <f t="shared" si="33"/>
        <v>0</v>
      </c>
      <c r="AF274" s="14" t="str">
        <f t="shared" si="34"/>
        <v/>
      </c>
      <c r="AG274" s="14"/>
      <c r="AH274" s="14"/>
    </row>
    <row r="275" spans="1:34">
      <c r="A275" s="28"/>
      <c r="B275" s="180"/>
      <c r="C275" s="188"/>
      <c r="D275" s="161"/>
      <c r="E275" s="162"/>
      <c r="F275" s="162"/>
      <c r="G275" s="163"/>
      <c r="H275" s="285"/>
      <c r="I275" s="282"/>
      <c r="J275" s="16"/>
      <c r="K275" s="18">
        <f t="shared" si="28"/>
        <v>0</v>
      </c>
      <c r="L275" s="288">
        <v>0</v>
      </c>
      <c r="M275" s="291"/>
      <c r="N275" s="164"/>
      <c r="O275" s="164"/>
      <c r="P275" s="164"/>
      <c r="Q275" s="175">
        <f t="shared" si="29"/>
        <v>0</v>
      </c>
      <c r="R275" s="164"/>
      <c r="S275" s="197">
        <f t="shared" si="30"/>
        <v>0</v>
      </c>
      <c r="T275" s="201" t="str" cm="1">
        <f t="array" ref="T275">IFERROR(IF(F275="甲",IF(K275&gt;3500000,VLOOKUP(3500000,源泉DB!$B$261:$L$261,L275+3)+ROUNDDOWN((K275-3500000)*45.945%,0),IF(AND(K275&gt;2250000,K275&lt;3500000),VLOOKUP(2250000,源泉DB!$B$260:$K$260,L275+3)+ROUNDDOWN((K275-2250000)*40.84%,0),IF(AND(K275&gt;2210000,K275&lt;2250000),VLOOKUP(2210000,源泉DB!$B$259:$K$259,L275+3)+ROUNDDOWN((K275-2210000)*40.84%,0),IF(AND(K275&gt;2170000,K275&lt;2210000),VLOOKUP(2170000,源泉DB!$B$258:$K$258,L275+3)+ROUNDDOWN((K275-2170000)*40.84%,0),IF(AND(K275&gt;1700000,K275&lt;2170000),VLOOKUP(1700000,源泉DB!$B$257:$K$257,L275+3)+ROUNDDOWN((K275-1700000)*40.84%,0),IF(AND(K275&gt;950000,K275&lt;1700000),VLOOKUP(950000,源泉DB!$B$256:$K$256,L275+3)+ROUNDDOWN((K275-950000)*33.693%,0),IF(AND(K275&gt;780000,K275&lt;950000),VLOOKUP(780000,源泉DB!$B$255:$K$255,L275+3)+ROUNDDOWN((K275-780000)*23.483%,0),IF(AND(K275&gt;740000,K275&lt;780000),VLOOKUP(740000,源泉DB!$B$254:$K$254,L275+3)+ROUNDDOWN((K275-740000)*20.42%,0),VLOOKUP(K275,源泉DB!$B$8:$K$299,L275+3))))))))),IF(F275="乙",IF(K275&gt;1700000,651900+(K275-1700000) *45.945%,IF(K275=1700000,651900,IF(AND(K275&gt;740000,K275&lt;1700000),259800+(K275-740000)*40.84%,IF(K275=740000,259800,IF(K275&lt;88000,ROUNDDOWN(K275*3.063%,9),VLOOKUP(K275,源泉DB!$B$8:$L$254,11)))))),"")),"")</f>
        <v/>
      </c>
      <c r="U275" s="165"/>
      <c r="V275" s="166"/>
      <c r="W275" s="166"/>
      <c r="X275" s="166"/>
      <c r="Y275" s="166"/>
      <c r="Z275" s="178">
        <f>ROUND(IFERROR(IF(($G275="加入"),VLOOKUP($I275,年金DB!$G$16:$P$65,6,TRUE),0),0)-0.1,0)</f>
        <v>0</v>
      </c>
      <c r="AA275" s="178">
        <f>ROUND(IFERROR(IF(AND($G275="加入",$D275&gt;=40,$D275&lt;=64),VLOOKUP($I275,年金DB!$G$16:$P$65,10,TRUE),0),0)-0.1,0)</f>
        <v>0</v>
      </c>
      <c r="AB275" s="178">
        <f>ROUND(IFERROR(IF(AND($G275="加入",$D275&lt;40),VLOOKUP($J275,年金DB!$G$16:$X$62,14,TRUE),IF(AND($G275="加入",$D275&gt;=40),VLOOKUP($J275,年金DB!$G$16:$X$62,14,TRUE),"0")),0)-0.1,0)</f>
        <v>0</v>
      </c>
      <c r="AC275" s="178">
        <f t="shared" si="31"/>
        <v>0</v>
      </c>
      <c r="AD275" s="21">
        <f t="shared" si="32"/>
        <v>0</v>
      </c>
      <c r="AE275" s="173">
        <f t="shared" si="33"/>
        <v>0</v>
      </c>
      <c r="AF275" s="14" t="str">
        <f t="shared" si="34"/>
        <v/>
      </c>
      <c r="AG275" s="14"/>
      <c r="AH275" s="14"/>
    </row>
    <row r="276" spans="1:34">
      <c r="A276" s="28"/>
      <c r="B276" s="180"/>
      <c r="C276" s="188"/>
      <c r="D276" s="161"/>
      <c r="E276" s="162"/>
      <c r="F276" s="162"/>
      <c r="G276" s="163"/>
      <c r="H276" s="285"/>
      <c r="I276" s="282"/>
      <c r="J276" s="16"/>
      <c r="K276" s="18">
        <f t="shared" si="28"/>
        <v>0</v>
      </c>
      <c r="L276" s="288">
        <v>0</v>
      </c>
      <c r="M276" s="291"/>
      <c r="N276" s="164"/>
      <c r="O276" s="164"/>
      <c r="P276" s="164"/>
      <c r="Q276" s="175">
        <f t="shared" si="29"/>
        <v>0</v>
      </c>
      <c r="R276" s="164"/>
      <c r="S276" s="197">
        <f t="shared" si="30"/>
        <v>0</v>
      </c>
      <c r="T276" s="201" t="str" cm="1">
        <f t="array" ref="T276">IFERROR(IF(F276="甲",IF(K276&gt;3500000,VLOOKUP(3500000,源泉DB!$B$261:$L$261,L276+3)+ROUNDDOWN((K276-3500000)*45.945%,0),IF(AND(K276&gt;2250000,K276&lt;3500000),VLOOKUP(2250000,源泉DB!$B$260:$K$260,L276+3)+ROUNDDOWN((K276-2250000)*40.84%,0),IF(AND(K276&gt;2210000,K276&lt;2250000),VLOOKUP(2210000,源泉DB!$B$259:$K$259,L276+3)+ROUNDDOWN((K276-2210000)*40.84%,0),IF(AND(K276&gt;2170000,K276&lt;2210000),VLOOKUP(2170000,源泉DB!$B$258:$K$258,L276+3)+ROUNDDOWN((K276-2170000)*40.84%,0),IF(AND(K276&gt;1700000,K276&lt;2170000),VLOOKUP(1700000,源泉DB!$B$257:$K$257,L276+3)+ROUNDDOWN((K276-1700000)*40.84%,0),IF(AND(K276&gt;950000,K276&lt;1700000),VLOOKUP(950000,源泉DB!$B$256:$K$256,L276+3)+ROUNDDOWN((K276-950000)*33.693%,0),IF(AND(K276&gt;780000,K276&lt;950000),VLOOKUP(780000,源泉DB!$B$255:$K$255,L276+3)+ROUNDDOWN((K276-780000)*23.483%,0),IF(AND(K276&gt;740000,K276&lt;780000),VLOOKUP(740000,源泉DB!$B$254:$K$254,L276+3)+ROUNDDOWN((K276-740000)*20.42%,0),VLOOKUP(K276,源泉DB!$B$8:$K$299,L276+3))))))))),IF(F276="乙",IF(K276&gt;1700000,651900+(K276-1700000) *45.945%,IF(K276=1700000,651900,IF(AND(K276&gt;740000,K276&lt;1700000),259800+(K276-740000)*40.84%,IF(K276=740000,259800,IF(K276&lt;88000,ROUNDDOWN(K276*3.063%,9),VLOOKUP(K276,源泉DB!$B$8:$L$254,11)))))),"")),"")</f>
        <v/>
      </c>
      <c r="U276" s="165"/>
      <c r="V276" s="166"/>
      <c r="W276" s="166"/>
      <c r="X276" s="166"/>
      <c r="Y276" s="166"/>
      <c r="Z276" s="178">
        <f>ROUND(IFERROR(IF(($G276="加入"),VLOOKUP($I276,年金DB!$G$16:$P$65,6,TRUE),0),0)-0.1,0)</f>
        <v>0</v>
      </c>
      <c r="AA276" s="178">
        <f>ROUND(IFERROR(IF(AND($G276="加入",$D276&gt;=40,$D276&lt;=64),VLOOKUP($I276,年金DB!$G$16:$P$65,10,TRUE),0),0)-0.1,0)</f>
        <v>0</v>
      </c>
      <c r="AB276" s="178">
        <f>ROUND(IFERROR(IF(AND($G276="加入",$D276&lt;40),VLOOKUP($J276,年金DB!$G$16:$X$62,14,TRUE),IF(AND($G276="加入",$D276&gt;=40),VLOOKUP($J276,年金DB!$G$16:$X$62,14,TRUE),"0")),0)-0.1,0)</f>
        <v>0</v>
      </c>
      <c r="AC276" s="178">
        <f t="shared" si="31"/>
        <v>0</v>
      </c>
      <c r="AD276" s="21">
        <f t="shared" si="32"/>
        <v>0</v>
      </c>
      <c r="AE276" s="173">
        <f t="shared" si="33"/>
        <v>0</v>
      </c>
      <c r="AF276" s="14" t="str">
        <f t="shared" si="34"/>
        <v/>
      </c>
      <c r="AG276" s="14"/>
      <c r="AH276" s="14"/>
    </row>
    <row r="277" spans="1:34">
      <c r="A277" s="28"/>
      <c r="B277" s="180"/>
      <c r="C277" s="188"/>
      <c r="D277" s="161"/>
      <c r="E277" s="162"/>
      <c r="F277" s="162"/>
      <c r="G277" s="163"/>
      <c r="H277" s="285"/>
      <c r="I277" s="282"/>
      <c r="J277" s="16"/>
      <c r="K277" s="18">
        <f t="shared" si="28"/>
        <v>0</v>
      </c>
      <c r="L277" s="288">
        <v>0</v>
      </c>
      <c r="M277" s="291"/>
      <c r="N277" s="164"/>
      <c r="O277" s="164"/>
      <c r="P277" s="164"/>
      <c r="Q277" s="175">
        <f t="shared" si="29"/>
        <v>0</v>
      </c>
      <c r="R277" s="164"/>
      <c r="S277" s="197">
        <f t="shared" si="30"/>
        <v>0</v>
      </c>
      <c r="T277" s="201" t="str" cm="1">
        <f t="array" ref="T277">IFERROR(IF(F277="甲",IF(K277&gt;3500000,VLOOKUP(3500000,源泉DB!$B$261:$L$261,L277+3)+ROUNDDOWN((K277-3500000)*45.945%,0),IF(AND(K277&gt;2250000,K277&lt;3500000),VLOOKUP(2250000,源泉DB!$B$260:$K$260,L277+3)+ROUNDDOWN((K277-2250000)*40.84%,0),IF(AND(K277&gt;2210000,K277&lt;2250000),VLOOKUP(2210000,源泉DB!$B$259:$K$259,L277+3)+ROUNDDOWN((K277-2210000)*40.84%,0),IF(AND(K277&gt;2170000,K277&lt;2210000),VLOOKUP(2170000,源泉DB!$B$258:$K$258,L277+3)+ROUNDDOWN((K277-2170000)*40.84%,0),IF(AND(K277&gt;1700000,K277&lt;2170000),VLOOKUP(1700000,源泉DB!$B$257:$K$257,L277+3)+ROUNDDOWN((K277-1700000)*40.84%,0),IF(AND(K277&gt;950000,K277&lt;1700000),VLOOKUP(950000,源泉DB!$B$256:$K$256,L277+3)+ROUNDDOWN((K277-950000)*33.693%,0),IF(AND(K277&gt;780000,K277&lt;950000),VLOOKUP(780000,源泉DB!$B$255:$K$255,L277+3)+ROUNDDOWN((K277-780000)*23.483%,0),IF(AND(K277&gt;740000,K277&lt;780000),VLOOKUP(740000,源泉DB!$B$254:$K$254,L277+3)+ROUNDDOWN((K277-740000)*20.42%,0),VLOOKUP(K277,源泉DB!$B$8:$K$299,L277+3))))))))),IF(F277="乙",IF(K277&gt;1700000,651900+(K277-1700000) *45.945%,IF(K277=1700000,651900,IF(AND(K277&gt;740000,K277&lt;1700000),259800+(K277-740000)*40.84%,IF(K277=740000,259800,IF(K277&lt;88000,ROUNDDOWN(K277*3.063%,9),VLOOKUP(K277,源泉DB!$B$8:$L$254,11)))))),"")),"")</f>
        <v/>
      </c>
      <c r="U277" s="165"/>
      <c r="V277" s="166"/>
      <c r="W277" s="166"/>
      <c r="X277" s="166"/>
      <c r="Y277" s="166"/>
      <c r="Z277" s="178">
        <f>ROUND(IFERROR(IF(($G277="加入"),VLOOKUP($I277,年金DB!$G$16:$P$65,6,TRUE),0),0)-0.1,0)</f>
        <v>0</v>
      </c>
      <c r="AA277" s="178">
        <f>ROUND(IFERROR(IF(AND($G277="加入",$D277&gt;=40,$D277&lt;=64),VLOOKUP($I277,年金DB!$G$16:$P$65,10,TRUE),0),0)-0.1,0)</f>
        <v>0</v>
      </c>
      <c r="AB277" s="178">
        <f>ROUND(IFERROR(IF(AND($G277="加入",$D277&lt;40),VLOOKUP($J277,年金DB!$G$16:$X$62,14,TRUE),IF(AND($G277="加入",$D277&gt;=40),VLOOKUP($J277,年金DB!$G$16:$X$62,14,TRUE),"0")),0)-0.1,0)</f>
        <v>0</v>
      </c>
      <c r="AC277" s="178">
        <f t="shared" si="31"/>
        <v>0</v>
      </c>
      <c r="AD277" s="21">
        <f t="shared" si="32"/>
        <v>0</v>
      </c>
      <c r="AE277" s="173">
        <f t="shared" si="33"/>
        <v>0</v>
      </c>
      <c r="AF277" s="14" t="str">
        <f t="shared" si="34"/>
        <v/>
      </c>
      <c r="AG277" s="14"/>
      <c r="AH277" s="14"/>
    </row>
    <row r="278" spans="1:34">
      <c r="A278" s="28"/>
      <c r="B278" s="180"/>
      <c r="C278" s="188"/>
      <c r="D278" s="161"/>
      <c r="E278" s="162"/>
      <c r="F278" s="162"/>
      <c r="G278" s="163"/>
      <c r="H278" s="285"/>
      <c r="I278" s="282"/>
      <c r="J278" s="16"/>
      <c r="K278" s="18">
        <f t="shared" si="28"/>
        <v>0</v>
      </c>
      <c r="L278" s="288">
        <v>0</v>
      </c>
      <c r="M278" s="291"/>
      <c r="N278" s="164"/>
      <c r="O278" s="164"/>
      <c r="P278" s="164"/>
      <c r="Q278" s="175">
        <f t="shared" si="29"/>
        <v>0</v>
      </c>
      <c r="R278" s="164"/>
      <c r="S278" s="197">
        <f t="shared" si="30"/>
        <v>0</v>
      </c>
      <c r="T278" s="201" t="str" cm="1">
        <f t="array" ref="T278">IFERROR(IF(F278="甲",IF(K278&gt;3500000,VLOOKUP(3500000,源泉DB!$B$261:$L$261,L278+3)+ROUNDDOWN((K278-3500000)*45.945%,0),IF(AND(K278&gt;2250000,K278&lt;3500000),VLOOKUP(2250000,源泉DB!$B$260:$K$260,L278+3)+ROUNDDOWN((K278-2250000)*40.84%,0),IF(AND(K278&gt;2210000,K278&lt;2250000),VLOOKUP(2210000,源泉DB!$B$259:$K$259,L278+3)+ROUNDDOWN((K278-2210000)*40.84%,0),IF(AND(K278&gt;2170000,K278&lt;2210000),VLOOKUP(2170000,源泉DB!$B$258:$K$258,L278+3)+ROUNDDOWN((K278-2170000)*40.84%,0),IF(AND(K278&gt;1700000,K278&lt;2170000),VLOOKUP(1700000,源泉DB!$B$257:$K$257,L278+3)+ROUNDDOWN((K278-1700000)*40.84%,0),IF(AND(K278&gt;950000,K278&lt;1700000),VLOOKUP(950000,源泉DB!$B$256:$K$256,L278+3)+ROUNDDOWN((K278-950000)*33.693%,0),IF(AND(K278&gt;780000,K278&lt;950000),VLOOKUP(780000,源泉DB!$B$255:$K$255,L278+3)+ROUNDDOWN((K278-780000)*23.483%,0),IF(AND(K278&gt;740000,K278&lt;780000),VLOOKUP(740000,源泉DB!$B$254:$K$254,L278+3)+ROUNDDOWN((K278-740000)*20.42%,0),VLOOKUP(K278,源泉DB!$B$8:$K$299,L278+3))))))))),IF(F278="乙",IF(K278&gt;1700000,651900+(K278-1700000) *45.945%,IF(K278=1700000,651900,IF(AND(K278&gt;740000,K278&lt;1700000),259800+(K278-740000)*40.84%,IF(K278=740000,259800,IF(K278&lt;88000,ROUNDDOWN(K278*3.063%,9),VLOOKUP(K278,源泉DB!$B$8:$L$254,11)))))),"")),"")</f>
        <v/>
      </c>
      <c r="U278" s="165"/>
      <c r="V278" s="166"/>
      <c r="W278" s="166"/>
      <c r="X278" s="166"/>
      <c r="Y278" s="166"/>
      <c r="Z278" s="178">
        <f>ROUND(IFERROR(IF(($G278="加入"),VLOOKUP($I278,年金DB!$G$16:$P$65,6,TRUE),0),0)-0.1,0)</f>
        <v>0</v>
      </c>
      <c r="AA278" s="178">
        <f>ROUND(IFERROR(IF(AND($G278="加入",$D278&gt;=40,$D278&lt;=64),VLOOKUP($I278,年金DB!$G$16:$P$65,10,TRUE),0),0)-0.1,0)</f>
        <v>0</v>
      </c>
      <c r="AB278" s="178">
        <f>ROUND(IFERROR(IF(AND($G278="加入",$D278&lt;40),VLOOKUP($J278,年金DB!$G$16:$X$62,14,TRUE),IF(AND($G278="加入",$D278&gt;=40),VLOOKUP($J278,年金DB!$G$16:$X$62,14,TRUE),"0")),0)-0.1,0)</f>
        <v>0</v>
      </c>
      <c r="AC278" s="178">
        <f t="shared" si="31"/>
        <v>0</v>
      </c>
      <c r="AD278" s="21">
        <f t="shared" si="32"/>
        <v>0</v>
      </c>
      <c r="AE278" s="173">
        <f t="shared" si="33"/>
        <v>0</v>
      </c>
      <c r="AF278" s="14" t="str">
        <f t="shared" si="34"/>
        <v/>
      </c>
      <c r="AG278" s="14"/>
      <c r="AH278" s="14"/>
    </row>
    <row r="279" spans="1:34">
      <c r="A279" s="28"/>
      <c r="B279" s="180"/>
      <c r="C279" s="188"/>
      <c r="D279" s="161"/>
      <c r="E279" s="162"/>
      <c r="F279" s="162"/>
      <c r="G279" s="163"/>
      <c r="H279" s="285"/>
      <c r="I279" s="282"/>
      <c r="J279" s="16"/>
      <c r="K279" s="18">
        <f t="shared" si="28"/>
        <v>0</v>
      </c>
      <c r="L279" s="288">
        <v>0</v>
      </c>
      <c r="M279" s="291"/>
      <c r="N279" s="164"/>
      <c r="O279" s="164"/>
      <c r="P279" s="164"/>
      <c r="Q279" s="175">
        <f t="shared" si="29"/>
        <v>0</v>
      </c>
      <c r="R279" s="164"/>
      <c r="S279" s="197">
        <f t="shared" si="30"/>
        <v>0</v>
      </c>
      <c r="T279" s="201" t="str" cm="1">
        <f t="array" ref="T279">IFERROR(IF(F279="甲",IF(K279&gt;3500000,VLOOKUP(3500000,源泉DB!$B$261:$L$261,L279+3)+ROUNDDOWN((K279-3500000)*45.945%,0),IF(AND(K279&gt;2250000,K279&lt;3500000),VLOOKUP(2250000,源泉DB!$B$260:$K$260,L279+3)+ROUNDDOWN((K279-2250000)*40.84%,0),IF(AND(K279&gt;2210000,K279&lt;2250000),VLOOKUP(2210000,源泉DB!$B$259:$K$259,L279+3)+ROUNDDOWN((K279-2210000)*40.84%,0),IF(AND(K279&gt;2170000,K279&lt;2210000),VLOOKUP(2170000,源泉DB!$B$258:$K$258,L279+3)+ROUNDDOWN((K279-2170000)*40.84%,0),IF(AND(K279&gt;1700000,K279&lt;2170000),VLOOKUP(1700000,源泉DB!$B$257:$K$257,L279+3)+ROUNDDOWN((K279-1700000)*40.84%,0),IF(AND(K279&gt;950000,K279&lt;1700000),VLOOKUP(950000,源泉DB!$B$256:$K$256,L279+3)+ROUNDDOWN((K279-950000)*33.693%,0),IF(AND(K279&gt;780000,K279&lt;950000),VLOOKUP(780000,源泉DB!$B$255:$K$255,L279+3)+ROUNDDOWN((K279-780000)*23.483%,0),IF(AND(K279&gt;740000,K279&lt;780000),VLOOKUP(740000,源泉DB!$B$254:$K$254,L279+3)+ROUNDDOWN((K279-740000)*20.42%,0),VLOOKUP(K279,源泉DB!$B$8:$K$299,L279+3))))))))),IF(F279="乙",IF(K279&gt;1700000,651900+(K279-1700000) *45.945%,IF(K279=1700000,651900,IF(AND(K279&gt;740000,K279&lt;1700000),259800+(K279-740000)*40.84%,IF(K279=740000,259800,IF(K279&lt;88000,ROUNDDOWN(K279*3.063%,9),VLOOKUP(K279,源泉DB!$B$8:$L$254,11)))))),"")),"")</f>
        <v/>
      </c>
      <c r="U279" s="165"/>
      <c r="V279" s="166"/>
      <c r="W279" s="166"/>
      <c r="X279" s="166"/>
      <c r="Y279" s="166"/>
      <c r="Z279" s="178">
        <f>ROUND(IFERROR(IF(($G279="加入"),VLOOKUP($I279,年金DB!$G$16:$P$65,6,TRUE),0),0)-0.1,0)</f>
        <v>0</v>
      </c>
      <c r="AA279" s="178">
        <f>ROUND(IFERROR(IF(AND($G279="加入",$D279&gt;=40,$D279&lt;=64),VLOOKUP($I279,年金DB!$G$16:$P$65,10,TRUE),0),0)-0.1,0)</f>
        <v>0</v>
      </c>
      <c r="AB279" s="178">
        <f>ROUND(IFERROR(IF(AND($G279="加入",$D279&lt;40),VLOOKUP($J279,年金DB!$G$16:$X$62,14,TRUE),IF(AND($G279="加入",$D279&gt;=40),VLOOKUP($J279,年金DB!$G$16:$X$62,14,TRUE),"0")),0)-0.1,0)</f>
        <v>0</v>
      </c>
      <c r="AC279" s="178">
        <f t="shared" si="31"/>
        <v>0</v>
      </c>
      <c r="AD279" s="21">
        <f t="shared" si="32"/>
        <v>0</v>
      </c>
      <c r="AE279" s="173">
        <f t="shared" si="33"/>
        <v>0</v>
      </c>
      <c r="AF279" s="14" t="str">
        <f t="shared" si="34"/>
        <v/>
      </c>
      <c r="AG279" s="14"/>
      <c r="AH279" s="14"/>
    </row>
    <row r="280" spans="1:34">
      <c r="A280" s="28"/>
      <c r="B280" s="180"/>
      <c r="C280" s="188"/>
      <c r="D280" s="161"/>
      <c r="E280" s="162"/>
      <c r="F280" s="162"/>
      <c r="G280" s="163"/>
      <c r="H280" s="285"/>
      <c r="I280" s="282"/>
      <c r="J280" s="16"/>
      <c r="K280" s="18">
        <f t="shared" si="28"/>
        <v>0</v>
      </c>
      <c r="L280" s="288">
        <v>0</v>
      </c>
      <c r="M280" s="291"/>
      <c r="N280" s="164"/>
      <c r="O280" s="164"/>
      <c r="P280" s="164"/>
      <c r="Q280" s="175">
        <f t="shared" si="29"/>
        <v>0</v>
      </c>
      <c r="R280" s="164"/>
      <c r="S280" s="197">
        <f t="shared" si="30"/>
        <v>0</v>
      </c>
      <c r="T280" s="201" t="str" cm="1">
        <f t="array" ref="T280">IFERROR(IF(F280="甲",IF(K280&gt;3500000,VLOOKUP(3500000,源泉DB!$B$261:$L$261,L280+3)+ROUNDDOWN((K280-3500000)*45.945%,0),IF(AND(K280&gt;2250000,K280&lt;3500000),VLOOKUP(2250000,源泉DB!$B$260:$K$260,L280+3)+ROUNDDOWN((K280-2250000)*40.84%,0),IF(AND(K280&gt;2210000,K280&lt;2250000),VLOOKUP(2210000,源泉DB!$B$259:$K$259,L280+3)+ROUNDDOWN((K280-2210000)*40.84%,0),IF(AND(K280&gt;2170000,K280&lt;2210000),VLOOKUP(2170000,源泉DB!$B$258:$K$258,L280+3)+ROUNDDOWN((K280-2170000)*40.84%,0),IF(AND(K280&gt;1700000,K280&lt;2170000),VLOOKUP(1700000,源泉DB!$B$257:$K$257,L280+3)+ROUNDDOWN((K280-1700000)*40.84%,0),IF(AND(K280&gt;950000,K280&lt;1700000),VLOOKUP(950000,源泉DB!$B$256:$K$256,L280+3)+ROUNDDOWN((K280-950000)*33.693%,0),IF(AND(K280&gt;780000,K280&lt;950000),VLOOKUP(780000,源泉DB!$B$255:$K$255,L280+3)+ROUNDDOWN((K280-780000)*23.483%,0),IF(AND(K280&gt;740000,K280&lt;780000),VLOOKUP(740000,源泉DB!$B$254:$K$254,L280+3)+ROUNDDOWN((K280-740000)*20.42%,0),VLOOKUP(K280,源泉DB!$B$8:$K$299,L280+3))))))))),IF(F280="乙",IF(K280&gt;1700000,651900+(K280-1700000) *45.945%,IF(K280=1700000,651900,IF(AND(K280&gt;740000,K280&lt;1700000),259800+(K280-740000)*40.84%,IF(K280=740000,259800,IF(K280&lt;88000,ROUNDDOWN(K280*3.063%,9),VLOOKUP(K280,源泉DB!$B$8:$L$254,11)))))),"")),"")</f>
        <v/>
      </c>
      <c r="U280" s="165"/>
      <c r="V280" s="166"/>
      <c r="W280" s="166"/>
      <c r="X280" s="166"/>
      <c r="Y280" s="166"/>
      <c r="Z280" s="178">
        <f>ROUND(IFERROR(IF(($G280="加入"),VLOOKUP($I280,年金DB!$G$16:$P$65,6,TRUE),0),0)-0.1,0)</f>
        <v>0</v>
      </c>
      <c r="AA280" s="178">
        <f>ROUND(IFERROR(IF(AND($G280="加入",$D280&gt;=40,$D280&lt;=64),VLOOKUP($I280,年金DB!$G$16:$P$65,10,TRUE),0),0)-0.1,0)</f>
        <v>0</v>
      </c>
      <c r="AB280" s="178">
        <f>ROUND(IFERROR(IF(AND($G280="加入",$D280&lt;40),VLOOKUP($J280,年金DB!$G$16:$X$62,14,TRUE),IF(AND($G280="加入",$D280&gt;=40),VLOOKUP($J280,年金DB!$G$16:$X$62,14,TRUE),"0")),0)-0.1,0)</f>
        <v>0</v>
      </c>
      <c r="AC280" s="178">
        <f t="shared" si="31"/>
        <v>0</v>
      </c>
      <c r="AD280" s="21">
        <f t="shared" si="32"/>
        <v>0</v>
      </c>
      <c r="AE280" s="173">
        <f t="shared" si="33"/>
        <v>0</v>
      </c>
      <c r="AF280" s="14" t="str">
        <f t="shared" si="34"/>
        <v/>
      </c>
      <c r="AG280" s="14"/>
      <c r="AH280" s="14"/>
    </row>
    <row r="281" spans="1:34">
      <c r="A281" s="28"/>
      <c r="B281" s="180"/>
      <c r="C281" s="188"/>
      <c r="D281" s="161"/>
      <c r="E281" s="162"/>
      <c r="F281" s="162"/>
      <c r="G281" s="163"/>
      <c r="H281" s="285"/>
      <c r="I281" s="282"/>
      <c r="J281" s="16"/>
      <c r="K281" s="18">
        <f t="shared" si="28"/>
        <v>0</v>
      </c>
      <c r="L281" s="288">
        <v>0</v>
      </c>
      <c r="M281" s="291"/>
      <c r="N281" s="164"/>
      <c r="O281" s="164"/>
      <c r="P281" s="164"/>
      <c r="Q281" s="175">
        <f t="shared" si="29"/>
        <v>0</v>
      </c>
      <c r="R281" s="164"/>
      <c r="S281" s="197">
        <f t="shared" si="30"/>
        <v>0</v>
      </c>
      <c r="T281" s="201" t="str" cm="1">
        <f t="array" ref="T281">IFERROR(IF(F281="甲",IF(K281&gt;3500000,VLOOKUP(3500000,源泉DB!$B$261:$L$261,L281+3)+ROUNDDOWN((K281-3500000)*45.945%,0),IF(AND(K281&gt;2250000,K281&lt;3500000),VLOOKUP(2250000,源泉DB!$B$260:$K$260,L281+3)+ROUNDDOWN((K281-2250000)*40.84%,0),IF(AND(K281&gt;2210000,K281&lt;2250000),VLOOKUP(2210000,源泉DB!$B$259:$K$259,L281+3)+ROUNDDOWN((K281-2210000)*40.84%,0),IF(AND(K281&gt;2170000,K281&lt;2210000),VLOOKUP(2170000,源泉DB!$B$258:$K$258,L281+3)+ROUNDDOWN((K281-2170000)*40.84%,0),IF(AND(K281&gt;1700000,K281&lt;2170000),VLOOKUP(1700000,源泉DB!$B$257:$K$257,L281+3)+ROUNDDOWN((K281-1700000)*40.84%,0),IF(AND(K281&gt;950000,K281&lt;1700000),VLOOKUP(950000,源泉DB!$B$256:$K$256,L281+3)+ROUNDDOWN((K281-950000)*33.693%,0),IF(AND(K281&gt;780000,K281&lt;950000),VLOOKUP(780000,源泉DB!$B$255:$K$255,L281+3)+ROUNDDOWN((K281-780000)*23.483%,0),IF(AND(K281&gt;740000,K281&lt;780000),VLOOKUP(740000,源泉DB!$B$254:$K$254,L281+3)+ROUNDDOWN((K281-740000)*20.42%,0),VLOOKUP(K281,源泉DB!$B$8:$K$299,L281+3))))))))),IF(F281="乙",IF(K281&gt;1700000,651900+(K281-1700000) *45.945%,IF(K281=1700000,651900,IF(AND(K281&gt;740000,K281&lt;1700000),259800+(K281-740000)*40.84%,IF(K281=740000,259800,IF(K281&lt;88000,ROUNDDOWN(K281*3.063%,9),VLOOKUP(K281,源泉DB!$B$8:$L$254,11)))))),"")),"")</f>
        <v/>
      </c>
      <c r="U281" s="165"/>
      <c r="V281" s="166"/>
      <c r="W281" s="166"/>
      <c r="X281" s="166"/>
      <c r="Y281" s="166"/>
      <c r="Z281" s="178">
        <f>ROUND(IFERROR(IF(($G281="加入"),VLOOKUP($I281,年金DB!$G$16:$P$65,6,TRUE),0),0)-0.1,0)</f>
        <v>0</v>
      </c>
      <c r="AA281" s="178">
        <f>ROUND(IFERROR(IF(AND($G281="加入",$D281&gt;=40,$D281&lt;=64),VLOOKUP($I281,年金DB!$G$16:$P$65,10,TRUE),0),0)-0.1,0)</f>
        <v>0</v>
      </c>
      <c r="AB281" s="178">
        <f>ROUND(IFERROR(IF(AND($G281="加入",$D281&lt;40),VLOOKUP($J281,年金DB!$G$16:$X$62,14,TRUE),IF(AND($G281="加入",$D281&gt;=40),VLOOKUP($J281,年金DB!$G$16:$X$62,14,TRUE),"0")),0)-0.1,0)</f>
        <v>0</v>
      </c>
      <c r="AC281" s="178">
        <f t="shared" si="31"/>
        <v>0</v>
      </c>
      <c r="AD281" s="21">
        <f t="shared" si="32"/>
        <v>0</v>
      </c>
      <c r="AE281" s="173">
        <f t="shared" si="33"/>
        <v>0</v>
      </c>
      <c r="AF281" s="14" t="str">
        <f t="shared" si="34"/>
        <v/>
      </c>
      <c r="AG281" s="14"/>
      <c r="AH281" s="14"/>
    </row>
    <row r="282" spans="1:34" ht="12.75" thickBot="1">
      <c r="A282" s="29"/>
      <c r="B282" s="181"/>
      <c r="C282" s="189"/>
      <c r="D282" s="167"/>
      <c r="E282" s="168"/>
      <c r="F282" s="168"/>
      <c r="G282" s="169"/>
      <c r="H282" s="286"/>
      <c r="I282" s="283"/>
      <c r="J282" s="17"/>
      <c r="K282" s="19">
        <f t="shared" si="28"/>
        <v>0</v>
      </c>
      <c r="L282" s="289">
        <v>0</v>
      </c>
      <c r="M282" s="292"/>
      <c r="N282" s="170"/>
      <c r="O282" s="170"/>
      <c r="P282" s="170"/>
      <c r="Q282" s="176">
        <f t="shared" si="29"/>
        <v>0</v>
      </c>
      <c r="R282" s="170"/>
      <c r="S282" s="198">
        <f t="shared" si="30"/>
        <v>0</v>
      </c>
      <c r="T282" s="202" t="str" cm="1">
        <f t="array" ref="T282">IFERROR(IF(F282="甲",IF(K282&gt;3500000,VLOOKUP(3500000,源泉DB!$B$261:$L$261,L282+3)+ROUNDDOWN((K282-3500000)*45.945%,0),IF(AND(K282&gt;2250000,K282&lt;3500000),VLOOKUP(2250000,源泉DB!$B$260:$K$260,L282+3)+ROUNDDOWN((K282-2250000)*40.84%,0),IF(AND(K282&gt;2210000,K282&lt;2250000),VLOOKUP(2210000,源泉DB!$B$259:$K$259,L282+3)+ROUNDDOWN((K282-2210000)*40.84%,0),IF(AND(K282&gt;2170000,K282&lt;2210000),VLOOKUP(2170000,源泉DB!$B$258:$K$258,L282+3)+ROUNDDOWN((K282-2170000)*40.84%,0),IF(AND(K282&gt;1700000,K282&lt;2170000),VLOOKUP(1700000,源泉DB!$B$257:$K$257,L282+3)+ROUNDDOWN((K282-1700000)*40.84%,0),IF(AND(K282&gt;950000,K282&lt;1700000),VLOOKUP(950000,源泉DB!$B$256:$K$256,L282+3)+ROUNDDOWN((K282-950000)*33.693%,0),IF(AND(K282&gt;780000,K282&lt;950000),VLOOKUP(780000,源泉DB!$B$255:$K$255,L282+3)+ROUNDDOWN((K282-780000)*23.483%,0),IF(AND(K282&gt;740000,K282&lt;780000),VLOOKUP(740000,源泉DB!$B$254:$K$254,L282+3)+ROUNDDOWN((K282-740000)*20.42%,0),VLOOKUP(K282,源泉DB!$B$8:$K$299,L282+3))))))))),IF(F282="乙",IF(K282&gt;1700000,651900+(K282-1700000) *45.945%,IF(K282=1700000,651900,IF(AND(K282&gt;740000,K282&lt;1700000),259800+(K282-740000)*40.84%,IF(K282=740000,259800,IF(K282&lt;88000,ROUNDDOWN(K282*3.063%,9),VLOOKUP(K282,源泉DB!$B$8:$L$254,11)))))),"")),"")</f>
        <v/>
      </c>
      <c r="U282" s="171"/>
      <c r="V282" s="172"/>
      <c r="W282" s="172"/>
      <c r="X282" s="172"/>
      <c r="Y282" s="172"/>
      <c r="Z282" s="190">
        <f>ROUND(IFERROR(IF(($G282="加入"),VLOOKUP($I282,年金DB!$G$16:$P$65,6,TRUE),0),0)-0.1,0)</f>
        <v>0</v>
      </c>
      <c r="AA282" s="190">
        <f>ROUND(IFERROR(IF(AND($G282="加入",$D282&gt;=40,$D282&lt;=64),VLOOKUP($I282,年金DB!$G$16:$P$65,10,TRUE),0),0)-0.1,0)</f>
        <v>0</v>
      </c>
      <c r="AB282" s="190">
        <f>ROUND(IFERROR(IF(AND($G282="加入",$D282&lt;40),VLOOKUP($J282,年金DB!$G$16:$X$62,14,TRUE),IF(AND($G282="加入",$D282&gt;=40),VLOOKUP($J282,年金DB!$G$16:$X$62,14,TRUE),"0")),0)-0.1,0)</f>
        <v>0</v>
      </c>
      <c r="AC282" s="190">
        <f t="shared" si="31"/>
        <v>0</v>
      </c>
      <c r="AD282" s="22">
        <f t="shared" si="32"/>
        <v>0</v>
      </c>
      <c r="AE282" s="20">
        <f t="shared" si="33"/>
        <v>0</v>
      </c>
      <c r="AF282" s="14" t="str">
        <f t="shared" si="34"/>
        <v/>
      </c>
      <c r="AG282" s="14"/>
      <c r="AH282" s="14"/>
    </row>
  </sheetData>
  <sheetProtection algorithmName="SHA-512" hashValue="sU/A6qKQtruuRKkx7j3S86OZ4gZ8Oiiknweh06csuuw3TJska50/bl7mR2gYZlLM5iFzywAdzPSEBV1hu2NjyA==" saltValue="ERQspO1pecYIKwppzcCI+Q==" spinCount="100000" sheet="1" objects="1" scenarios="1"/>
  <mergeCells count="44">
    <mergeCell ref="AE2:AE3"/>
    <mergeCell ref="J4:J5"/>
    <mergeCell ref="U4:U5"/>
    <mergeCell ref="AD4:AD5"/>
    <mergeCell ref="AE4:AE5"/>
    <mergeCell ref="W4:W5"/>
    <mergeCell ref="X4:X5"/>
    <mergeCell ref="Y4:Y5"/>
    <mergeCell ref="Z4:Z5"/>
    <mergeCell ref="AB4:AB5"/>
    <mergeCell ref="AC4:AC5"/>
    <mergeCell ref="P4:P5"/>
    <mergeCell ref="Q4:Q5"/>
    <mergeCell ref="R4:R5"/>
    <mergeCell ref="S4:S5"/>
    <mergeCell ref="T4:T5"/>
    <mergeCell ref="A4:A5"/>
    <mergeCell ref="C4:C5"/>
    <mergeCell ref="D4:D5"/>
    <mergeCell ref="E4:E5"/>
    <mergeCell ref="F4:F5"/>
    <mergeCell ref="G4:G5"/>
    <mergeCell ref="H4:H5"/>
    <mergeCell ref="I4:I5"/>
    <mergeCell ref="G2:G3"/>
    <mergeCell ref="H2:H3"/>
    <mergeCell ref="I2:J2"/>
    <mergeCell ref="K2:K3"/>
    <mergeCell ref="L2:L3"/>
    <mergeCell ref="M2:S2"/>
    <mergeCell ref="V4:V5"/>
    <mergeCell ref="T2:AD2"/>
    <mergeCell ref="L4:L5"/>
    <mergeCell ref="M4:M5"/>
    <mergeCell ref="N4:N5"/>
    <mergeCell ref="O4:O5"/>
    <mergeCell ref="K4:K5"/>
    <mergeCell ref="AA4:AA5"/>
    <mergeCell ref="F2:F3"/>
    <mergeCell ref="A2:A3"/>
    <mergeCell ref="B2:B3"/>
    <mergeCell ref="C2:C3"/>
    <mergeCell ref="D2:D3"/>
    <mergeCell ref="E2:E3"/>
  </mergeCells>
  <phoneticPr fontId="6"/>
  <dataValidations count="4">
    <dataValidation type="list" allowBlank="1" showInputMessage="1" showErrorMessage="1" sqref="G6:H282" xr:uid="{00000000-0002-0000-0600-000000000000}">
      <formula1>"加入,非加入"</formula1>
    </dataValidation>
    <dataValidation type="list" allowBlank="1" showInputMessage="1" showErrorMessage="1" sqref="F6:F282" xr:uid="{00000000-0002-0000-0600-000001000000}">
      <formula1>"甲,乙"</formula1>
    </dataValidation>
    <dataValidation type="list" allowBlank="1" showInputMessage="1" showErrorMessage="1" sqref="E6:E282" xr:uid="{00000000-0002-0000-0600-000002000000}">
      <formula1>"役員,社員,バイト"</formula1>
    </dataValidation>
    <dataValidation type="list" allowBlank="1" showInputMessage="1" showErrorMessage="1" sqref="L6:L282" xr:uid="{00000000-0002-0000-0600-000003000000}">
      <formula1>"0,1,2,3,4,5,6,7,8,9"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0070C0"/>
  </sheetPr>
  <dimension ref="A1:AH282"/>
  <sheetViews>
    <sheetView tabSelected="1" workbookViewId="0">
      <selection activeCell="E26" sqref="E26"/>
    </sheetView>
  </sheetViews>
  <sheetFormatPr defaultColWidth="9" defaultRowHeight="12" outlineLevelCol="1"/>
  <cols>
    <col min="1" max="1" width="11" style="10" customWidth="1"/>
    <col min="2" max="2" width="8.125" style="10" hidden="1" customWidth="1"/>
    <col min="3" max="3" width="10.375" style="10" customWidth="1"/>
    <col min="4" max="4" width="8.125" style="10" customWidth="1"/>
    <col min="5" max="6" width="8.125" style="11" customWidth="1"/>
    <col min="7" max="8" width="7.5" style="11" customWidth="1"/>
    <col min="9" max="10" width="8.125" style="10" customWidth="1"/>
    <col min="11" max="11" width="11.5" style="10" customWidth="1"/>
    <col min="12" max="12" width="9.625" style="10" bestFit="1" customWidth="1"/>
    <col min="13" max="13" width="8.125" style="10" customWidth="1"/>
    <col min="14" max="17" width="8.125" style="10" customWidth="1" outlineLevel="1"/>
    <col min="18" max="19" width="8.125" style="10" customWidth="1"/>
    <col min="20" max="20" width="9.875" style="10" customWidth="1"/>
    <col min="21" max="21" width="9.875" style="10" customWidth="1" outlineLevel="1"/>
    <col min="22" max="25" width="9.875" style="15" customWidth="1" outlineLevel="1"/>
    <col min="26" max="31" width="9.875" style="10" customWidth="1"/>
    <col min="32" max="32" width="19.25" style="10" bestFit="1" customWidth="1"/>
    <col min="33" max="34" width="19.25" style="10" customWidth="1"/>
    <col min="35" max="16384" width="9" style="10"/>
  </cols>
  <sheetData>
    <row r="1" spans="1:34" ht="12.75" thickBot="1"/>
    <row r="2" spans="1:34" s="9" customFormat="1" ht="13.5" customHeight="1">
      <c r="A2" s="402" t="s">
        <v>0</v>
      </c>
      <c r="B2" s="404" t="s">
        <v>38</v>
      </c>
      <c r="C2" s="400" t="s">
        <v>1</v>
      </c>
      <c r="D2" s="400" t="s">
        <v>37</v>
      </c>
      <c r="E2" s="400" t="s">
        <v>2</v>
      </c>
      <c r="F2" s="400" t="s">
        <v>40</v>
      </c>
      <c r="G2" s="400" t="s">
        <v>39</v>
      </c>
      <c r="H2" s="429" t="s">
        <v>13</v>
      </c>
      <c r="I2" s="431" t="s">
        <v>3</v>
      </c>
      <c r="J2" s="432"/>
      <c r="K2" s="406" t="s">
        <v>36</v>
      </c>
      <c r="L2" s="402" t="s">
        <v>4</v>
      </c>
      <c r="M2" s="408" t="s">
        <v>5</v>
      </c>
      <c r="N2" s="409"/>
      <c r="O2" s="409"/>
      <c r="P2" s="409"/>
      <c r="Q2" s="409"/>
      <c r="R2" s="409"/>
      <c r="S2" s="410"/>
      <c r="T2" s="413" t="s">
        <v>6</v>
      </c>
      <c r="U2" s="409"/>
      <c r="V2" s="409"/>
      <c r="W2" s="409"/>
      <c r="X2" s="409"/>
      <c r="Y2" s="409"/>
      <c r="Z2" s="409"/>
      <c r="AA2" s="409"/>
      <c r="AB2" s="409"/>
      <c r="AC2" s="409"/>
      <c r="AD2" s="414"/>
      <c r="AE2" s="434" t="s">
        <v>7</v>
      </c>
      <c r="AF2" s="12"/>
      <c r="AG2" s="12"/>
      <c r="AH2" s="12"/>
    </row>
    <row r="3" spans="1:34" s="9" customFormat="1" ht="12.75" thickBot="1">
      <c r="A3" s="403"/>
      <c r="B3" s="405"/>
      <c r="C3" s="401"/>
      <c r="D3" s="401"/>
      <c r="E3" s="401"/>
      <c r="F3" s="401"/>
      <c r="G3" s="401"/>
      <c r="H3" s="430"/>
      <c r="I3" s="191" t="s">
        <v>56</v>
      </c>
      <c r="J3" s="177" t="s">
        <v>57</v>
      </c>
      <c r="K3" s="407"/>
      <c r="L3" s="403"/>
      <c r="M3" s="194" t="s">
        <v>8</v>
      </c>
      <c r="N3" s="23" t="s">
        <v>55</v>
      </c>
      <c r="O3" s="23" t="s">
        <v>55</v>
      </c>
      <c r="P3" s="23" t="s">
        <v>55</v>
      </c>
      <c r="Q3" s="157" t="s">
        <v>50</v>
      </c>
      <c r="R3" s="157" t="s">
        <v>51</v>
      </c>
      <c r="S3" s="195" t="s">
        <v>9</v>
      </c>
      <c r="T3" s="156" t="s">
        <v>10</v>
      </c>
      <c r="U3" s="157" t="s">
        <v>41</v>
      </c>
      <c r="V3" s="174"/>
      <c r="W3" s="174"/>
      <c r="X3" s="174"/>
      <c r="Y3" s="174"/>
      <c r="Z3" s="157" t="s">
        <v>11</v>
      </c>
      <c r="AA3" s="157" t="s">
        <v>67</v>
      </c>
      <c r="AB3" s="157" t="s">
        <v>12</v>
      </c>
      <c r="AC3" s="157" t="s">
        <v>13</v>
      </c>
      <c r="AD3" s="24" t="s">
        <v>9</v>
      </c>
      <c r="AE3" s="435"/>
      <c r="AF3" s="12"/>
      <c r="AG3" s="12"/>
      <c r="AH3" s="12"/>
    </row>
    <row r="4" spans="1:34" s="9" customFormat="1">
      <c r="A4" s="415" t="s">
        <v>53</v>
      </c>
      <c r="B4" s="25"/>
      <c r="C4" s="419" t="s">
        <v>53</v>
      </c>
      <c r="D4" s="419" t="s">
        <v>53</v>
      </c>
      <c r="E4" s="419" t="s">
        <v>54</v>
      </c>
      <c r="F4" s="419" t="s">
        <v>54</v>
      </c>
      <c r="G4" s="419" t="s">
        <v>54</v>
      </c>
      <c r="H4" s="425" t="s">
        <v>54</v>
      </c>
      <c r="I4" s="427" t="s">
        <v>53</v>
      </c>
      <c r="J4" s="436" t="s">
        <v>53</v>
      </c>
      <c r="K4" s="421" t="s">
        <v>52</v>
      </c>
      <c r="L4" s="415" t="s">
        <v>54</v>
      </c>
      <c r="M4" s="417" t="s">
        <v>53</v>
      </c>
      <c r="N4" s="419" t="s">
        <v>53</v>
      </c>
      <c r="O4" s="419" t="s">
        <v>53</v>
      </c>
      <c r="P4" s="419" t="s">
        <v>53</v>
      </c>
      <c r="Q4" s="443" t="s">
        <v>52</v>
      </c>
      <c r="R4" s="419" t="s">
        <v>53</v>
      </c>
      <c r="S4" s="444" t="s">
        <v>52</v>
      </c>
      <c r="T4" s="446" t="s">
        <v>52</v>
      </c>
      <c r="U4" s="438" t="s">
        <v>53</v>
      </c>
      <c r="V4" s="411" t="s">
        <v>53</v>
      </c>
      <c r="W4" s="411" t="s">
        <v>53</v>
      </c>
      <c r="X4" s="411" t="s">
        <v>53</v>
      </c>
      <c r="Y4" s="411" t="s">
        <v>53</v>
      </c>
      <c r="Z4" s="423" t="s">
        <v>52</v>
      </c>
      <c r="AA4" s="423" t="s">
        <v>52</v>
      </c>
      <c r="AB4" s="423" t="s">
        <v>52</v>
      </c>
      <c r="AC4" s="423" t="s">
        <v>52</v>
      </c>
      <c r="AD4" s="439" t="s">
        <v>52</v>
      </c>
      <c r="AE4" s="441" t="s">
        <v>52</v>
      </c>
    </row>
    <row r="5" spans="1:34" s="9" customFormat="1" ht="12.75" customHeight="1" thickBot="1">
      <c r="A5" s="433"/>
      <c r="B5" s="26"/>
      <c r="C5" s="420"/>
      <c r="D5" s="420"/>
      <c r="E5" s="420"/>
      <c r="F5" s="420"/>
      <c r="G5" s="420"/>
      <c r="H5" s="426"/>
      <c r="I5" s="428"/>
      <c r="J5" s="437"/>
      <c r="K5" s="422"/>
      <c r="L5" s="416"/>
      <c r="M5" s="418"/>
      <c r="N5" s="420"/>
      <c r="O5" s="420"/>
      <c r="P5" s="420"/>
      <c r="Q5" s="424"/>
      <c r="R5" s="420"/>
      <c r="S5" s="445"/>
      <c r="T5" s="447"/>
      <c r="U5" s="420"/>
      <c r="V5" s="412"/>
      <c r="W5" s="412"/>
      <c r="X5" s="412"/>
      <c r="Y5" s="412"/>
      <c r="Z5" s="424"/>
      <c r="AA5" s="424"/>
      <c r="AB5" s="424"/>
      <c r="AC5" s="424"/>
      <c r="AD5" s="440"/>
      <c r="AE5" s="442"/>
    </row>
    <row r="6" spans="1:34" s="9" customFormat="1">
      <c r="A6" s="27"/>
      <c r="B6" s="179"/>
      <c r="C6" s="182"/>
      <c r="D6" s="183"/>
      <c r="E6" s="184"/>
      <c r="F6" s="184"/>
      <c r="G6" s="185"/>
      <c r="H6" s="284"/>
      <c r="I6" s="281"/>
      <c r="J6" s="192"/>
      <c r="K6" s="193">
        <f>IF((Q6-Z6-AA6-AB6-AC6)&lt;0,0,Q6-Z6-AA6-AB6-AC6)</f>
        <v>0</v>
      </c>
      <c r="L6" s="287">
        <v>0</v>
      </c>
      <c r="M6" s="290"/>
      <c r="N6" s="187"/>
      <c r="O6" s="187"/>
      <c r="P6" s="187"/>
      <c r="Q6" s="186">
        <f>SUM(M6:P6)</f>
        <v>0</v>
      </c>
      <c r="R6" s="187"/>
      <c r="S6" s="196">
        <f>SUM(Q6:R6)</f>
        <v>0</v>
      </c>
      <c r="T6" s="200" t="str" cm="1">
        <f t="array" ref="T6">IFERROR(IF(F6="甲",IF(K6&gt;3500000,VLOOKUP(3500000,源泉DB!$B$261:$L$261,L6+3)+ROUNDDOWN((K6-3500000)*45.945%,0),IF(AND(K6&gt;2250000,K6&lt;3500000),VLOOKUP(2250000,源泉DB!$B$260:$K$260,L6+3)+ROUNDDOWN((K6-2250000)*40.84%,0),IF(AND(K6&gt;2210000,K6&lt;2250000),VLOOKUP(2210000,源泉DB!$B$259:$K$259,L6+3)+ROUNDDOWN((K6-2210000)*40.84%,0),IF(AND(K6&gt;2170000,K6&lt;2210000),VLOOKUP(2170000,源泉DB!$B$258:$K$258,L6+3)+ROUNDDOWN((K6-2170000)*40.84%,0),IF(AND(K6&gt;1700000,K6&lt;2170000),VLOOKUP(1700000,源泉DB!$B$257:$K$257,L6+3)+ROUNDDOWN((K6-1700000)*40.84%,0),IF(AND(K6&gt;950000,K6&lt;1700000),VLOOKUP(950000,源泉DB!$B$256:$K$256,L6+3)+ROUNDDOWN((K6-950000)*33.693%,0),IF(AND(K6&gt;780000,K6&lt;950000),VLOOKUP(780000,源泉DB!$B$255:$K$255,L6+3)+ROUNDDOWN((K6-780000)*23.483%,0),IF(AND(K6&gt;740000,K6&lt;780000),VLOOKUP(740000,源泉DB!$B$254:$K$254,L6+3)+ROUNDDOWN((K6-740000)*20.42%,0),VLOOKUP(K6,源泉DB!$B$8:$K$299,L6+3))))))))),IF(F6="乙",IF(K6&gt;1700000,651900+(K6-1700000) *45.945%,IF(K6=1700000,651900,IF(AND(K6&gt;740000,K6&lt;1700000),259800+(K6-740000)*40.84%,IF(K6=740000,259800,IF(K6&lt;88000,ROUNDDOWN(K6*3.063%,9),VLOOKUP(K6,源泉DB!$B$8:$L$254,11)))))),"")),"")</f>
        <v/>
      </c>
      <c r="U6" s="30"/>
      <c r="V6" s="31"/>
      <c r="W6" s="31"/>
      <c r="X6" s="31"/>
      <c r="Y6" s="31"/>
      <c r="Z6" s="32">
        <f>ROUND(IFERROR(IF(($G6="加入"),VLOOKUP($I6,年金DB!$G$16:$P$65,6,TRUE),0),0)-0.1,0)</f>
        <v>0</v>
      </c>
      <c r="AA6" s="32">
        <f>ROUND(IFERROR(IF(AND($G6="加入",$D6&gt;=40,$D6&lt;=64),VLOOKUP($I6,年金DB!$G$16:$P$65,10,TRUE),0),0)-0.1,0)</f>
        <v>0</v>
      </c>
      <c r="AB6" s="32">
        <f>ROUND(IFERROR(IF(AND($G6="加入",$D6&lt;40),VLOOKUP($J6,年金DB!$G$16:$X$62,14,TRUE),IF(AND($G6="加入",$D6&gt;=40),VLOOKUP($J6,年金DB!$G$16:$X$62,14,TRUE),"0")),0)-0.1,0)</f>
        <v>0</v>
      </c>
      <c r="AC6" s="293">
        <f>IF(OR(H6="非加入",H6=""),0,ROUNDUP(IFERROR(IF(H6="加入",(Q6+R6)*3/1000,0),0)-0.5,0))</f>
        <v>0</v>
      </c>
      <c r="AD6" s="33">
        <f>SUM(T6:AC6)</f>
        <v>0</v>
      </c>
      <c r="AE6" s="199">
        <f>S6-AD6</f>
        <v>0</v>
      </c>
      <c r="AF6" s="14" t="str">
        <f>IF(AE6&gt;0,"←同額をお振込みください","")</f>
        <v/>
      </c>
      <c r="AG6" s="14"/>
      <c r="AH6" s="14"/>
    </row>
    <row r="7" spans="1:34" s="9" customFormat="1">
      <c r="A7" s="27"/>
      <c r="B7" s="180"/>
      <c r="C7" s="188"/>
      <c r="D7" s="161"/>
      <c r="E7" s="162"/>
      <c r="F7" s="162"/>
      <c r="G7" s="163"/>
      <c r="H7" s="285"/>
      <c r="I7" s="282"/>
      <c r="J7" s="16"/>
      <c r="K7" s="18">
        <f t="shared" ref="K7:K70" si="0">IF((Q7-Z7-AA7-AB7-AC7)&lt;0,0,Q7-Z7-AA7-AB7-AC7)</f>
        <v>0</v>
      </c>
      <c r="L7" s="288">
        <v>0</v>
      </c>
      <c r="M7" s="291"/>
      <c r="N7" s="164"/>
      <c r="O7" s="164"/>
      <c r="P7" s="164"/>
      <c r="Q7" s="175">
        <f t="shared" ref="Q7:Q9" si="1">SUM(M7:P7)</f>
        <v>0</v>
      </c>
      <c r="R7" s="164"/>
      <c r="S7" s="197">
        <f t="shared" ref="S7:S70" si="2">SUM(Q7:R7)</f>
        <v>0</v>
      </c>
      <c r="T7" s="201" t="str" cm="1">
        <f t="array" ref="T7">IFERROR(IF(F7="甲",IF(K7&gt;3500000,VLOOKUP(3500000,源泉DB!$B$261:$L$261,L7+3)+ROUNDDOWN((K7-3500000)*45.945%,0),IF(AND(K7&gt;2250000,K7&lt;3500000),VLOOKUP(2250000,源泉DB!$B$260:$K$260,L7+3)+ROUNDDOWN((K7-2250000)*40.84%,0),IF(AND(K7&gt;2210000,K7&lt;2250000),VLOOKUP(2210000,源泉DB!$B$259:$K$259,L7+3)+ROUNDDOWN((K7-2210000)*40.84%,0),IF(AND(K7&gt;2170000,K7&lt;2210000),VLOOKUP(2170000,源泉DB!$B$258:$K$258,L7+3)+ROUNDDOWN((K7-2170000)*40.84%,0),IF(AND(K7&gt;1700000,K7&lt;2170000),VLOOKUP(1700000,源泉DB!$B$257:$K$257,L7+3)+ROUNDDOWN((K7-1700000)*40.84%,0),IF(AND(K7&gt;950000,K7&lt;1700000),VLOOKUP(950000,源泉DB!$B$256:$K$256,L7+3)+ROUNDDOWN((K7-950000)*33.693%,0),IF(AND(K7&gt;780000,K7&lt;950000),VLOOKUP(780000,源泉DB!$B$255:$K$255,L7+3)+ROUNDDOWN((K7-780000)*23.483%,0),IF(AND(K7&gt;740000,K7&lt;780000),VLOOKUP(740000,源泉DB!$B$254:$K$254,L7+3)+ROUNDDOWN((K7-740000)*20.42%,0),VLOOKUP(K7,源泉DB!$B$8:$K$299,L7+3))))))))),IF(F7="乙",IF(K7&gt;1700000,651900+(K7-1700000) *45.945%,IF(K7=1700000,651900,IF(AND(K7&gt;740000,K7&lt;1700000),259800+(K7-740000)*40.84%,IF(K7=740000,259800,IF(K7&lt;88000,ROUNDDOWN(K7*3.063%,9),VLOOKUP(K7,源泉DB!$B$8:$L$254,11)))))),"")),"")</f>
        <v/>
      </c>
      <c r="U7" s="165"/>
      <c r="V7" s="166"/>
      <c r="W7" s="166"/>
      <c r="X7" s="166"/>
      <c r="Y7" s="166"/>
      <c r="Z7" s="178">
        <f>ROUND(IFERROR(IF(($G7="加入"),VLOOKUP($I7,年金DB!$G$16:$P$65,6,TRUE),0),0)-0.1,0)</f>
        <v>0</v>
      </c>
      <c r="AA7" s="178">
        <f>ROUND(IFERROR(IF(AND($G7="加入",$D7&gt;=40,$D7&lt;=64),VLOOKUP($I7,年金DB!$G$16:$P$65,10,TRUE),0),0)-0.1,0)</f>
        <v>0</v>
      </c>
      <c r="AB7" s="178">
        <f>ROUND(IFERROR(IF(AND($G7="加入",$D7&lt;40),VLOOKUP($J7,年金DB!$G$16:$X$62,14,TRUE),IF(AND($G7="加入",$D7&gt;=40),VLOOKUP($J7,年金DB!$G$16:$X$62,14,TRUE),"0")),0)-0.1,0)</f>
        <v>0</v>
      </c>
      <c r="AC7" s="178">
        <f>IF(OR(H7="非加入",H7=""),0,ROUNDUP(IFERROR(IF(H7="加入",(Q7+R7)*3/1000,0),0)-0.5,0))</f>
        <v>0</v>
      </c>
      <c r="AD7" s="21">
        <f t="shared" ref="AD7:AD70" si="3">SUM(T7:AC7)</f>
        <v>0</v>
      </c>
      <c r="AE7" s="173">
        <f t="shared" ref="AE7:AE70" si="4">S7-AD7</f>
        <v>0</v>
      </c>
      <c r="AF7" s="14" t="str">
        <f t="shared" ref="AF7:AF70" si="5">IF(AE7&gt;0,"←同額をお振込みください","")</f>
        <v/>
      </c>
      <c r="AG7" s="14"/>
      <c r="AH7" s="14"/>
    </row>
    <row r="8" spans="1:34" s="9" customFormat="1">
      <c r="A8" s="27"/>
      <c r="B8" s="180"/>
      <c r="C8" s="188"/>
      <c r="D8" s="161"/>
      <c r="E8" s="162"/>
      <c r="F8" s="162"/>
      <c r="G8" s="163"/>
      <c r="H8" s="285"/>
      <c r="I8" s="282"/>
      <c r="J8" s="16"/>
      <c r="K8" s="18">
        <f t="shared" si="0"/>
        <v>0</v>
      </c>
      <c r="L8" s="288">
        <v>0</v>
      </c>
      <c r="M8" s="291"/>
      <c r="N8" s="164"/>
      <c r="O8" s="164"/>
      <c r="P8" s="164"/>
      <c r="Q8" s="175">
        <f t="shared" si="1"/>
        <v>0</v>
      </c>
      <c r="R8" s="164"/>
      <c r="S8" s="197">
        <f t="shared" si="2"/>
        <v>0</v>
      </c>
      <c r="T8" s="201" t="str" cm="1">
        <f t="array" ref="T8">IFERROR(IF(F8="甲",IF(K8&gt;3500000,VLOOKUP(3500000,源泉DB!$B$261:$L$261,L8+3)+ROUNDDOWN((K8-3500000)*45.945%,0),IF(AND(K8&gt;2250000,K8&lt;3500000),VLOOKUP(2250000,源泉DB!$B$260:$K$260,L8+3)+ROUNDDOWN((K8-2250000)*40.84%,0),IF(AND(K8&gt;2210000,K8&lt;2250000),VLOOKUP(2210000,源泉DB!$B$259:$K$259,L8+3)+ROUNDDOWN((K8-2210000)*40.84%,0),IF(AND(K8&gt;2170000,K8&lt;2210000),VLOOKUP(2170000,源泉DB!$B$258:$K$258,L8+3)+ROUNDDOWN((K8-2170000)*40.84%,0),IF(AND(K8&gt;1700000,K8&lt;2170000),VLOOKUP(1700000,源泉DB!$B$257:$K$257,L8+3)+ROUNDDOWN((K8-1700000)*40.84%,0),IF(AND(K8&gt;950000,K8&lt;1700000),VLOOKUP(950000,源泉DB!$B$256:$K$256,L8+3)+ROUNDDOWN((K8-950000)*33.693%,0),IF(AND(K8&gt;780000,K8&lt;950000),VLOOKUP(780000,源泉DB!$B$255:$K$255,L8+3)+ROUNDDOWN((K8-780000)*23.483%,0),IF(AND(K8&gt;740000,K8&lt;780000),VLOOKUP(740000,源泉DB!$B$254:$K$254,L8+3)+ROUNDDOWN((K8-740000)*20.42%,0),VLOOKUP(K8,源泉DB!$B$8:$K$299,L8+3))))))))),IF(F8="乙",IF(K8&gt;1700000,651900+(K8-1700000) *45.945%,IF(K8=1700000,651900,IF(AND(K8&gt;740000,K8&lt;1700000),259800+(K8-740000)*40.84%,IF(K8=740000,259800,IF(K8&lt;88000,ROUNDDOWN(K8*3.063%,9),VLOOKUP(K8,源泉DB!$B$8:$L$254,11)))))),"")),"")</f>
        <v/>
      </c>
      <c r="U8" s="165"/>
      <c r="V8" s="166"/>
      <c r="W8" s="166"/>
      <c r="X8" s="166"/>
      <c r="Y8" s="166"/>
      <c r="Z8" s="178">
        <f>ROUND(IFERROR(IF(($G8="加入"),VLOOKUP($I8,年金DB!$G$16:$P$65,6,TRUE),0),0)-0.1,0)</f>
        <v>0</v>
      </c>
      <c r="AA8" s="178">
        <f>ROUND(IFERROR(IF(AND($G8="加入",$D8&gt;=40,$D8&lt;=64),VLOOKUP($I8,年金DB!$G$16:$P$65,10,TRUE),0),0)-0.1,0)</f>
        <v>0</v>
      </c>
      <c r="AB8" s="178">
        <f>ROUND(IFERROR(IF(AND($G8="加入",$D8&lt;40),VLOOKUP($J8,年金DB!$G$16:$X$62,14,TRUE),IF(AND($G8="加入",$D8&gt;=40),VLOOKUP($J8,年金DB!$G$16:$X$62,14,TRUE),"0")),0)-0.1,0)</f>
        <v>0</v>
      </c>
      <c r="AC8" s="178">
        <f t="shared" ref="AC8:AC71" si="6">IF(OR(H8="非加入",H8=""),0,ROUNDUP(IFERROR(IF(H8="加入",(Q8+R8)*3/1000,0),0)-0.5,0))</f>
        <v>0</v>
      </c>
      <c r="AD8" s="21">
        <f t="shared" si="3"/>
        <v>0</v>
      </c>
      <c r="AE8" s="173">
        <f t="shared" si="4"/>
        <v>0</v>
      </c>
      <c r="AF8" s="14" t="str">
        <f t="shared" si="5"/>
        <v/>
      </c>
      <c r="AG8" s="14"/>
      <c r="AH8" s="14"/>
    </row>
    <row r="9" spans="1:34" s="9" customFormat="1">
      <c r="A9" s="27"/>
      <c r="B9" s="180"/>
      <c r="C9" s="188"/>
      <c r="D9" s="161"/>
      <c r="E9" s="162"/>
      <c r="F9" s="162"/>
      <c r="G9" s="163"/>
      <c r="H9" s="285"/>
      <c r="I9" s="282"/>
      <c r="J9" s="16"/>
      <c r="K9" s="18">
        <f t="shared" si="0"/>
        <v>0</v>
      </c>
      <c r="L9" s="288">
        <v>0</v>
      </c>
      <c r="M9" s="291"/>
      <c r="N9" s="164"/>
      <c r="O9" s="164"/>
      <c r="P9" s="164"/>
      <c r="Q9" s="175">
        <f t="shared" si="1"/>
        <v>0</v>
      </c>
      <c r="R9" s="164"/>
      <c r="S9" s="197">
        <f t="shared" si="2"/>
        <v>0</v>
      </c>
      <c r="T9" s="201" t="str" cm="1">
        <f t="array" ref="T9">IFERROR(IF(F9="甲",IF(K9&gt;3500000,VLOOKUP(3500000,源泉DB!$B$261:$L$261,L9+3)+ROUNDDOWN((K9-3500000)*45.945%,0),IF(AND(K9&gt;2250000,K9&lt;3500000),VLOOKUP(2250000,源泉DB!$B$260:$K$260,L9+3)+ROUNDDOWN((K9-2250000)*40.84%,0),IF(AND(K9&gt;2210000,K9&lt;2250000),VLOOKUP(2210000,源泉DB!$B$259:$K$259,L9+3)+ROUNDDOWN((K9-2210000)*40.84%,0),IF(AND(K9&gt;2170000,K9&lt;2210000),VLOOKUP(2170000,源泉DB!$B$258:$K$258,L9+3)+ROUNDDOWN((K9-2170000)*40.84%,0),IF(AND(K9&gt;1700000,K9&lt;2170000),VLOOKUP(1700000,源泉DB!$B$257:$K$257,L9+3)+ROUNDDOWN((K9-1700000)*40.84%,0),IF(AND(K9&gt;950000,K9&lt;1700000),VLOOKUP(950000,源泉DB!$B$256:$K$256,L9+3)+ROUNDDOWN((K9-950000)*33.693%,0),IF(AND(K9&gt;780000,K9&lt;950000),VLOOKUP(780000,源泉DB!$B$255:$K$255,L9+3)+ROUNDDOWN((K9-780000)*23.483%,0),IF(AND(K9&gt;740000,K9&lt;780000),VLOOKUP(740000,源泉DB!$B$254:$K$254,L9+3)+ROUNDDOWN((K9-740000)*20.42%,0),VLOOKUP(K9,源泉DB!$B$8:$K$299,L9+3))))))))),IF(F9="乙",IF(K9&gt;1700000,651900+(K9-1700000) *45.945%,IF(K9=1700000,651900,IF(AND(K9&gt;740000,K9&lt;1700000),259800+(K9-740000)*40.84%,IF(K9=740000,259800,IF(K9&lt;88000,ROUNDDOWN(K9*3.063%,9),VLOOKUP(K9,源泉DB!$B$8:$L$254,11)))))),"")),"")</f>
        <v/>
      </c>
      <c r="U9" s="165"/>
      <c r="V9" s="166"/>
      <c r="W9" s="166"/>
      <c r="X9" s="166"/>
      <c r="Y9" s="166"/>
      <c r="Z9" s="178">
        <f>ROUND(IFERROR(IF(($G9="加入"),VLOOKUP($I9,年金DB!$G$16:$P$65,6,TRUE),0),0)-0.1,0)</f>
        <v>0</v>
      </c>
      <c r="AA9" s="178">
        <f>ROUND(IFERROR(IF(AND($G9="加入",$D9&gt;=40,$D9&lt;=64),VLOOKUP($I9,年金DB!$G$16:$P$65,10,TRUE),0),0)-0.1,0)</f>
        <v>0</v>
      </c>
      <c r="AB9" s="178">
        <f>ROUND(IFERROR(IF(AND($G9="加入",$D9&lt;40),VLOOKUP($J9,年金DB!$G$16:$X$62,14,TRUE),IF(AND($G9="加入",$D9&gt;=40),VLOOKUP($J9,年金DB!$G$16:$X$62,14,TRUE),"0")),0)-0.1,0)</f>
        <v>0</v>
      </c>
      <c r="AC9" s="178">
        <f t="shared" si="6"/>
        <v>0</v>
      </c>
      <c r="AD9" s="21">
        <f t="shared" si="3"/>
        <v>0</v>
      </c>
      <c r="AE9" s="173">
        <f t="shared" si="4"/>
        <v>0</v>
      </c>
      <c r="AF9" s="14" t="str">
        <f t="shared" si="5"/>
        <v/>
      </c>
      <c r="AG9" s="14"/>
      <c r="AH9" s="14"/>
    </row>
    <row r="10" spans="1:34" s="9" customFormat="1">
      <c r="A10" s="27"/>
      <c r="B10" s="180"/>
      <c r="C10" s="188"/>
      <c r="D10" s="161"/>
      <c r="E10" s="162"/>
      <c r="F10" s="162"/>
      <c r="G10" s="163"/>
      <c r="H10" s="285"/>
      <c r="I10" s="282"/>
      <c r="J10" s="16"/>
      <c r="K10" s="18">
        <f t="shared" si="0"/>
        <v>0</v>
      </c>
      <c r="L10" s="288">
        <v>0</v>
      </c>
      <c r="M10" s="291"/>
      <c r="N10" s="164"/>
      <c r="O10" s="164"/>
      <c r="P10" s="164"/>
      <c r="Q10" s="175">
        <f>SUM(M10:P10)</f>
        <v>0</v>
      </c>
      <c r="R10" s="164"/>
      <c r="S10" s="197">
        <f t="shared" si="2"/>
        <v>0</v>
      </c>
      <c r="T10" s="201" t="str" cm="1">
        <f t="array" ref="T10">IFERROR(IF(F10="甲",IF(K10&gt;3500000,VLOOKUP(3500000,源泉DB!$B$261:$L$261,L10+3)+ROUNDDOWN((K10-3500000)*45.945%,0),IF(AND(K10&gt;2250000,K10&lt;3500000),VLOOKUP(2250000,源泉DB!$B$260:$K$260,L10+3)+ROUNDDOWN((K10-2250000)*40.84%,0),IF(AND(K10&gt;2210000,K10&lt;2250000),VLOOKUP(2210000,源泉DB!$B$259:$K$259,L10+3)+ROUNDDOWN((K10-2210000)*40.84%,0),IF(AND(K10&gt;2170000,K10&lt;2210000),VLOOKUP(2170000,源泉DB!$B$258:$K$258,L10+3)+ROUNDDOWN((K10-2170000)*40.84%,0),IF(AND(K10&gt;1700000,K10&lt;2170000),VLOOKUP(1700000,源泉DB!$B$257:$K$257,L10+3)+ROUNDDOWN((K10-1700000)*40.84%,0),IF(AND(K10&gt;950000,K10&lt;1700000),VLOOKUP(950000,源泉DB!$B$256:$K$256,L10+3)+ROUNDDOWN((K10-950000)*33.693%,0),IF(AND(K10&gt;780000,K10&lt;950000),VLOOKUP(780000,源泉DB!$B$255:$K$255,L10+3)+ROUNDDOWN((K10-780000)*23.483%,0),IF(AND(K10&gt;740000,K10&lt;780000),VLOOKUP(740000,源泉DB!$B$254:$K$254,L10+3)+ROUNDDOWN((K10-740000)*20.42%,0),VLOOKUP(K10,源泉DB!$B$8:$K$299,L10+3))))))))),IF(F10="乙",IF(K10&gt;1700000,651900+(K10-1700000) *45.945%,IF(K10=1700000,651900,IF(AND(K10&gt;740000,K10&lt;1700000),259800+(K10-740000)*40.84%,IF(K10=740000,259800,IF(K10&lt;88000,ROUNDDOWN(K10*3.063%,9),VLOOKUP(K10,源泉DB!$B$8:$L$254,11)))))),"")),"")</f>
        <v/>
      </c>
      <c r="U10" s="165"/>
      <c r="V10" s="166"/>
      <c r="W10" s="166"/>
      <c r="X10" s="166"/>
      <c r="Y10" s="166"/>
      <c r="Z10" s="178">
        <f>ROUND(IFERROR(IF(($G10="加入"),VLOOKUP($I10,年金DB!$G$16:$P$65,6,TRUE),0),0)-0.1,0)</f>
        <v>0</v>
      </c>
      <c r="AA10" s="178">
        <f>ROUND(IFERROR(IF(AND($G10="加入",$D10&gt;=40,$D10&lt;=64),VLOOKUP($I10,年金DB!$G$16:$P$65,10,TRUE),0),0)-0.1,0)</f>
        <v>0</v>
      </c>
      <c r="AB10" s="178">
        <f>ROUND(IFERROR(IF(AND($G10="加入",$D10&lt;40),VLOOKUP($J10,年金DB!$G$16:$X$62,14,TRUE),IF(AND($G10="加入",$D10&gt;=40),VLOOKUP($J10,年金DB!$G$16:$X$62,14,TRUE),"0")),0)-0.1,0)</f>
        <v>0</v>
      </c>
      <c r="AC10" s="178">
        <f t="shared" si="6"/>
        <v>0</v>
      </c>
      <c r="AD10" s="21">
        <f t="shared" si="3"/>
        <v>0</v>
      </c>
      <c r="AE10" s="173">
        <f t="shared" si="4"/>
        <v>0</v>
      </c>
      <c r="AF10" s="14" t="str">
        <f t="shared" si="5"/>
        <v/>
      </c>
      <c r="AG10" s="14"/>
      <c r="AH10" s="14"/>
    </row>
    <row r="11" spans="1:34" s="9" customFormat="1">
      <c r="A11" s="28"/>
      <c r="B11" s="180"/>
      <c r="C11" s="188"/>
      <c r="D11" s="161"/>
      <c r="E11" s="162"/>
      <c r="F11" s="162"/>
      <c r="G11" s="163"/>
      <c r="H11" s="285"/>
      <c r="I11" s="282"/>
      <c r="J11" s="16"/>
      <c r="K11" s="18">
        <f t="shared" si="0"/>
        <v>0</v>
      </c>
      <c r="L11" s="288">
        <v>0</v>
      </c>
      <c r="M11" s="291"/>
      <c r="N11" s="164"/>
      <c r="O11" s="164"/>
      <c r="P11" s="164"/>
      <c r="Q11" s="175">
        <f>SUM(M11:P11)</f>
        <v>0</v>
      </c>
      <c r="R11" s="164"/>
      <c r="S11" s="197">
        <f t="shared" si="2"/>
        <v>0</v>
      </c>
      <c r="T11" s="201" t="str" cm="1">
        <f t="array" ref="T11">IFERROR(IF(F11="甲",IF(K11&gt;3500000,VLOOKUP(3500000,源泉DB!$B$261:$L$261,L11+3)+ROUNDDOWN((K11-3500000)*45.945%,0),IF(AND(K11&gt;2250000,K11&lt;3500000),VLOOKUP(2250000,源泉DB!$B$260:$K$260,L11+3)+ROUNDDOWN((K11-2250000)*40.84%,0),IF(AND(K11&gt;2210000,K11&lt;2250000),VLOOKUP(2210000,源泉DB!$B$259:$K$259,L11+3)+ROUNDDOWN((K11-2210000)*40.84%,0),IF(AND(K11&gt;2170000,K11&lt;2210000),VLOOKUP(2170000,源泉DB!$B$258:$K$258,L11+3)+ROUNDDOWN((K11-2170000)*40.84%,0),IF(AND(K11&gt;1700000,K11&lt;2170000),VLOOKUP(1700000,源泉DB!$B$257:$K$257,L11+3)+ROUNDDOWN((K11-1700000)*40.84%,0),IF(AND(K11&gt;950000,K11&lt;1700000),VLOOKUP(950000,源泉DB!$B$256:$K$256,L11+3)+ROUNDDOWN((K11-950000)*33.693%,0),IF(AND(K11&gt;780000,K11&lt;950000),VLOOKUP(780000,源泉DB!$B$255:$K$255,L11+3)+ROUNDDOWN((K11-780000)*23.483%,0),IF(AND(K11&gt;740000,K11&lt;780000),VLOOKUP(740000,源泉DB!$B$254:$K$254,L11+3)+ROUNDDOWN((K11-740000)*20.42%,0),VLOOKUP(K11,源泉DB!$B$8:$K$299,L11+3))))))))),IF(F11="乙",IF(K11&gt;1700000,651900+(K11-1700000) *45.945%,IF(K11=1700000,651900,IF(AND(K11&gt;740000,K11&lt;1700000),259800+(K11-740000)*40.84%,IF(K11=740000,259800,IF(K11&lt;88000,ROUNDDOWN(K11*3.063%,9),VLOOKUP(K11,源泉DB!$B$8:$L$254,11)))))),"")),"")</f>
        <v/>
      </c>
      <c r="U11" s="165"/>
      <c r="V11" s="166"/>
      <c r="W11" s="166"/>
      <c r="X11" s="166"/>
      <c r="Y11" s="166"/>
      <c r="Z11" s="178">
        <f>ROUND(IFERROR(IF(($G11="加入"),VLOOKUP($I11,年金DB!$G$16:$P$65,6,TRUE),0),0)-0.1,0)</f>
        <v>0</v>
      </c>
      <c r="AA11" s="178">
        <f>ROUND(IFERROR(IF(AND($G11="加入",$D11&gt;=40,$D11&lt;=64),VLOOKUP($I11,年金DB!$G$16:$P$65,10,TRUE),0),0)-0.1,0)</f>
        <v>0</v>
      </c>
      <c r="AB11" s="178">
        <f>ROUND(IFERROR(IF(AND($G11="加入",$D11&lt;40),VLOOKUP($J11,年金DB!$G$16:$X$62,14,TRUE),IF(AND($G11="加入",$D11&gt;=40),VLOOKUP($J11,年金DB!$G$16:$X$62,14,TRUE),"0")),0)-0.1,0)</f>
        <v>0</v>
      </c>
      <c r="AC11" s="178">
        <f t="shared" si="6"/>
        <v>0</v>
      </c>
      <c r="AD11" s="21">
        <f t="shared" si="3"/>
        <v>0</v>
      </c>
      <c r="AE11" s="173">
        <f t="shared" si="4"/>
        <v>0</v>
      </c>
      <c r="AF11" s="14" t="str">
        <f t="shared" si="5"/>
        <v/>
      </c>
      <c r="AG11" s="14"/>
      <c r="AH11" s="14"/>
    </row>
    <row r="12" spans="1:34" s="9" customFormat="1">
      <c r="A12" s="28"/>
      <c r="B12" s="180"/>
      <c r="C12" s="188"/>
      <c r="D12" s="161"/>
      <c r="E12" s="162"/>
      <c r="F12" s="162"/>
      <c r="G12" s="163"/>
      <c r="H12" s="285"/>
      <c r="I12" s="282"/>
      <c r="J12" s="16"/>
      <c r="K12" s="18">
        <f t="shared" si="0"/>
        <v>0</v>
      </c>
      <c r="L12" s="288">
        <v>0</v>
      </c>
      <c r="M12" s="291"/>
      <c r="N12" s="164"/>
      <c r="O12" s="164"/>
      <c r="P12" s="164"/>
      <c r="Q12" s="175">
        <f t="shared" ref="Q12:Q75" si="7">SUM(M12:P12)</f>
        <v>0</v>
      </c>
      <c r="R12" s="164"/>
      <c r="S12" s="197">
        <f t="shared" si="2"/>
        <v>0</v>
      </c>
      <c r="T12" s="201" t="str" cm="1">
        <f t="array" ref="T12">IFERROR(IF(F12="甲",IF(K12&gt;3500000,VLOOKUP(3500000,源泉DB!$B$261:$L$261,L12+3)+ROUNDDOWN((K12-3500000)*45.945%,0),IF(AND(K12&gt;2250000,K12&lt;3500000),VLOOKUP(2250000,源泉DB!$B$260:$K$260,L12+3)+ROUNDDOWN((K12-2250000)*40.84%,0),IF(AND(K12&gt;2210000,K12&lt;2250000),VLOOKUP(2210000,源泉DB!$B$259:$K$259,L12+3)+ROUNDDOWN((K12-2210000)*40.84%,0),IF(AND(K12&gt;2170000,K12&lt;2210000),VLOOKUP(2170000,源泉DB!$B$258:$K$258,L12+3)+ROUNDDOWN((K12-2170000)*40.84%,0),IF(AND(K12&gt;1700000,K12&lt;2170000),VLOOKUP(1700000,源泉DB!$B$257:$K$257,L12+3)+ROUNDDOWN((K12-1700000)*40.84%,0),IF(AND(K12&gt;950000,K12&lt;1700000),VLOOKUP(950000,源泉DB!$B$256:$K$256,L12+3)+ROUNDDOWN((K12-950000)*33.693%,0),IF(AND(K12&gt;780000,K12&lt;950000),VLOOKUP(780000,源泉DB!$B$255:$K$255,L12+3)+ROUNDDOWN((K12-780000)*23.483%,0),IF(AND(K12&gt;740000,K12&lt;780000),VLOOKUP(740000,源泉DB!$B$254:$K$254,L12+3)+ROUNDDOWN((K12-740000)*20.42%,0),VLOOKUP(K12,源泉DB!$B$8:$K$299,L12+3))))))))),IF(F12="乙",IF(K12&gt;1700000,651900+(K12-1700000) *45.945%,IF(K12=1700000,651900,IF(AND(K12&gt;740000,K12&lt;1700000),259800+(K12-740000)*40.84%,IF(K12=740000,259800,IF(K12&lt;88000,ROUNDDOWN(K12*3.063%,9),VLOOKUP(K12,源泉DB!$B$8:$L$254,11)))))),"")),"")</f>
        <v/>
      </c>
      <c r="U12" s="165"/>
      <c r="V12" s="166"/>
      <c r="W12" s="166"/>
      <c r="X12" s="166"/>
      <c r="Y12" s="166"/>
      <c r="Z12" s="178">
        <f>ROUND(IFERROR(IF(($G12="加入"),VLOOKUP($I12,年金DB!$G$16:$P$65,6,TRUE),0),0)-0.1,0)</f>
        <v>0</v>
      </c>
      <c r="AA12" s="178">
        <f>ROUND(IFERROR(IF(AND($G12="加入",$D12&gt;=40,$D12&lt;=64),VLOOKUP($I12,年金DB!$G$16:$P$65,10,TRUE),0),0)-0.1,0)</f>
        <v>0</v>
      </c>
      <c r="AB12" s="178">
        <f>ROUND(IFERROR(IF(AND($G12="加入",$D12&lt;40),VLOOKUP($J12,年金DB!$G$16:$X$62,14,TRUE),IF(AND($G12="加入",$D12&gt;=40),VLOOKUP($J12,年金DB!$G$16:$X$62,14,TRUE),"0")),0)-0.1,0)</f>
        <v>0</v>
      </c>
      <c r="AC12" s="178">
        <f t="shared" si="6"/>
        <v>0</v>
      </c>
      <c r="AD12" s="21">
        <f t="shared" si="3"/>
        <v>0</v>
      </c>
      <c r="AE12" s="173">
        <f t="shared" si="4"/>
        <v>0</v>
      </c>
      <c r="AF12" s="14" t="str">
        <f t="shared" si="5"/>
        <v/>
      </c>
      <c r="AG12" s="14"/>
      <c r="AH12" s="14"/>
    </row>
    <row r="13" spans="1:34" s="9" customFormat="1">
      <c r="A13" s="28"/>
      <c r="B13" s="180"/>
      <c r="C13" s="188"/>
      <c r="D13" s="161"/>
      <c r="E13" s="162"/>
      <c r="F13" s="162"/>
      <c r="G13" s="163"/>
      <c r="H13" s="285"/>
      <c r="I13" s="282"/>
      <c r="J13" s="16"/>
      <c r="K13" s="18">
        <f t="shared" si="0"/>
        <v>0</v>
      </c>
      <c r="L13" s="288">
        <v>0</v>
      </c>
      <c r="M13" s="291"/>
      <c r="N13" s="164"/>
      <c r="O13" s="164"/>
      <c r="P13" s="164"/>
      <c r="Q13" s="175">
        <f t="shared" si="7"/>
        <v>0</v>
      </c>
      <c r="R13" s="164"/>
      <c r="S13" s="197">
        <f t="shared" si="2"/>
        <v>0</v>
      </c>
      <c r="T13" s="201" t="str" cm="1">
        <f t="array" ref="T13">IFERROR(IF(F13="甲",IF(K13&gt;3500000,VLOOKUP(3500000,源泉DB!$B$261:$L$261,L13+3)+ROUNDDOWN((K13-3500000)*45.945%,0),IF(AND(K13&gt;2250000,K13&lt;3500000),VLOOKUP(2250000,源泉DB!$B$260:$K$260,L13+3)+ROUNDDOWN((K13-2250000)*40.84%,0),IF(AND(K13&gt;2210000,K13&lt;2250000),VLOOKUP(2210000,源泉DB!$B$259:$K$259,L13+3)+ROUNDDOWN((K13-2210000)*40.84%,0),IF(AND(K13&gt;2170000,K13&lt;2210000),VLOOKUP(2170000,源泉DB!$B$258:$K$258,L13+3)+ROUNDDOWN((K13-2170000)*40.84%,0),IF(AND(K13&gt;1700000,K13&lt;2170000),VLOOKUP(1700000,源泉DB!$B$257:$K$257,L13+3)+ROUNDDOWN((K13-1700000)*40.84%,0),IF(AND(K13&gt;950000,K13&lt;1700000),VLOOKUP(950000,源泉DB!$B$256:$K$256,L13+3)+ROUNDDOWN((K13-950000)*33.693%,0),IF(AND(K13&gt;780000,K13&lt;950000),VLOOKUP(780000,源泉DB!$B$255:$K$255,L13+3)+ROUNDDOWN((K13-780000)*23.483%,0),IF(AND(K13&gt;740000,K13&lt;780000),VLOOKUP(740000,源泉DB!$B$254:$K$254,L13+3)+ROUNDDOWN((K13-740000)*20.42%,0),VLOOKUP(K13,源泉DB!$B$8:$K$299,L13+3))))))))),IF(F13="乙",IF(K13&gt;1700000,651900+(K13-1700000) *45.945%,IF(K13=1700000,651900,IF(AND(K13&gt;740000,K13&lt;1700000),259800+(K13-740000)*40.84%,IF(K13=740000,259800,IF(K13&lt;88000,ROUNDDOWN(K13*3.063%,9),VLOOKUP(K13,源泉DB!$B$8:$L$254,11)))))),"")),"")</f>
        <v/>
      </c>
      <c r="U13" s="165"/>
      <c r="V13" s="166"/>
      <c r="W13" s="166"/>
      <c r="X13" s="166"/>
      <c r="Y13" s="166"/>
      <c r="Z13" s="178">
        <f>ROUND(IFERROR(IF(($G13="加入"),VLOOKUP($I13,年金DB!$G$16:$P$65,6,TRUE),0),0)-0.1,0)</f>
        <v>0</v>
      </c>
      <c r="AA13" s="178">
        <f>ROUND(IFERROR(IF(AND($G13="加入",$D13&gt;=40,$D13&lt;=64),VLOOKUP($I13,年金DB!$G$16:$P$65,10,TRUE),0),0)-0.1,0)</f>
        <v>0</v>
      </c>
      <c r="AB13" s="178">
        <f>ROUND(IFERROR(IF(AND($G13="加入",$D13&lt;40),VLOOKUP($J13,年金DB!$G$16:$X$62,14,TRUE),IF(AND($G13="加入",$D13&gt;=40),VLOOKUP($J13,年金DB!$G$16:$X$62,14,TRUE),"0")),0)-0.1,0)</f>
        <v>0</v>
      </c>
      <c r="AC13" s="178">
        <f t="shared" si="6"/>
        <v>0</v>
      </c>
      <c r="AD13" s="21">
        <f t="shared" si="3"/>
        <v>0</v>
      </c>
      <c r="AE13" s="173">
        <f t="shared" si="4"/>
        <v>0</v>
      </c>
      <c r="AF13" s="14" t="str">
        <f t="shared" si="5"/>
        <v/>
      </c>
      <c r="AG13" s="14"/>
      <c r="AH13" s="14"/>
    </row>
    <row r="14" spans="1:34" s="9" customFormat="1">
      <c r="A14" s="28"/>
      <c r="B14" s="180"/>
      <c r="C14" s="188"/>
      <c r="D14" s="161"/>
      <c r="E14" s="162"/>
      <c r="F14" s="162"/>
      <c r="G14" s="163"/>
      <c r="H14" s="285"/>
      <c r="I14" s="282"/>
      <c r="J14" s="16"/>
      <c r="K14" s="18">
        <f t="shared" si="0"/>
        <v>0</v>
      </c>
      <c r="L14" s="288">
        <v>0</v>
      </c>
      <c r="M14" s="291"/>
      <c r="N14" s="164"/>
      <c r="O14" s="164"/>
      <c r="P14" s="164"/>
      <c r="Q14" s="175">
        <f t="shared" si="7"/>
        <v>0</v>
      </c>
      <c r="R14" s="164"/>
      <c r="S14" s="197">
        <f t="shared" si="2"/>
        <v>0</v>
      </c>
      <c r="T14" s="201" t="str" cm="1">
        <f t="array" ref="T14">IFERROR(IF(F14="甲",IF(K14&gt;3500000,VLOOKUP(3500000,源泉DB!$B$261:$L$261,L14+3)+ROUNDDOWN((K14-3500000)*45.945%,0),IF(AND(K14&gt;2250000,K14&lt;3500000),VLOOKUP(2250000,源泉DB!$B$260:$K$260,L14+3)+ROUNDDOWN((K14-2250000)*40.84%,0),IF(AND(K14&gt;2210000,K14&lt;2250000),VLOOKUP(2210000,源泉DB!$B$259:$K$259,L14+3)+ROUNDDOWN((K14-2210000)*40.84%,0),IF(AND(K14&gt;2170000,K14&lt;2210000),VLOOKUP(2170000,源泉DB!$B$258:$K$258,L14+3)+ROUNDDOWN((K14-2170000)*40.84%,0),IF(AND(K14&gt;1700000,K14&lt;2170000),VLOOKUP(1700000,源泉DB!$B$257:$K$257,L14+3)+ROUNDDOWN((K14-1700000)*40.84%,0),IF(AND(K14&gt;950000,K14&lt;1700000),VLOOKUP(950000,源泉DB!$B$256:$K$256,L14+3)+ROUNDDOWN((K14-950000)*33.693%,0),IF(AND(K14&gt;780000,K14&lt;950000),VLOOKUP(780000,源泉DB!$B$255:$K$255,L14+3)+ROUNDDOWN((K14-780000)*23.483%,0),IF(AND(K14&gt;740000,K14&lt;780000),VLOOKUP(740000,源泉DB!$B$254:$K$254,L14+3)+ROUNDDOWN((K14-740000)*20.42%,0),VLOOKUP(K14,源泉DB!$B$8:$K$299,L14+3))))))))),IF(F14="乙",IF(K14&gt;1700000,651900+(K14-1700000) *45.945%,IF(K14=1700000,651900,IF(AND(K14&gt;740000,K14&lt;1700000),259800+(K14-740000)*40.84%,IF(K14=740000,259800,IF(K14&lt;88000,ROUNDDOWN(K14*3.063%,9),VLOOKUP(K14,源泉DB!$B$8:$L$254,11)))))),"")),"")</f>
        <v/>
      </c>
      <c r="U14" s="165"/>
      <c r="V14" s="166"/>
      <c r="W14" s="166"/>
      <c r="X14" s="166"/>
      <c r="Y14" s="166"/>
      <c r="Z14" s="178">
        <f>ROUND(IFERROR(IF(($G14="加入"),VLOOKUP($I14,年金DB!$G$16:$P$65,6,TRUE),0),0)-0.1,0)</f>
        <v>0</v>
      </c>
      <c r="AA14" s="178">
        <f>ROUND(IFERROR(IF(AND($G14="加入",$D14&gt;=40,$D14&lt;=64),VLOOKUP($I14,年金DB!$G$16:$P$65,10,TRUE),0),0)-0.1,0)</f>
        <v>0</v>
      </c>
      <c r="AB14" s="178">
        <f>ROUND(IFERROR(IF(AND($G14="加入",$D14&lt;40),VLOOKUP($J14,年金DB!$G$16:$X$62,14,TRUE),IF(AND($G14="加入",$D14&gt;=40),VLOOKUP($J14,年金DB!$G$16:$X$62,14,TRUE),"0")),0)-0.1,0)</f>
        <v>0</v>
      </c>
      <c r="AC14" s="178">
        <f t="shared" si="6"/>
        <v>0</v>
      </c>
      <c r="AD14" s="21">
        <f t="shared" si="3"/>
        <v>0</v>
      </c>
      <c r="AE14" s="173">
        <f t="shared" si="4"/>
        <v>0</v>
      </c>
      <c r="AF14" s="14" t="str">
        <f t="shared" si="5"/>
        <v/>
      </c>
      <c r="AG14" s="14"/>
      <c r="AH14" s="14"/>
    </row>
    <row r="15" spans="1:34">
      <c r="A15" s="28"/>
      <c r="B15" s="180"/>
      <c r="C15" s="188"/>
      <c r="D15" s="161"/>
      <c r="E15" s="162"/>
      <c r="F15" s="162"/>
      <c r="G15" s="163"/>
      <c r="H15" s="285"/>
      <c r="I15" s="282"/>
      <c r="J15" s="16"/>
      <c r="K15" s="18">
        <f t="shared" si="0"/>
        <v>0</v>
      </c>
      <c r="L15" s="288">
        <v>0</v>
      </c>
      <c r="M15" s="291"/>
      <c r="N15" s="164"/>
      <c r="O15" s="164"/>
      <c r="P15" s="164"/>
      <c r="Q15" s="175">
        <f t="shared" si="7"/>
        <v>0</v>
      </c>
      <c r="R15" s="164"/>
      <c r="S15" s="197">
        <f t="shared" si="2"/>
        <v>0</v>
      </c>
      <c r="T15" s="201" t="str" cm="1">
        <f t="array" ref="T15">IFERROR(IF(F15="甲",IF(K15&gt;3500000,VLOOKUP(3500000,源泉DB!$B$261:$L$261,L15+3)+ROUNDDOWN((K15-3500000)*45.945%,0),IF(AND(K15&gt;2250000,K15&lt;3500000),VLOOKUP(2250000,源泉DB!$B$260:$K$260,L15+3)+ROUNDDOWN((K15-2250000)*40.84%,0),IF(AND(K15&gt;2210000,K15&lt;2250000),VLOOKUP(2210000,源泉DB!$B$259:$K$259,L15+3)+ROUNDDOWN((K15-2210000)*40.84%,0),IF(AND(K15&gt;2170000,K15&lt;2210000),VLOOKUP(2170000,源泉DB!$B$258:$K$258,L15+3)+ROUNDDOWN((K15-2170000)*40.84%,0),IF(AND(K15&gt;1700000,K15&lt;2170000),VLOOKUP(1700000,源泉DB!$B$257:$K$257,L15+3)+ROUNDDOWN((K15-1700000)*40.84%,0),IF(AND(K15&gt;950000,K15&lt;1700000),VLOOKUP(950000,源泉DB!$B$256:$K$256,L15+3)+ROUNDDOWN((K15-950000)*33.693%,0),IF(AND(K15&gt;780000,K15&lt;950000),VLOOKUP(780000,源泉DB!$B$255:$K$255,L15+3)+ROUNDDOWN((K15-780000)*23.483%,0),IF(AND(K15&gt;740000,K15&lt;780000),VLOOKUP(740000,源泉DB!$B$254:$K$254,L15+3)+ROUNDDOWN((K15-740000)*20.42%,0),VLOOKUP(K15,源泉DB!$B$8:$K$299,L15+3))))))))),IF(F15="乙",IF(K15&gt;1700000,651900+(K15-1700000) *45.945%,IF(K15=1700000,651900,IF(AND(K15&gt;740000,K15&lt;1700000),259800+(K15-740000)*40.84%,IF(K15=740000,259800,IF(K15&lt;88000,ROUNDDOWN(K15*3.063%,9),VLOOKUP(K15,源泉DB!$B$8:$L$254,11)))))),"")),"")</f>
        <v/>
      </c>
      <c r="U15" s="165"/>
      <c r="V15" s="166"/>
      <c r="W15" s="166"/>
      <c r="X15" s="166"/>
      <c r="Y15" s="166"/>
      <c r="Z15" s="178">
        <f>ROUND(IFERROR(IF(($G15="加入"),VLOOKUP($I15,年金DB!$G$16:$P$65,6,TRUE),0),0)-0.1,0)</f>
        <v>0</v>
      </c>
      <c r="AA15" s="178">
        <f>ROUND(IFERROR(IF(AND($G15="加入",$D15&gt;=40,$D15&lt;=64),VLOOKUP($I15,年金DB!$G$16:$P$65,10,TRUE),0),0)-0.1,0)</f>
        <v>0</v>
      </c>
      <c r="AB15" s="178">
        <f>ROUND(IFERROR(IF(AND($G15="加入",$D15&lt;40),VLOOKUP($J15,年金DB!$G$16:$X$62,14,TRUE),IF(AND($G15="加入",$D15&gt;=40),VLOOKUP($J15,年金DB!$G$16:$X$62,14,TRUE),"0")),0)-0.1,0)</f>
        <v>0</v>
      </c>
      <c r="AC15" s="178">
        <f t="shared" si="6"/>
        <v>0</v>
      </c>
      <c r="AD15" s="21">
        <f t="shared" si="3"/>
        <v>0</v>
      </c>
      <c r="AE15" s="173">
        <f t="shared" si="4"/>
        <v>0</v>
      </c>
      <c r="AF15" s="14" t="str">
        <f t="shared" si="5"/>
        <v/>
      </c>
      <c r="AG15" s="14"/>
      <c r="AH15" s="14"/>
    </row>
    <row r="16" spans="1:34">
      <c r="A16" s="28"/>
      <c r="B16" s="180"/>
      <c r="C16" s="188"/>
      <c r="D16" s="161"/>
      <c r="E16" s="162"/>
      <c r="F16" s="162"/>
      <c r="G16" s="163"/>
      <c r="H16" s="285"/>
      <c r="I16" s="282"/>
      <c r="J16" s="16"/>
      <c r="K16" s="18">
        <f t="shared" si="0"/>
        <v>0</v>
      </c>
      <c r="L16" s="288">
        <v>0</v>
      </c>
      <c r="M16" s="291"/>
      <c r="N16" s="164"/>
      <c r="O16" s="164"/>
      <c r="P16" s="164"/>
      <c r="Q16" s="175">
        <f t="shared" si="7"/>
        <v>0</v>
      </c>
      <c r="R16" s="164"/>
      <c r="S16" s="197">
        <f t="shared" si="2"/>
        <v>0</v>
      </c>
      <c r="T16" s="201" t="str" cm="1">
        <f t="array" ref="T16">IFERROR(IF(F16="甲",IF(K16&gt;3500000,VLOOKUP(3500000,源泉DB!$B$261:$L$261,L16+3)+ROUNDDOWN((K16-3500000)*45.945%,0),IF(AND(K16&gt;2250000,K16&lt;3500000),VLOOKUP(2250000,源泉DB!$B$260:$K$260,L16+3)+ROUNDDOWN((K16-2250000)*40.84%,0),IF(AND(K16&gt;2210000,K16&lt;2250000),VLOOKUP(2210000,源泉DB!$B$259:$K$259,L16+3)+ROUNDDOWN((K16-2210000)*40.84%,0),IF(AND(K16&gt;2170000,K16&lt;2210000),VLOOKUP(2170000,源泉DB!$B$258:$K$258,L16+3)+ROUNDDOWN((K16-2170000)*40.84%,0),IF(AND(K16&gt;1700000,K16&lt;2170000),VLOOKUP(1700000,源泉DB!$B$257:$K$257,L16+3)+ROUNDDOWN((K16-1700000)*40.84%,0),IF(AND(K16&gt;950000,K16&lt;1700000),VLOOKUP(950000,源泉DB!$B$256:$K$256,L16+3)+ROUNDDOWN((K16-950000)*33.693%,0),IF(AND(K16&gt;780000,K16&lt;950000),VLOOKUP(780000,源泉DB!$B$255:$K$255,L16+3)+ROUNDDOWN((K16-780000)*23.483%,0),IF(AND(K16&gt;740000,K16&lt;780000),VLOOKUP(740000,源泉DB!$B$254:$K$254,L16+3)+ROUNDDOWN((K16-740000)*20.42%,0),VLOOKUP(K16,源泉DB!$B$8:$K$299,L16+3))))))))),IF(F16="乙",IF(K16&gt;1700000,651900+(K16-1700000) *45.945%,IF(K16=1700000,651900,IF(AND(K16&gt;740000,K16&lt;1700000),259800+(K16-740000)*40.84%,IF(K16=740000,259800,IF(K16&lt;88000,ROUNDDOWN(K16*3.063%,9),VLOOKUP(K16,源泉DB!$B$8:$L$254,11)))))),"")),"")</f>
        <v/>
      </c>
      <c r="U16" s="165"/>
      <c r="V16" s="166"/>
      <c r="W16" s="166"/>
      <c r="X16" s="166"/>
      <c r="Y16" s="166"/>
      <c r="Z16" s="178">
        <f>ROUND(IFERROR(IF(($G16="加入"),VLOOKUP($I16,年金DB!$G$16:$P$65,6,TRUE),0),0)-0.1,0)</f>
        <v>0</v>
      </c>
      <c r="AA16" s="178">
        <f>ROUND(IFERROR(IF(AND($G16="加入",$D16&gt;=40,$D16&lt;=64),VLOOKUP($I16,年金DB!$G$16:$P$65,10,TRUE),0),0)-0.1,0)</f>
        <v>0</v>
      </c>
      <c r="AB16" s="178">
        <f>ROUND(IFERROR(IF(AND($G16="加入",$D16&lt;40),VLOOKUP($J16,年金DB!$G$16:$X$62,14,TRUE),IF(AND($G16="加入",$D16&gt;=40),VLOOKUP($J16,年金DB!$G$16:$X$62,14,TRUE),"0")),0)-0.1,0)</f>
        <v>0</v>
      </c>
      <c r="AC16" s="178">
        <f t="shared" si="6"/>
        <v>0</v>
      </c>
      <c r="AD16" s="21">
        <f t="shared" si="3"/>
        <v>0</v>
      </c>
      <c r="AE16" s="173">
        <f t="shared" si="4"/>
        <v>0</v>
      </c>
      <c r="AF16" s="14" t="str">
        <f t="shared" si="5"/>
        <v/>
      </c>
      <c r="AG16" s="14"/>
      <c r="AH16" s="14"/>
    </row>
    <row r="17" spans="1:34">
      <c r="A17" s="28"/>
      <c r="B17" s="180"/>
      <c r="C17" s="188"/>
      <c r="D17" s="161"/>
      <c r="E17" s="162"/>
      <c r="F17" s="162"/>
      <c r="G17" s="163"/>
      <c r="H17" s="285"/>
      <c r="I17" s="282"/>
      <c r="J17" s="16"/>
      <c r="K17" s="18">
        <f t="shared" si="0"/>
        <v>0</v>
      </c>
      <c r="L17" s="288">
        <v>0</v>
      </c>
      <c r="M17" s="291"/>
      <c r="N17" s="164"/>
      <c r="O17" s="164"/>
      <c r="P17" s="164"/>
      <c r="Q17" s="175">
        <f t="shared" si="7"/>
        <v>0</v>
      </c>
      <c r="R17" s="164"/>
      <c r="S17" s="197">
        <f t="shared" si="2"/>
        <v>0</v>
      </c>
      <c r="T17" s="201" t="str" cm="1">
        <f t="array" ref="T17">IFERROR(IF(F17="甲",IF(K17&gt;3500000,VLOOKUP(3500000,源泉DB!$B$261:$L$261,L17+3)+ROUNDDOWN((K17-3500000)*45.945%,0),IF(AND(K17&gt;2250000,K17&lt;3500000),VLOOKUP(2250000,源泉DB!$B$260:$K$260,L17+3)+ROUNDDOWN((K17-2250000)*40.84%,0),IF(AND(K17&gt;2210000,K17&lt;2250000),VLOOKUP(2210000,源泉DB!$B$259:$K$259,L17+3)+ROUNDDOWN((K17-2210000)*40.84%,0),IF(AND(K17&gt;2170000,K17&lt;2210000),VLOOKUP(2170000,源泉DB!$B$258:$K$258,L17+3)+ROUNDDOWN((K17-2170000)*40.84%,0),IF(AND(K17&gt;1700000,K17&lt;2170000),VLOOKUP(1700000,源泉DB!$B$257:$K$257,L17+3)+ROUNDDOWN((K17-1700000)*40.84%,0),IF(AND(K17&gt;950000,K17&lt;1700000),VLOOKUP(950000,源泉DB!$B$256:$K$256,L17+3)+ROUNDDOWN((K17-950000)*33.693%,0),IF(AND(K17&gt;780000,K17&lt;950000),VLOOKUP(780000,源泉DB!$B$255:$K$255,L17+3)+ROUNDDOWN((K17-780000)*23.483%,0),IF(AND(K17&gt;740000,K17&lt;780000),VLOOKUP(740000,源泉DB!$B$254:$K$254,L17+3)+ROUNDDOWN((K17-740000)*20.42%,0),VLOOKUP(K17,源泉DB!$B$8:$K$299,L17+3))))))))),IF(F17="乙",IF(K17&gt;1700000,651900+(K17-1700000) *45.945%,IF(K17=1700000,651900,IF(AND(K17&gt;740000,K17&lt;1700000),259800+(K17-740000)*40.84%,IF(K17=740000,259800,IF(K17&lt;88000,ROUNDDOWN(K17*3.063%,9),VLOOKUP(K17,源泉DB!$B$8:$L$254,11)))))),"")),"")</f>
        <v/>
      </c>
      <c r="U17" s="165"/>
      <c r="V17" s="166"/>
      <c r="W17" s="166"/>
      <c r="X17" s="166"/>
      <c r="Y17" s="166"/>
      <c r="Z17" s="178">
        <f>ROUND(IFERROR(IF(($G17="加入"),VLOOKUP($I17,年金DB!$G$16:$P$65,6,TRUE),0),0)-0.1,0)</f>
        <v>0</v>
      </c>
      <c r="AA17" s="178">
        <f>ROUND(IFERROR(IF(AND($G17="加入",$D17&gt;=40,$D17&lt;=64),VLOOKUP($I17,年金DB!$G$16:$P$65,10,TRUE),0),0)-0.1,0)</f>
        <v>0</v>
      </c>
      <c r="AB17" s="178">
        <f>ROUND(IFERROR(IF(AND($G17="加入",$D17&lt;40),VLOOKUP($J17,年金DB!$G$16:$X$62,14,TRUE),IF(AND($G17="加入",$D17&gt;=40),VLOOKUP($J17,年金DB!$G$16:$X$62,14,TRUE),"0")),0)-0.1,0)</f>
        <v>0</v>
      </c>
      <c r="AC17" s="178">
        <f t="shared" si="6"/>
        <v>0</v>
      </c>
      <c r="AD17" s="21">
        <f t="shared" si="3"/>
        <v>0</v>
      </c>
      <c r="AE17" s="173">
        <f t="shared" si="4"/>
        <v>0</v>
      </c>
      <c r="AF17" s="14" t="str">
        <f t="shared" si="5"/>
        <v/>
      </c>
      <c r="AG17" s="14"/>
      <c r="AH17" s="14"/>
    </row>
    <row r="18" spans="1:34">
      <c r="A18" s="28"/>
      <c r="B18" s="180"/>
      <c r="C18" s="188"/>
      <c r="D18" s="161"/>
      <c r="E18" s="162"/>
      <c r="F18" s="162"/>
      <c r="G18" s="163"/>
      <c r="H18" s="285"/>
      <c r="I18" s="282"/>
      <c r="J18" s="16"/>
      <c r="K18" s="18">
        <f t="shared" si="0"/>
        <v>0</v>
      </c>
      <c r="L18" s="288">
        <v>0</v>
      </c>
      <c r="M18" s="291"/>
      <c r="N18" s="164"/>
      <c r="O18" s="164"/>
      <c r="P18" s="164"/>
      <c r="Q18" s="175">
        <f t="shared" si="7"/>
        <v>0</v>
      </c>
      <c r="R18" s="164"/>
      <c r="S18" s="197">
        <f t="shared" si="2"/>
        <v>0</v>
      </c>
      <c r="T18" s="201" t="str" cm="1">
        <f t="array" ref="T18">IFERROR(IF(F18="甲",IF(K18&gt;3500000,VLOOKUP(3500000,源泉DB!$B$261:$L$261,L18+3)+ROUNDDOWN((K18-3500000)*45.945%,0),IF(AND(K18&gt;2250000,K18&lt;3500000),VLOOKUP(2250000,源泉DB!$B$260:$K$260,L18+3)+ROUNDDOWN((K18-2250000)*40.84%,0),IF(AND(K18&gt;2210000,K18&lt;2250000),VLOOKUP(2210000,源泉DB!$B$259:$K$259,L18+3)+ROUNDDOWN((K18-2210000)*40.84%,0),IF(AND(K18&gt;2170000,K18&lt;2210000),VLOOKUP(2170000,源泉DB!$B$258:$K$258,L18+3)+ROUNDDOWN((K18-2170000)*40.84%,0),IF(AND(K18&gt;1700000,K18&lt;2170000),VLOOKUP(1700000,源泉DB!$B$257:$K$257,L18+3)+ROUNDDOWN((K18-1700000)*40.84%,0),IF(AND(K18&gt;950000,K18&lt;1700000),VLOOKUP(950000,源泉DB!$B$256:$K$256,L18+3)+ROUNDDOWN((K18-950000)*33.693%,0),IF(AND(K18&gt;780000,K18&lt;950000),VLOOKUP(780000,源泉DB!$B$255:$K$255,L18+3)+ROUNDDOWN((K18-780000)*23.483%,0),IF(AND(K18&gt;740000,K18&lt;780000),VLOOKUP(740000,源泉DB!$B$254:$K$254,L18+3)+ROUNDDOWN((K18-740000)*20.42%,0),VLOOKUP(K18,源泉DB!$B$8:$K$299,L18+3))))))))),IF(F18="乙",IF(K18&gt;1700000,651900+(K18-1700000) *45.945%,IF(K18=1700000,651900,IF(AND(K18&gt;740000,K18&lt;1700000),259800+(K18-740000)*40.84%,IF(K18=740000,259800,IF(K18&lt;88000,ROUNDDOWN(K18*3.063%,9),VLOOKUP(K18,源泉DB!$B$8:$L$254,11)))))),"")),"")</f>
        <v/>
      </c>
      <c r="U18" s="165"/>
      <c r="V18" s="166"/>
      <c r="W18" s="166"/>
      <c r="X18" s="166"/>
      <c r="Y18" s="166"/>
      <c r="Z18" s="178">
        <f>ROUND(IFERROR(IF(($G18="加入"),VLOOKUP($I18,年金DB!$G$16:$P$65,6,TRUE),0),0)-0.1,0)</f>
        <v>0</v>
      </c>
      <c r="AA18" s="178">
        <f>ROUND(IFERROR(IF(AND($G18="加入",$D18&gt;=40,$D18&lt;=64),VLOOKUP($I18,年金DB!$G$16:$P$65,10,TRUE),0),0)-0.1,0)</f>
        <v>0</v>
      </c>
      <c r="AB18" s="178">
        <f>ROUND(IFERROR(IF(AND($G18="加入",$D18&lt;40),VLOOKUP($J18,年金DB!$G$16:$X$62,14,TRUE),IF(AND($G18="加入",$D18&gt;=40),VLOOKUP($J18,年金DB!$G$16:$X$62,14,TRUE),"0")),0)-0.1,0)</f>
        <v>0</v>
      </c>
      <c r="AC18" s="178">
        <f t="shared" si="6"/>
        <v>0</v>
      </c>
      <c r="AD18" s="21">
        <f t="shared" si="3"/>
        <v>0</v>
      </c>
      <c r="AE18" s="173">
        <f t="shared" si="4"/>
        <v>0</v>
      </c>
      <c r="AF18" s="14" t="str">
        <f t="shared" si="5"/>
        <v/>
      </c>
      <c r="AG18" s="14"/>
      <c r="AH18" s="14"/>
    </row>
    <row r="19" spans="1:34">
      <c r="A19" s="28"/>
      <c r="B19" s="180"/>
      <c r="C19" s="188"/>
      <c r="D19" s="161"/>
      <c r="E19" s="162"/>
      <c r="F19" s="162"/>
      <c r="G19" s="163"/>
      <c r="H19" s="285"/>
      <c r="I19" s="282"/>
      <c r="J19" s="16"/>
      <c r="K19" s="18">
        <f t="shared" si="0"/>
        <v>0</v>
      </c>
      <c r="L19" s="288">
        <v>0</v>
      </c>
      <c r="M19" s="291"/>
      <c r="N19" s="164"/>
      <c r="O19" s="164"/>
      <c r="P19" s="164"/>
      <c r="Q19" s="175">
        <f t="shared" si="7"/>
        <v>0</v>
      </c>
      <c r="R19" s="164"/>
      <c r="S19" s="197">
        <f t="shared" si="2"/>
        <v>0</v>
      </c>
      <c r="T19" s="201" t="str" cm="1">
        <f t="array" ref="T19">IFERROR(IF(F19="甲",IF(K19&gt;3500000,VLOOKUP(3500000,源泉DB!$B$261:$L$261,L19+3)+ROUNDDOWN((K19-3500000)*45.945%,0),IF(AND(K19&gt;2250000,K19&lt;3500000),VLOOKUP(2250000,源泉DB!$B$260:$K$260,L19+3)+ROUNDDOWN((K19-2250000)*40.84%,0),IF(AND(K19&gt;2210000,K19&lt;2250000),VLOOKUP(2210000,源泉DB!$B$259:$K$259,L19+3)+ROUNDDOWN((K19-2210000)*40.84%,0),IF(AND(K19&gt;2170000,K19&lt;2210000),VLOOKUP(2170000,源泉DB!$B$258:$K$258,L19+3)+ROUNDDOWN((K19-2170000)*40.84%,0),IF(AND(K19&gt;1700000,K19&lt;2170000),VLOOKUP(1700000,源泉DB!$B$257:$K$257,L19+3)+ROUNDDOWN((K19-1700000)*40.84%,0),IF(AND(K19&gt;950000,K19&lt;1700000),VLOOKUP(950000,源泉DB!$B$256:$K$256,L19+3)+ROUNDDOWN((K19-950000)*33.693%,0),IF(AND(K19&gt;780000,K19&lt;950000),VLOOKUP(780000,源泉DB!$B$255:$K$255,L19+3)+ROUNDDOWN((K19-780000)*23.483%,0),IF(AND(K19&gt;740000,K19&lt;780000),VLOOKUP(740000,源泉DB!$B$254:$K$254,L19+3)+ROUNDDOWN((K19-740000)*20.42%,0),VLOOKUP(K19,源泉DB!$B$8:$K$299,L19+3))))))))),IF(F19="乙",IF(K19&gt;1700000,651900+(K19-1700000) *45.945%,IF(K19=1700000,651900,IF(AND(K19&gt;740000,K19&lt;1700000),259800+(K19-740000)*40.84%,IF(K19=740000,259800,IF(K19&lt;88000,ROUNDDOWN(K19*3.063%,9),VLOOKUP(K19,源泉DB!$B$8:$L$254,11)))))),"")),"")</f>
        <v/>
      </c>
      <c r="U19" s="165"/>
      <c r="V19" s="166"/>
      <c r="W19" s="166"/>
      <c r="X19" s="166"/>
      <c r="Y19" s="166"/>
      <c r="Z19" s="178">
        <f>ROUND(IFERROR(IF(($G19="加入"),VLOOKUP($I19,年金DB!$G$16:$P$65,6,TRUE),0),0)-0.1,0)</f>
        <v>0</v>
      </c>
      <c r="AA19" s="178">
        <f>ROUND(IFERROR(IF(AND($G19="加入",$D19&gt;=40,$D19&lt;=64),VLOOKUP($I19,年金DB!$G$16:$P$65,10,TRUE),0),0)-0.1,0)</f>
        <v>0</v>
      </c>
      <c r="AB19" s="178">
        <f>ROUND(IFERROR(IF(AND($G19="加入",$D19&lt;40),VLOOKUP($J19,年金DB!$G$16:$X$62,14,TRUE),IF(AND($G19="加入",$D19&gt;=40),VLOOKUP($J19,年金DB!$G$16:$X$62,14,TRUE),"0")),0)-0.1,0)</f>
        <v>0</v>
      </c>
      <c r="AC19" s="178">
        <f t="shared" si="6"/>
        <v>0</v>
      </c>
      <c r="AD19" s="21">
        <f t="shared" si="3"/>
        <v>0</v>
      </c>
      <c r="AE19" s="173">
        <f t="shared" si="4"/>
        <v>0</v>
      </c>
      <c r="AF19" s="14" t="str">
        <f t="shared" si="5"/>
        <v/>
      </c>
      <c r="AG19" s="14"/>
      <c r="AH19" s="14"/>
    </row>
    <row r="20" spans="1:34">
      <c r="A20" s="28"/>
      <c r="B20" s="180"/>
      <c r="C20" s="188"/>
      <c r="D20" s="161"/>
      <c r="E20" s="162"/>
      <c r="F20" s="162"/>
      <c r="G20" s="163"/>
      <c r="H20" s="285"/>
      <c r="I20" s="282"/>
      <c r="J20" s="16"/>
      <c r="K20" s="18">
        <f t="shared" si="0"/>
        <v>0</v>
      </c>
      <c r="L20" s="288">
        <v>0</v>
      </c>
      <c r="M20" s="291"/>
      <c r="N20" s="164"/>
      <c r="O20" s="164"/>
      <c r="P20" s="164"/>
      <c r="Q20" s="175">
        <f t="shared" si="7"/>
        <v>0</v>
      </c>
      <c r="R20" s="164"/>
      <c r="S20" s="197">
        <f t="shared" si="2"/>
        <v>0</v>
      </c>
      <c r="T20" s="201" t="str" cm="1">
        <f t="array" ref="T20">IFERROR(IF(F20="甲",IF(K20&gt;3500000,VLOOKUP(3500000,源泉DB!$B$261:$L$261,L20+3)+ROUNDDOWN((K20-3500000)*45.945%,0),IF(AND(K20&gt;2250000,K20&lt;3500000),VLOOKUP(2250000,源泉DB!$B$260:$K$260,L20+3)+ROUNDDOWN((K20-2250000)*40.84%,0),IF(AND(K20&gt;2210000,K20&lt;2250000),VLOOKUP(2210000,源泉DB!$B$259:$K$259,L20+3)+ROUNDDOWN((K20-2210000)*40.84%,0),IF(AND(K20&gt;2170000,K20&lt;2210000),VLOOKUP(2170000,源泉DB!$B$258:$K$258,L20+3)+ROUNDDOWN((K20-2170000)*40.84%,0),IF(AND(K20&gt;1700000,K20&lt;2170000),VLOOKUP(1700000,源泉DB!$B$257:$K$257,L20+3)+ROUNDDOWN((K20-1700000)*40.84%,0),IF(AND(K20&gt;950000,K20&lt;1700000),VLOOKUP(950000,源泉DB!$B$256:$K$256,L20+3)+ROUNDDOWN((K20-950000)*33.693%,0),IF(AND(K20&gt;780000,K20&lt;950000),VLOOKUP(780000,源泉DB!$B$255:$K$255,L20+3)+ROUNDDOWN((K20-780000)*23.483%,0),IF(AND(K20&gt;740000,K20&lt;780000),VLOOKUP(740000,源泉DB!$B$254:$K$254,L20+3)+ROUNDDOWN((K20-740000)*20.42%,0),VLOOKUP(K20,源泉DB!$B$8:$K$299,L20+3))))))))),IF(F20="乙",IF(K20&gt;1700000,651900+(K20-1700000) *45.945%,IF(K20=1700000,651900,IF(AND(K20&gt;740000,K20&lt;1700000),259800+(K20-740000)*40.84%,IF(K20=740000,259800,IF(K20&lt;88000,ROUNDDOWN(K20*3.063%,9),VLOOKUP(K20,源泉DB!$B$8:$L$254,11)))))),"")),"")</f>
        <v/>
      </c>
      <c r="U20" s="165"/>
      <c r="V20" s="166"/>
      <c r="W20" s="166"/>
      <c r="X20" s="166"/>
      <c r="Y20" s="166"/>
      <c r="Z20" s="178">
        <f>ROUND(IFERROR(IF(($G20="加入"),VLOOKUP($I20,年金DB!$G$16:$P$65,6,TRUE),0),0)-0.1,0)</f>
        <v>0</v>
      </c>
      <c r="AA20" s="178">
        <f>ROUND(IFERROR(IF(AND($G20="加入",$D20&gt;=40,$D20&lt;=64),VLOOKUP($I20,年金DB!$G$16:$P$65,10,TRUE),0),0)-0.1,0)</f>
        <v>0</v>
      </c>
      <c r="AB20" s="178">
        <f>ROUND(IFERROR(IF(AND($G20="加入",$D20&lt;40),VLOOKUP($J20,年金DB!$G$16:$X$62,14,TRUE),IF(AND($G20="加入",$D20&gt;=40),VLOOKUP($J20,年金DB!$G$16:$X$62,14,TRUE),"0")),0)-0.1,0)</f>
        <v>0</v>
      </c>
      <c r="AC20" s="178">
        <f t="shared" si="6"/>
        <v>0</v>
      </c>
      <c r="AD20" s="21">
        <f t="shared" si="3"/>
        <v>0</v>
      </c>
      <c r="AE20" s="173">
        <f t="shared" si="4"/>
        <v>0</v>
      </c>
      <c r="AF20" s="14" t="str">
        <f t="shared" si="5"/>
        <v/>
      </c>
      <c r="AG20" s="14"/>
      <c r="AH20" s="14"/>
    </row>
    <row r="21" spans="1:34">
      <c r="A21" s="28"/>
      <c r="B21" s="180"/>
      <c r="C21" s="188"/>
      <c r="D21" s="161"/>
      <c r="E21" s="162"/>
      <c r="F21" s="162"/>
      <c r="G21" s="163"/>
      <c r="H21" s="285"/>
      <c r="I21" s="282"/>
      <c r="J21" s="16"/>
      <c r="K21" s="18">
        <f t="shared" si="0"/>
        <v>0</v>
      </c>
      <c r="L21" s="288">
        <v>0</v>
      </c>
      <c r="M21" s="291"/>
      <c r="N21" s="164"/>
      <c r="O21" s="164"/>
      <c r="P21" s="164"/>
      <c r="Q21" s="175">
        <f t="shared" si="7"/>
        <v>0</v>
      </c>
      <c r="R21" s="164"/>
      <c r="S21" s="197">
        <f t="shared" si="2"/>
        <v>0</v>
      </c>
      <c r="T21" s="201" t="str" cm="1">
        <f t="array" ref="T21">IFERROR(IF(F21="甲",IF(K21&gt;3500000,VLOOKUP(3500000,源泉DB!$B$261:$L$261,L21+3)+ROUNDDOWN((K21-3500000)*45.945%,0),IF(AND(K21&gt;2250000,K21&lt;3500000),VLOOKUP(2250000,源泉DB!$B$260:$K$260,L21+3)+ROUNDDOWN((K21-2250000)*40.84%,0),IF(AND(K21&gt;2210000,K21&lt;2250000),VLOOKUP(2210000,源泉DB!$B$259:$K$259,L21+3)+ROUNDDOWN((K21-2210000)*40.84%,0),IF(AND(K21&gt;2170000,K21&lt;2210000),VLOOKUP(2170000,源泉DB!$B$258:$K$258,L21+3)+ROUNDDOWN((K21-2170000)*40.84%,0),IF(AND(K21&gt;1700000,K21&lt;2170000),VLOOKUP(1700000,源泉DB!$B$257:$K$257,L21+3)+ROUNDDOWN((K21-1700000)*40.84%,0),IF(AND(K21&gt;950000,K21&lt;1700000),VLOOKUP(950000,源泉DB!$B$256:$K$256,L21+3)+ROUNDDOWN((K21-950000)*33.693%,0),IF(AND(K21&gt;780000,K21&lt;950000),VLOOKUP(780000,源泉DB!$B$255:$K$255,L21+3)+ROUNDDOWN((K21-780000)*23.483%,0),IF(AND(K21&gt;740000,K21&lt;780000),VLOOKUP(740000,源泉DB!$B$254:$K$254,L21+3)+ROUNDDOWN((K21-740000)*20.42%,0),VLOOKUP(K21,源泉DB!$B$8:$K$299,L21+3))))))))),IF(F21="乙",IF(K21&gt;1700000,651900+(K21-1700000) *45.945%,IF(K21=1700000,651900,IF(AND(K21&gt;740000,K21&lt;1700000),259800+(K21-740000)*40.84%,IF(K21=740000,259800,IF(K21&lt;88000,ROUNDDOWN(K21*3.063%,9),VLOOKUP(K21,源泉DB!$B$8:$L$254,11)))))),"")),"")</f>
        <v/>
      </c>
      <c r="U21" s="165"/>
      <c r="V21" s="166"/>
      <c r="W21" s="166"/>
      <c r="X21" s="166"/>
      <c r="Y21" s="166"/>
      <c r="Z21" s="178">
        <f>ROUND(IFERROR(IF(($G21="加入"),VLOOKUP($I21,年金DB!$G$16:$P$65,6,TRUE),0),0)-0.1,0)</f>
        <v>0</v>
      </c>
      <c r="AA21" s="178">
        <f>ROUND(IFERROR(IF(AND($G21="加入",$D21&gt;=40,$D21&lt;=64),VLOOKUP($I21,年金DB!$G$16:$P$65,10,TRUE),0),0)-0.1,0)</f>
        <v>0</v>
      </c>
      <c r="AB21" s="178">
        <f>ROUND(IFERROR(IF(AND($G21="加入",$D21&lt;40),VLOOKUP($J21,年金DB!$G$16:$X$62,14,TRUE),IF(AND($G21="加入",$D21&gt;=40),VLOOKUP($J21,年金DB!$G$16:$X$62,14,TRUE),"0")),0)-0.1,0)</f>
        <v>0</v>
      </c>
      <c r="AC21" s="178">
        <f t="shared" si="6"/>
        <v>0</v>
      </c>
      <c r="AD21" s="21">
        <f t="shared" si="3"/>
        <v>0</v>
      </c>
      <c r="AE21" s="173">
        <f t="shared" si="4"/>
        <v>0</v>
      </c>
      <c r="AF21" s="14" t="str">
        <f t="shared" si="5"/>
        <v/>
      </c>
      <c r="AG21" s="14"/>
      <c r="AH21" s="14"/>
    </row>
    <row r="22" spans="1:34">
      <c r="A22" s="28"/>
      <c r="B22" s="180"/>
      <c r="C22" s="188"/>
      <c r="D22" s="161"/>
      <c r="E22" s="162"/>
      <c r="F22" s="162"/>
      <c r="G22" s="163"/>
      <c r="H22" s="285"/>
      <c r="I22" s="282"/>
      <c r="J22" s="16"/>
      <c r="K22" s="18">
        <f t="shared" si="0"/>
        <v>0</v>
      </c>
      <c r="L22" s="288">
        <v>0</v>
      </c>
      <c r="M22" s="291"/>
      <c r="N22" s="164"/>
      <c r="O22" s="164"/>
      <c r="P22" s="164"/>
      <c r="Q22" s="175">
        <f t="shared" si="7"/>
        <v>0</v>
      </c>
      <c r="R22" s="164"/>
      <c r="S22" s="197">
        <f t="shared" si="2"/>
        <v>0</v>
      </c>
      <c r="T22" s="201" t="str" cm="1">
        <f t="array" ref="T22">IFERROR(IF(F22="甲",IF(K22&gt;3500000,VLOOKUP(3500000,源泉DB!$B$261:$L$261,L22+3)+ROUNDDOWN((K22-3500000)*45.945%,0),IF(AND(K22&gt;2250000,K22&lt;3500000),VLOOKUP(2250000,源泉DB!$B$260:$K$260,L22+3)+ROUNDDOWN((K22-2250000)*40.84%,0),IF(AND(K22&gt;2210000,K22&lt;2250000),VLOOKUP(2210000,源泉DB!$B$259:$K$259,L22+3)+ROUNDDOWN((K22-2210000)*40.84%,0),IF(AND(K22&gt;2170000,K22&lt;2210000),VLOOKUP(2170000,源泉DB!$B$258:$K$258,L22+3)+ROUNDDOWN((K22-2170000)*40.84%,0),IF(AND(K22&gt;1700000,K22&lt;2170000),VLOOKUP(1700000,源泉DB!$B$257:$K$257,L22+3)+ROUNDDOWN((K22-1700000)*40.84%,0),IF(AND(K22&gt;950000,K22&lt;1700000),VLOOKUP(950000,源泉DB!$B$256:$K$256,L22+3)+ROUNDDOWN((K22-950000)*33.693%,0),IF(AND(K22&gt;780000,K22&lt;950000),VLOOKUP(780000,源泉DB!$B$255:$K$255,L22+3)+ROUNDDOWN((K22-780000)*23.483%,0),IF(AND(K22&gt;740000,K22&lt;780000),VLOOKUP(740000,源泉DB!$B$254:$K$254,L22+3)+ROUNDDOWN((K22-740000)*20.42%,0),VLOOKUP(K22,源泉DB!$B$8:$K$299,L22+3))))))))),IF(F22="乙",IF(K22&gt;1700000,651900+(K22-1700000) *45.945%,IF(K22=1700000,651900,IF(AND(K22&gt;740000,K22&lt;1700000),259800+(K22-740000)*40.84%,IF(K22=740000,259800,IF(K22&lt;88000,ROUNDDOWN(K22*3.063%,9),VLOOKUP(K22,源泉DB!$B$8:$L$254,11)))))),"")),"")</f>
        <v/>
      </c>
      <c r="U22" s="165"/>
      <c r="V22" s="166"/>
      <c r="W22" s="166"/>
      <c r="X22" s="166"/>
      <c r="Y22" s="166"/>
      <c r="Z22" s="178">
        <f>ROUND(IFERROR(IF(($G22="加入"),VLOOKUP($I22,年金DB!$G$16:$P$65,6,TRUE),0),0)-0.1,0)</f>
        <v>0</v>
      </c>
      <c r="AA22" s="178">
        <f>ROUND(IFERROR(IF(AND($G22="加入",$D22&gt;=40,$D22&lt;=64),VLOOKUP($I22,年金DB!$G$16:$P$65,10,TRUE),0),0)-0.1,0)</f>
        <v>0</v>
      </c>
      <c r="AB22" s="178">
        <f>ROUND(IFERROR(IF(AND($G22="加入",$D22&lt;40),VLOOKUP($J22,年金DB!$G$16:$X$62,14,TRUE),IF(AND($G22="加入",$D22&gt;=40),VLOOKUP($J22,年金DB!$G$16:$X$62,14,TRUE),"0")),0)-0.1,0)</f>
        <v>0</v>
      </c>
      <c r="AC22" s="178">
        <f t="shared" si="6"/>
        <v>0</v>
      </c>
      <c r="AD22" s="21">
        <f t="shared" si="3"/>
        <v>0</v>
      </c>
      <c r="AE22" s="173">
        <f t="shared" si="4"/>
        <v>0</v>
      </c>
      <c r="AF22" s="14" t="str">
        <f t="shared" si="5"/>
        <v/>
      </c>
      <c r="AG22" s="14"/>
      <c r="AH22" s="14"/>
    </row>
    <row r="23" spans="1:34">
      <c r="A23" s="28"/>
      <c r="B23" s="180"/>
      <c r="C23" s="188"/>
      <c r="D23" s="161"/>
      <c r="E23" s="162"/>
      <c r="F23" s="162"/>
      <c r="G23" s="163"/>
      <c r="H23" s="285"/>
      <c r="I23" s="282"/>
      <c r="J23" s="16"/>
      <c r="K23" s="18">
        <f t="shared" si="0"/>
        <v>0</v>
      </c>
      <c r="L23" s="288">
        <v>0</v>
      </c>
      <c r="M23" s="291"/>
      <c r="N23" s="164"/>
      <c r="O23" s="164"/>
      <c r="P23" s="164"/>
      <c r="Q23" s="175">
        <f t="shared" si="7"/>
        <v>0</v>
      </c>
      <c r="R23" s="164"/>
      <c r="S23" s="197">
        <f t="shared" si="2"/>
        <v>0</v>
      </c>
      <c r="T23" s="201" t="str" cm="1">
        <f t="array" ref="T23">IFERROR(IF(F23="甲",IF(K23&gt;3500000,VLOOKUP(3500000,源泉DB!$B$261:$L$261,L23+3)+ROUNDDOWN((K23-3500000)*45.945%,0),IF(AND(K23&gt;2250000,K23&lt;3500000),VLOOKUP(2250000,源泉DB!$B$260:$K$260,L23+3)+ROUNDDOWN((K23-2250000)*40.84%,0),IF(AND(K23&gt;2210000,K23&lt;2250000),VLOOKUP(2210000,源泉DB!$B$259:$K$259,L23+3)+ROUNDDOWN((K23-2210000)*40.84%,0),IF(AND(K23&gt;2170000,K23&lt;2210000),VLOOKUP(2170000,源泉DB!$B$258:$K$258,L23+3)+ROUNDDOWN((K23-2170000)*40.84%,0),IF(AND(K23&gt;1700000,K23&lt;2170000),VLOOKUP(1700000,源泉DB!$B$257:$K$257,L23+3)+ROUNDDOWN((K23-1700000)*40.84%,0),IF(AND(K23&gt;950000,K23&lt;1700000),VLOOKUP(950000,源泉DB!$B$256:$K$256,L23+3)+ROUNDDOWN((K23-950000)*33.693%,0),IF(AND(K23&gt;780000,K23&lt;950000),VLOOKUP(780000,源泉DB!$B$255:$K$255,L23+3)+ROUNDDOWN((K23-780000)*23.483%,0),IF(AND(K23&gt;740000,K23&lt;780000),VLOOKUP(740000,源泉DB!$B$254:$K$254,L23+3)+ROUNDDOWN((K23-740000)*20.42%,0),VLOOKUP(K23,源泉DB!$B$8:$K$299,L23+3))))))))),IF(F23="乙",IF(K23&gt;1700000,651900+(K23-1700000) *45.945%,IF(K23=1700000,651900,IF(AND(K23&gt;740000,K23&lt;1700000),259800+(K23-740000)*40.84%,IF(K23=740000,259800,IF(K23&lt;88000,ROUNDDOWN(K23*3.063%,9),VLOOKUP(K23,源泉DB!$B$8:$L$254,11)))))),"")),"")</f>
        <v/>
      </c>
      <c r="U23" s="165"/>
      <c r="V23" s="166"/>
      <c r="W23" s="166"/>
      <c r="X23" s="166"/>
      <c r="Y23" s="166"/>
      <c r="Z23" s="178">
        <f>ROUND(IFERROR(IF(($G23="加入"),VLOOKUP($I23,年金DB!$G$16:$P$65,6,TRUE),0),0)-0.1,0)</f>
        <v>0</v>
      </c>
      <c r="AA23" s="178">
        <f>ROUND(IFERROR(IF(AND($G23="加入",$D23&gt;=40,$D23&lt;=64),VLOOKUP($I23,年金DB!$G$16:$P$65,10,TRUE),0),0)-0.1,0)</f>
        <v>0</v>
      </c>
      <c r="AB23" s="178">
        <f>ROUND(IFERROR(IF(AND($G23="加入",$D23&lt;40),VLOOKUP($J23,年金DB!$G$16:$X$62,14,TRUE),IF(AND($G23="加入",$D23&gt;=40),VLOOKUP($J23,年金DB!$G$16:$X$62,14,TRUE),"0")),0)-0.1,0)</f>
        <v>0</v>
      </c>
      <c r="AC23" s="178">
        <f t="shared" si="6"/>
        <v>0</v>
      </c>
      <c r="AD23" s="21">
        <f t="shared" si="3"/>
        <v>0</v>
      </c>
      <c r="AE23" s="173">
        <f t="shared" si="4"/>
        <v>0</v>
      </c>
      <c r="AF23" s="14" t="str">
        <f t="shared" si="5"/>
        <v/>
      </c>
      <c r="AG23" s="14"/>
      <c r="AH23" s="14"/>
    </row>
    <row r="24" spans="1:34">
      <c r="A24" s="28"/>
      <c r="B24" s="180"/>
      <c r="C24" s="188"/>
      <c r="D24" s="161"/>
      <c r="E24" s="162"/>
      <c r="F24" s="162"/>
      <c r="G24" s="163"/>
      <c r="H24" s="285"/>
      <c r="I24" s="282"/>
      <c r="J24" s="16"/>
      <c r="K24" s="18">
        <f t="shared" si="0"/>
        <v>0</v>
      </c>
      <c r="L24" s="288">
        <v>0</v>
      </c>
      <c r="M24" s="291"/>
      <c r="N24" s="164"/>
      <c r="O24" s="164"/>
      <c r="P24" s="164"/>
      <c r="Q24" s="175">
        <f t="shared" si="7"/>
        <v>0</v>
      </c>
      <c r="R24" s="164"/>
      <c r="S24" s="197">
        <f t="shared" si="2"/>
        <v>0</v>
      </c>
      <c r="T24" s="201" t="str" cm="1">
        <f t="array" ref="T24">IFERROR(IF(F24="甲",IF(K24&gt;3500000,VLOOKUP(3500000,源泉DB!$B$261:$L$261,L24+3)+ROUNDDOWN((K24-3500000)*45.945%,0),IF(AND(K24&gt;2250000,K24&lt;3500000),VLOOKUP(2250000,源泉DB!$B$260:$K$260,L24+3)+ROUNDDOWN((K24-2250000)*40.84%,0),IF(AND(K24&gt;2210000,K24&lt;2250000),VLOOKUP(2210000,源泉DB!$B$259:$K$259,L24+3)+ROUNDDOWN((K24-2210000)*40.84%,0),IF(AND(K24&gt;2170000,K24&lt;2210000),VLOOKUP(2170000,源泉DB!$B$258:$K$258,L24+3)+ROUNDDOWN((K24-2170000)*40.84%,0),IF(AND(K24&gt;1700000,K24&lt;2170000),VLOOKUP(1700000,源泉DB!$B$257:$K$257,L24+3)+ROUNDDOWN((K24-1700000)*40.84%,0),IF(AND(K24&gt;950000,K24&lt;1700000),VLOOKUP(950000,源泉DB!$B$256:$K$256,L24+3)+ROUNDDOWN((K24-950000)*33.693%,0),IF(AND(K24&gt;780000,K24&lt;950000),VLOOKUP(780000,源泉DB!$B$255:$K$255,L24+3)+ROUNDDOWN((K24-780000)*23.483%,0),IF(AND(K24&gt;740000,K24&lt;780000),VLOOKUP(740000,源泉DB!$B$254:$K$254,L24+3)+ROUNDDOWN((K24-740000)*20.42%,0),VLOOKUP(K24,源泉DB!$B$8:$K$299,L24+3))))))))),IF(F24="乙",IF(K24&gt;1700000,651900+(K24-1700000) *45.945%,IF(K24=1700000,651900,IF(AND(K24&gt;740000,K24&lt;1700000),259800+(K24-740000)*40.84%,IF(K24=740000,259800,IF(K24&lt;88000,ROUNDDOWN(K24*3.063%,9),VLOOKUP(K24,源泉DB!$B$8:$L$254,11)))))),"")),"")</f>
        <v/>
      </c>
      <c r="U24" s="165"/>
      <c r="V24" s="166"/>
      <c r="W24" s="166"/>
      <c r="X24" s="166"/>
      <c r="Y24" s="166"/>
      <c r="Z24" s="178">
        <f>ROUND(IFERROR(IF(($G24="加入"),VLOOKUP($I24,年金DB!$G$16:$P$65,6,TRUE),0),0)-0.1,0)</f>
        <v>0</v>
      </c>
      <c r="AA24" s="178">
        <f>ROUND(IFERROR(IF(AND($G24="加入",$D24&gt;=40,$D24&lt;=64),VLOOKUP($I24,年金DB!$G$16:$P$65,10,TRUE),0),0)-0.1,0)</f>
        <v>0</v>
      </c>
      <c r="AB24" s="178">
        <f>ROUND(IFERROR(IF(AND($G24="加入",$D24&lt;40),VLOOKUP($J24,年金DB!$G$16:$X$62,14,TRUE),IF(AND($G24="加入",$D24&gt;=40),VLOOKUP($J24,年金DB!$G$16:$X$62,14,TRUE),"0")),0)-0.1,0)</f>
        <v>0</v>
      </c>
      <c r="AC24" s="178">
        <f t="shared" si="6"/>
        <v>0</v>
      </c>
      <c r="AD24" s="21">
        <f t="shared" si="3"/>
        <v>0</v>
      </c>
      <c r="AE24" s="173">
        <f t="shared" si="4"/>
        <v>0</v>
      </c>
      <c r="AF24" s="14" t="str">
        <f t="shared" si="5"/>
        <v/>
      </c>
      <c r="AG24" s="14"/>
      <c r="AH24" s="14"/>
    </row>
    <row r="25" spans="1:34">
      <c r="A25" s="28"/>
      <c r="B25" s="180"/>
      <c r="C25" s="188"/>
      <c r="D25" s="161"/>
      <c r="E25" s="162"/>
      <c r="F25" s="162"/>
      <c r="G25" s="163"/>
      <c r="H25" s="285"/>
      <c r="I25" s="282"/>
      <c r="J25" s="16"/>
      <c r="K25" s="18">
        <f t="shared" si="0"/>
        <v>0</v>
      </c>
      <c r="L25" s="288">
        <v>0</v>
      </c>
      <c r="M25" s="291"/>
      <c r="N25" s="164"/>
      <c r="O25" s="164"/>
      <c r="P25" s="164"/>
      <c r="Q25" s="175">
        <f t="shared" si="7"/>
        <v>0</v>
      </c>
      <c r="R25" s="164"/>
      <c r="S25" s="197">
        <f t="shared" si="2"/>
        <v>0</v>
      </c>
      <c r="T25" s="201" t="str" cm="1">
        <f t="array" ref="T25">IFERROR(IF(F25="甲",IF(K25&gt;3500000,VLOOKUP(3500000,源泉DB!$B$261:$L$261,L25+3)+ROUNDDOWN((K25-3500000)*45.945%,0),IF(AND(K25&gt;2250000,K25&lt;3500000),VLOOKUP(2250000,源泉DB!$B$260:$K$260,L25+3)+ROUNDDOWN((K25-2250000)*40.84%,0),IF(AND(K25&gt;2210000,K25&lt;2250000),VLOOKUP(2210000,源泉DB!$B$259:$K$259,L25+3)+ROUNDDOWN((K25-2210000)*40.84%,0),IF(AND(K25&gt;2170000,K25&lt;2210000),VLOOKUP(2170000,源泉DB!$B$258:$K$258,L25+3)+ROUNDDOWN((K25-2170000)*40.84%,0),IF(AND(K25&gt;1700000,K25&lt;2170000),VLOOKUP(1700000,源泉DB!$B$257:$K$257,L25+3)+ROUNDDOWN((K25-1700000)*40.84%,0),IF(AND(K25&gt;950000,K25&lt;1700000),VLOOKUP(950000,源泉DB!$B$256:$K$256,L25+3)+ROUNDDOWN((K25-950000)*33.693%,0),IF(AND(K25&gt;780000,K25&lt;950000),VLOOKUP(780000,源泉DB!$B$255:$K$255,L25+3)+ROUNDDOWN((K25-780000)*23.483%,0),IF(AND(K25&gt;740000,K25&lt;780000),VLOOKUP(740000,源泉DB!$B$254:$K$254,L25+3)+ROUNDDOWN((K25-740000)*20.42%,0),VLOOKUP(K25,源泉DB!$B$8:$K$299,L25+3))))))))),IF(F25="乙",IF(K25&gt;1700000,651900+(K25-1700000) *45.945%,IF(K25=1700000,651900,IF(AND(K25&gt;740000,K25&lt;1700000),259800+(K25-740000)*40.84%,IF(K25=740000,259800,IF(K25&lt;88000,ROUNDDOWN(K25*3.063%,9),VLOOKUP(K25,源泉DB!$B$8:$L$254,11)))))),"")),"")</f>
        <v/>
      </c>
      <c r="U25" s="165"/>
      <c r="V25" s="166"/>
      <c r="W25" s="166"/>
      <c r="X25" s="166"/>
      <c r="Y25" s="166"/>
      <c r="Z25" s="178">
        <f>ROUND(IFERROR(IF(($G25="加入"),VLOOKUP($I25,年金DB!$G$16:$P$65,6,TRUE),0),0)-0.1,0)</f>
        <v>0</v>
      </c>
      <c r="AA25" s="178">
        <f>ROUND(IFERROR(IF(AND($G25="加入",$D25&gt;=40,$D25&lt;=64),VLOOKUP($I25,年金DB!$G$16:$P$65,10,TRUE),0),0)-0.1,0)</f>
        <v>0</v>
      </c>
      <c r="AB25" s="178">
        <f>ROUND(IFERROR(IF(AND($G25="加入",$D25&lt;40),VLOOKUP($J25,年金DB!$G$16:$X$62,14,TRUE),IF(AND($G25="加入",$D25&gt;=40),VLOOKUP($J25,年金DB!$G$16:$X$62,14,TRUE),"0")),0)-0.1,0)</f>
        <v>0</v>
      </c>
      <c r="AC25" s="178">
        <f t="shared" si="6"/>
        <v>0</v>
      </c>
      <c r="AD25" s="21">
        <f t="shared" si="3"/>
        <v>0</v>
      </c>
      <c r="AE25" s="173">
        <f t="shared" si="4"/>
        <v>0</v>
      </c>
      <c r="AF25" s="14" t="str">
        <f t="shared" si="5"/>
        <v/>
      </c>
      <c r="AG25" s="14"/>
      <c r="AH25" s="14"/>
    </row>
    <row r="26" spans="1:34">
      <c r="A26" s="28"/>
      <c r="B26" s="180"/>
      <c r="C26" s="188"/>
      <c r="D26" s="161"/>
      <c r="E26" s="162"/>
      <c r="F26" s="162"/>
      <c r="G26" s="163"/>
      <c r="H26" s="285"/>
      <c r="I26" s="282"/>
      <c r="J26" s="16"/>
      <c r="K26" s="18">
        <f t="shared" si="0"/>
        <v>0</v>
      </c>
      <c r="L26" s="288">
        <v>0</v>
      </c>
      <c r="M26" s="291"/>
      <c r="N26" s="164"/>
      <c r="O26" s="164"/>
      <c r="P26" s="164"/>
      <c r="Q26" s="175">
        <f t="shared" si="7"/>
        <v>0</v>
      </c>
      <c r="R26" s="164"/>
      <c r="S26" s="197">
        <f t="shared" si="2"/>
        <v>0</v>
      </c>
      <c r="T26" s="201" t="str" cm="1">
        <f t="array" ref="T26">IFERROR(IF(F26="甲",IF(K26&gt;3500000,VLOOKUP(3500000,源泉DB!$B$261:$L$261,L26+3)+ROUNDDOWN((K26-3500000)*45.945%,0),IF(AND(K26&gt;2250000,K26&lt;3500000),VLOOKUP(2250000,源泉DB!$B$260:$K$260,L26+3)+ROUNDDOWN((K26-2250000)*40.84%,0),IF(AND(K26&gt;2210000,K26&lt;2250000),VLOOKUP(2210000,源泉DB!$B$259:$K$259,L26+3)+ROUNDDOWN((K26-2210000)*40.84%,0),IF(AND(K26&gt;2170000,K26&lt;2210000),VLOOKUP(2170000,源泉DB!$B$258:$K$258,L26+3)+ROUNDDOWN((K26-2170000)*40.84%,0),IF(AND(K26&gt;1700000,K26&lt;2170000),VLOOKUP(1700000,源泉DB!$B$257:$K$257,L26+3)+ROUNDDOWN((K26-1700000)*40.84%,0),IF(AND(K26&gt;950000,K26&lt;1700000),VLOOKUP(950000,源泉DB!$B$256:$K$256,L26+3)+ROUNDDOWN((K26-950000)*33.693%,0),IF(AND(K26&gt;780000,K26&lt;950000),VLOOKUP(780000,源泉DB!$B$255:$K$255,L26+3)+ROUNDDOWN((K26-780000)*23.483%,0),IF(AND(K26&gt;740000,K26&lt;780000),VLOOKUP(740000,源泉DB!$B$254:$K$254,L26+3)+ROUNDDOWN((K26-740000)*20.42%,0),VLOOKUP(K26,源泉DB!$B$8:$K$299,L26+3))))))))),IF(F26="乙",IF(K26&gt;1700000,651900+(K26-1700000) *45.945%,IF(K26=1700000,651900,IF(AND(K26&gt;740000,K26&lt;1700000),259800+(K26-740000)*40.84%,IF(K26=740000,259800,IF(K26&lt;88000,ROUNDDOWN(K26*3.063%,9),VLOOKUP(K26,源泉DB!$B$8:$L$254,11)))))),"")),"")</f>
        <v/>
      </c>
      <c r="U26" s="165"/>
      <c r="V26" s="166"/>
      <c r="W26" s="166"/>
      <c r="X26" s="166"/>
      <c r="Y26" s="166"/>
      <c r="Z26" s="178">
        <f>ROUND(IFERROR(IF(($G26="加入"),VLOOKUP($I26,年金DB!$G$16:$P$65,6,TRUE),0),0)-0.1,0)</f>
        <v>0</v>
      </c>
      <c r="AA26" s="178">
        <f>ROUND(IFERROR(IF(AND($G26="加入",$D26&gt;=40,$D26&lt;=64),VLOOKUP($I26,年金DB!$G$16:$P$65,10,TRUE),0),0)-0.1,0)</f>
        <v>0</v>
      </c>
      <c r="AB26" s="178">
        <f>ROUND(IFERROR(IF(AND($G26="加入",$D26&lt;40),VLOOKUP($J26,年金DB!$G$16:$X$62,14,TRUE),IF(AND($G26="加入",$D26&gt;=40),VLOOKUP($J26,年金DB!$G$16:$X$62,14,TRUE),"0")),0)-0.1,0)</f>
        <v>0</v>
      </c>
      <c r="AC26" s="178">
        <f t="shared" si="6"/>
        <v>0</v>
      </c>
      <c r="AD26" s="21">
        <f t="shared" si="3"/>
        <v>0</v>
      </c>
      <c r="AE26" s="173">
        <f t="shared" si="4"/>
        <v>0</v>
      </c>
      <c r="AF26" s="14" t="str">
        <f t="shared" si="5"/>
        <v/>
      </c>
      <c r="AG26" s="14"/>
      <c r="AH26" s="14"/>
    </row>
    <row r="27" spans="1:34">
      <c r="A27" s="28"/>
      <c r="B27" s="180"/>
      <c r="C27" s="188"/>
      <c r="D27" s="161"/>
      <c r="E27" s="162"/>
      <c r="F27" s="162"/>
      <c r="G27" s="163"/>
      <c r="H27" s="285"/>
      <c r="I27" s="282"/>
      <c r="J27" s="16"/>
      <c r="K27" s="18">
        <f t="shared" si="0"/>
        <v>0</v>
      </c>
      <c r="L27" s="288">
        <v>0</v>
      </c>
      <c r="M27" s="291"/>
      <c r="N27" s="164"/>
      <c r="O27" s="164"/>
      <c r="P27" s="164"/>
      <c r="Q27" s="175">
        <f t="shared" si="7"/>
        <v>0</v>
      </c>
      <c r="R27" s="164"/>
      <c r="S27" s="197">
        <f t="shared" si="2"/>
        <v>0</v>
      </c>
      <c r="T27" s="201" t="str" cm="1">
        <f t="array" ref="T27">IFERROR(IF(F27="甲",IF(K27&gt;3500000,VLOOKUP(3500000,源泉DB!$B$261:$L$261,L27+3)+ROUNDDOWN((K27-3500000)*45.945%,0),IF(AND(K27&gt;2250000,K27&lt;3500000),VLOOKUP(2250000,源泉DB!$B$260:$K$260,L27+3)+ROUNDDOWN((K27-2250000)*40.84%,0),IF(AND(K27&gt;2210000,K27&lt;2250000),VLOOKUP(2210000,源泉DB!$B$259:$K$259,L27+3)+ROUNDDOWN((K27-2210000)*40.84%,0),IF(AND(K27&gt;2170000,K27&lt;2210000),VLOOKUP(2170000,源泉DB!$B$258:$K$258,L27+3)+ROUNDDOWN((K27-2170000)*40.84%,0),IF(AND(K27&gt;1700000,K27&lt;2170000),VLOOKUP(1700000,源泉DB!$B$257:$K$257,L27+3)+ROUNDDOWN((K27-1700000)*40.84%,0),IF(AND(K27&gt;950000,K27&lt;1700000),VLOOKUP(950000,源泉DB!$B$256:$K$256,L27+3)+ROUNDDOWN((K27-950000)*33.693%,0),IF(AND(K27&gt;780000,K27&lt;950000),VLOOKUP(780000,源泉DB!$B$255:$K$255,L27+3)+ROUNDDOWN((K27-780000)*23.483%,0),IF(AND(K27&gt;740000,K27&lt;780000),VLOOKUP(740000,源泉DB!$B$254:$K$254,L27+3)+ROUNDDOWN((K27-740000)*20.42%,0),VLOOKUP(K27,源泉DB!$B$8:$K$299,L27+3))))))))),IF(F27="乙",IF(K27&gt;1700000,651900+(K27-1700000) *45.945%,IF(K27=1700000,651900,IF(AND(K27&gt;740000,K27&lt;1700000),259800+(K27-740000)*40.84%,IF(K27=740000,259800,IF(K27&lt;88000,ROUNDDOWN(K27*3.063%,9),VLOOKUP(K27,源泉DB!$B$8:$L$254,11)))))),"")),"")</f>
        <v/>
      </c>
      <c r="U27" s="165"/>
      <c r="V27" s="166"/>
      <c r="W27" s="166"/>
      <c r="X27" s="166"/>
      <c r="Y27" s="166"/>
      <c r="Z27" s="178">
        <f>ROUND(IFERROR(IF(($G27="加入"),VLOOKUP($I27,年金DB!$G$16:$P$65,6,TRUE),0),0)-0.1,0)</f>
        <v>0</v>
      </c>
      <c r="AA27" s="178">
        <f>ROUND(IFERROR(IF(AND($G27="加入",$D27&gt;=40,$D27&lt;=64),VLOOKUP($I27,年金DB!$G$16:$P$65,10,TRUE),0),0)-0.1,0)</f>
        <v>0</v>
      </c>
      <c r="AB27" s="178">
        <f>ROUND(IFERROR(IF(AND($G27="加入",$D27&lt;40),VLOOKUP($J27,年金DB!$G$16:$X$62,14,TRUE),IF(AND($G27="加入",$D27&gt;=40),VLOOKUP($J27,年金DB!$G$16:$X$62,14,TRUE),"0")),0)-0.1,0)</f>
        <v>0</v>
      </c>
      <c r="AC27" s="178">
        <f t="shared" si="6"/>
        <v>0</v>
      </c>
      <c r="AD27" s="21">
        <f t="shared" si="3"/>
        <v>0</v>
      </c>
      <c r="AE27" s="173">
        <f t="shared" si="4"/>
        <v>0</v>
      </c>
      <c r="AF27" s="14" t="str">
        <f t="shared" si="5"/>
        <v/>
      </c>
      <c r="AG27" s="14"/>
      <c r="AH27" s="14"/>
    </row>
    <row r="28" spans="1:34">
      <c r="A28" s="28"/>
      <c r="B28" s="180"/>
      <c r="C28" s="188"/>
      <c r="D28" s="161"/>
      <c r="E28" s="162"/>
      <c r="F28" s="162"/>
      <c r="G28" s="163"/>
      <c r="H28" s="285"/>
      <c r="I28" s="282"/>
      <c r="J28" s="16"/>
      <c r="K28" s="18">
        <f t="shared" si="0"/>
        <v>0</v>
      </c>
      <c r="L28" s="288">
        <v>0</v>
      </c>
      <c r="M28" s="291"/>
      <c r="N28" s="164"/>
      <c r="O28" s="164"/>
      <c r="P28" s="164"/>
      <c r="Q28" s="175">
        <f t="shared" si="7"/>
        <v>0</v>
      </c>
      <c r="R28" s="164"/>
      <c r="S28" s="197">
        <f t="shared" si="2"/>
        <v>0</v>
      </c>
      <c r="T28" s="201" t="str" cm="1">
        <f t="array" ref="T28">IFERROR(IF(F28="甲",IF(K28&gt;3500000,VLOOKUP(3500000,源泉DB!$B$261:$L$261,L28+3)+ROUNDDOWN((K28-3500000)*45.945%,0),IF(AND(K28&gt;2250000,K28&lt;3500000),VLOOKUP(2250000,源泉DB!$B$260:$K$260,L28+3)+ROUNDDOWN((K28-2250000)*40.84%,0),IF(AND(K28&gt;2210000,K28&lt;2250000),VLOOKUP(2210000,源泉DB!$B$259:$K$259,L28+3)+ROUNDDOWN((K28-2210000)*40.84%,0),IF(AND(K28&gt;2170000,K28&lt;2210000),VLOOKUP(2170000,源泉DB!$B$258:$K$258,L28+3)+ROUNDDOWN((K28-2170000)*40.84%,0),IF(AND(K28&gt;1700000,K28&lt;2170000),VLOOKUP(1700000,源泉DB!$B$257:$K$257,L28+3)+ROUNDDOWN((K28-1700000)*40.84%,0),IF(AND(K28&gt;950000,K28&lt;1700000),VLOOKUP(950000,源泉DB!$B$256:$K$256,L28+3)+ROUNDDOWN((K28-950000)*33.693%,0),IF(AND(K28&gt;780000,K28&lt;950000),VLOOKUP(780000,源泉DB!$B$255:$K$255,L28+3)+ROUNDDOWN((K28-780000)*23.483%,0),IF(AND(K28&gt;740000,K28&lt;780000),VLOOKUP(740000,源泉DB!$B$254:$K$254,L28+3)+ROUNDDOWN((K28-740000)*20.42%,0),VLOOKUP(K28,源泉DB!$B$8:$K$299,L28+3))))))))),IF(F28="乙",IF(K28&gt;1700000,651900+(K28-1700000) *45.945%,IF(K28=1700000,651900,IF(AND(K28&gt;740000,K28&lt;1700000),259800+(K28-740000)*40.84%,IF(K28=740000,259800,IF(K28&lt;88000,ROUNDDOWN(K28*3.063%,9),VLOOKUP(K28,源泉DB!$B$8:$L$254,11)))))),"")),"")</f>
        <v/>
      </c>
      <c r="U28" s="165"/>
      <c r="V28" s="166"/>
      <c r="W28" s="166"/>
      <c r="X28" s="166"/>
      <c r="Y28" s="166"/>
      <c r="Z28" s="178">
        <f>ROUND(IFERROR(IF(($G28="加入"),VLOOKUP($I28,年金DB!$G$16:$P$65,6,TRUE),0),0)-0.1,0)</f>
        <v>0</v>
      </c>
      <c r="AA28" s="178">
        <f>ROUND(IFERROR(IF(AND($G28="加入",$D28&gt;=40,$D28&lt;=64),VLOOKUP($I28,年金DB!$G$16:$P$65,10,TRUE),0),0)-0.1,0)</f>
        <v>0</v>
      </c>
      <c r="AB28" s="178">
        <f>ROUND(IFERROR(IF(AND($G28="加入",$D28&lt;40),VLOOKUP($J28,年金DB!$G$16:$X$62,14,TRUE),IF(AND($G28="加入",$D28&gt;=40),VLOOKUP($J28,年金DB!$G$16:$X$62,14,TRUE),"0")),0)-0.1,0)</f>
        <v>0</v>
      </c>
      <c r="AC28" s="178">
        <f t="shared" si="6"/>
        <v>0</v>
      </c>
      <c r="AD28" s="21">
        <f t="shared" si="3"/>
        <v>0</v>
      </c>
      <c r="AE28" s="173">
        <f t="shared" si="4"/>
        <v>0</v>
      </c>
      <c r="AF28" s="14" t="str">
        <f t="shared" si="5"/>
        <v/>
      </c>
      <c r="AG28" s="14"/>
      <c r="AH28" s="14"/>
    </row>
    <row r="29" spans="1:34">
      <c r="A29" s="28"/>
      <c r="B29" s="180"/>
      <c r="C29" s="188"/>
      <c r="D29" s="161"/>
      <c r="E29" s="162"/>
      <c r="F29" s="162"/>
      <c r="G29" s="163"/>
      <c r="H29" s="285"/>
      <c r="I29" s="282"/>
      <c r="J29" s="16"/>
      <c r="K29" s="18">
        <f t="shared" si="0"/>
        <v>0</v>
      </c>
      <c r="L29" s="288">
        <v>0</v>
      </c>
      <c r="M29" s="291"/>
      <c r="N29" s="164"/>
      <c r="O29" s="164"/>
      <c r="P29" s="164"/>
      <c r="Q29" s="175">
        <f t="shared" si="7"/>
        <v>0</v>
      </c>
      <c r="R29" s="164"/>
      <c r="S29" s="197">
        <f t="shared" si="2"/>
        <v>0</v>
      </c>
      <c r="T29" s="201" t="str" cm="1">
        <f t="array" ref="T29">IFERROR(IF(F29="甲",IF(K29&gt;3500000,VLOOKUP(3500000,源泉DB!$B$261:$L$261,L29+3)+ROUNDDOWN((K29-3500000)*45.945%,0),IF(AND(K29&gt;2250000,K29&lt;3500000),VLOOKUP(2250000,源泉DB!$B$260:$K$260,L29+3)+ROUNDDOWN((K29-2250000)*40.84%,0),IF(AND(K29&gt;2210000,K29&lt;2250000),VLOOKUP(2210000,源泉DB!$B$259:$K$259,L29+3)+ROUNDDOWN((K29-2210000)*40.84%,0),IF(AND(K29&gt;2170000,K29&lt;2210000),VLOOKUP(2170000,源泉DB!$B$258:$K$258,L29+3)+ROUNDDOWN((K29-2170000)*40.84%,0),IF(AND(K29&gt;1700000,K29&lt;2170000),VLOOKUP(1700000,源泉DB!$B$257:$K$257,L29+3)+ROUNDDOWN((K29-1700000)*40.84%,0),IF(AND(K29&gt;950000,K29&lt;1700000),VLOOKUP(950000,源泉DB!$B$256:$K$256,L29+3)+ROUNDDOWN((K29-950000)*33.693%,0),IF(AND(K29&gt;780000,K29&lt;950000),VLOOKUP(780000,源泉DB!$B$255:$K$255,L29+3)+ROUNDDOWN((K29-780000)*23.483%,0),IF(AND(K29&gt;740000,K29&lt;780000),VLOOKUP(740000,源泉DB!$B$254:$K$254,L29+3)+ROUNDDOWN((K29-740000)*20.42%,0),VLOOKUP(K29,源泉DB!$B$8:$K$299,L29+3))))))))),IF(F29="乙",IF(K29&gt;1700000,651900+(K29-1700000) *45.945%,IF(K29=1700000,651900,IF(AND(K29&gt;740000,K29&lt;1700000),259800+(K29-740000)*40.84%,IF(K29=740000,259800,IF(K29&lt;88000,ROUNDDOWN(K29*3.063%,9),VLOOKUP(K29,源泉DB!$B$8:$L$254,11)))))),"")),"")</f>
        <v/>
      </c>
      <c r="U29" s="165"/>
      <c r="V29" s="166"/>
      <c r="W29" s="166"/>
      <c r="X29" s="166"/>
      <c r="Y29" s="166"/>
      <c r="Z29" s="178">
        <f>ROUND(IFERROR(IF(($G29="加入"),VLOOKUP($I29,年金DB!$G$16:$P$65,6,TRUE),0),0)-0.1,0)</f>
        <v>0</v>
      </c>
      <c r="AA29" s="178">
        <f>ROUND(IFERROR(IF(AND($G29="加入",$D29&gt;=40,$D29&lt;=64),VLOOKUP($I29,年金DB!$G$16:$P$65,10,TRUE),0),0)-0.1,0)</f>
        <v>0</v>
      </c>
      <c r="AB29" s="178">
        <f>ROUND(IFERROR(IF(AND($G29="加入",$D29&lt;40),VLOOKUP($J29,年金DB!$G$16:$X$62,14,TRUE),IF(AND($G29="加入",$D29&gt;=40),VLOOKUP($J29,年金DB!$G$16:$X$62,14,TRUE),"0")),0)-0.1,0)</f>
        <v>0</v>
      </c>
      <c r="AC29" s="178">
        <f t="shared" si="6"/>
        <v>0</v>
      </c>
      <c r="AD29" s="21">
        <f t="shared" si="3"/>
        <v>0</v>
      </c>
      <c r="AE29" s="173">
        <f t="shared" si="4"/>
        <v>0</v>
      </c>
      <c r="AF29" s="14" t="str">
        <f t="shared" si="5"/>
        <v/>
      </c>
      <c r="AG29" s="14"/>
      <c r="AH29" s="14"/>
    </row>
    <row r="30" spans="1:34">
      <c r="A30" s="28"/>
      <c r="B30" s="180"/>
      <c r="C30" s="188"/>
      <c r="D30" s="161"/>
      <c r="E30" s="162"/>
      <c r="F30" s="162"/>
      <c r="G30" s="163"/>
      <c r="H30" s="285"/>
      <c r="I30" s="282"/>
      <c r="J30" s="16"/>
      <c r="K30" s="18">
        <f t="shared" si="0"/>
        <v>0</v>
      </c>
      <c r="L30" s="288">
        <v>0</v>
      </c>
      <c r="M30" s="291"/>
      <c r="N30" s="164"/>
      <c r="O30" s="164"/>
      <c r="P30" s="164"/>
      <c r="Q30" s="175">
        <f t="shared" si="7"/>
        <v>0</v>
      </c>
      <c r="R30" s="164"/>
      <c r="S30" s="197">
        <f t="shared" si="2"/>
        <v>0</v>
      </c>
      <c r="T30" s="201" t="str" cm="1">
        <f t="array" ref="T30">IFERROR(IF(F30="甲",IF(K30&gt;3500000,VLOOKUP(3500000,源泉DB!$B$261:$L$261,L30+3)+ROUNDDOWN((K30-3500000)*45.945%,0),IF(AND(K30&gt;2250000,K30&lt;3500000),VLOOKUP(2250000,源泉DB!$B$260:$K$260,L30+3)+ROUNDDOWN((K30-2250000)*40.84%,0),IF(AND(K30&gt;2210000,K30&lt;2250000),VLOOKUP(2210000,源泉DB!$B$259:$K$259,L30+3)+ROUNDDOWN((K30-2210000)*40.84%,0),IF(AND(K30&gt;2170000,K30&lt;2210000),VLOOKUP(2170000,源泉DB!$B$258:$K$258,L30+3)+ROUNDDOWN((K30-2170000)*40.84%,0),IF(AND(K30&gt;1700000,K30&lt;2170000),VLOOKUP(1700000,源泉DB!$B$257:$K$257,L30+3)+ROUNDDOWN((K30-1700000)*40.84%,0),IF(AND(K30&gt;950000,K30&lt;1700000),VLOOKUP(950000,源泉DB!$B$256:$K$256,L30+3)+ROUNDDOWN((K30-950000)*33.693%,0),IF(AND(K30&gt;780000,K30&lt;950000),VLOOKUP(780000,源泉DB!$B$255:$K$255,L30+3)+ROUNDDOWN((K30-780000)*23.483%,0),IF(AND(K30&gt;740000,K30&lt;780000),VLOOKUP(740000,源泉DB!$B$254:$K$254,L30+3)+ROUNDDOWN((K30-740000)*20.42%,0),VLOOKUP(K30,源泉DB!$B$8:$K$299,L30+3))))))))),IF(F30="乙",IF(K30&gt;1700000,651900+(K30-1700000) *45.945%,IF(K30=1700000,651900,IF(AND(K30&gt;740000,K30&lt;1700000),259800+(K30-740000)*40.84%,IF(K30=740000,259800,IF(K30&lt;88000,ROUNDDOWN(K30*3.063%,9),VLOOKUP(K30,源泉DB!$B$8:$L$254,11)))))),"")),"")</f>
        <v/>
      </c>
      <c r="U30" s="165"/>
      <c r="V30" s="166"/>
      <c r="W30" s="166"/>
      <c r="X30" s="166"/>
      <c r="Y30" s="166"/>
      <c r="Z30" s="178">
        <f>ROUND(IFERROR(IF(($G30="加入"),VLOOKUP($I30,年金DB!$G$16:$P$65,6,TRUE),0),0)-0.1,0)</f>
        <v>0</v>
      </c>
      <c r="AA30" s="178">
        <f>ROUND(IFERROR(IF(AND($G30="加入",$D30&gt;=40,$D30&lt;=64),VLOOKUP($I30,年金DB!$G$16:$P$65,10,TRUE),0),0)-0.1,0)</f>
        <v>0</v>
      </c>
      <c r="AB30" s="178">
        <f>ROUND(IFERROR(IF(AND($G30="加入",$D30&lt;40),VLOOKUP($J30,年金DB!$G$16:$X$62,14,TRUE),IF(AND($G30="加入",$D30&gt;=40),VLOOKUP($J30,年金DB!$G$16:$X$62,14,TRUE),"0")),0)-0.1,0)</f>
        <v>0</v>
      </c>
      <c r="AC30" s="178">
        <f t="shared" si="6"/>
        <v>0</v>
      </c>
      <c r="AD30" s="21">
        <f t="shared" si="3"/>
        <v>0</v>
      </c>
      <c r="AE30" s="173">
        <f t="shared" si="4"/>
        <v>0</v>
      </c>
      <c r="AF30" s="14" t="str">
        <f t="shared" si="5"/>
        <v/>
      </c>
      <c r="AG30" s="14"/>
      <c r="AH30" s="14"/>
    </row>
    <row r="31" spans="1:34">
      <c r="A31" s="28"/>
      <c r="B31" s="180"/>
      <c r="C31" s="188"/>
      <c r="D31" s="161"/>
      <c r="E31" s="162"/>
      <c r="F31" s="162"/>
      <c r="G31" s="163"/>
      <c r="H31" s="285"/>
      <c r="I31" s="282"/>
      <c r="J31" s="16"/>
      <c r="K31" s="18">
        <f t="shared" si="0"/>
        <v>0</v>
      </c>
      <c r="L31" s="288">
        <v>0</v>
      </c>
      <c r="M31" s="291"/>
      <c r="N31" s="164"/>
      <c r="O31" s="164"/>
      <c r="P31" s="164"/>
      <c r="Q31" s="175">
        <f t="shared" si="7"/>
        <v>0</v>
      </c>
      <c r="R31" s="164"/>
      <c r="S31" s="197">
        <f t="shared" si="2"/>
        <v>0</v>
      </c>
      <c r="T31" s="201" t="str" cm="1">
        <f t="array" ref="T31">IFERROR(IF(F31="甲",IF(K31&gt;3500000,VLOOKUP(3500000,源泉DB!$B$261:$L$261,L31+3)+ROUNDDOWN((K31-3500000)*45.945%,0),IF(AND(K31&gt;2250000,K31&lt;3500000),VLOOKUP(2250000,源泉DB!$B$260:$K$260,L31+3)+ROUNDDOWN((K31-2250000)*40.84%,0),IF(AND(K31&gt;2210000,K31&lt;2250000),VLOOKUP(2210000,源泉DB!$B$259:$K$259,L31+3)+ROUNDDOWN((K31-2210000)*40.84%,0),IF(AND(K31&gt;2170000,K31&lt;2210000),VLOOKUP(2170000,源泉DB!$B$258:$K$258,L31+3)+ROUNDDOWN((K31-2170000)*40.84%,0),IF(AND(K31&gt;1700000,K31&lt;2170000),VLOOKUP(1700000,源泉DB!$B$257:$K$257,L31+3)+ROUNDDOWN((K31-1700000)*40.84%,0),IF(AND(K31&gt;950000,K31&lt;1700000),VLOOKUP(950000,源泉DB!$B$256:$K$256,L31+3)+ROUNDDOWN((K31-950000)*33.693%,0),IF(AND(K31&gt;780000,K31&lt;950000),VLOOKUP(780000,源泉DB!$B$255:$K$255,L31+3)+ROUNDDOWN((K31-780000)*23.483%,0),IF(AND(K31&gt;740000,K31&lt;780000),VLOOKUP(740000,源泉DB!$B$254:$K$254,L31+3)+ROUNDDOWN((K31-740000)*20.42%,0),VLOOKUP(K31,源泉DB!$B$8:$K$299,L31+3))))))))),IF(F31="乙",IF(K31&gt;1700000,651900+(K31-1700000) *45.945%,IF(K31=1700000,651900,IF(AND(K31&gt;740000,K31&lt;1700000),259800+(K31-740000)*40.84%,IF(K31=740000,259800,IF(K31&lt;88000,ROUNDDOWN(K31*3.063%,9),VLOOKUP(K31,源泉DB!$B$8:$L$254,11)))))),"")),"")</f>
        <v/>
      </c>
      <c r="U31" s="165"/>
      <c r="V31" s="166"/>
      <c r="W31" s="166"/>
      <c r="X31" s="166"/>
      <c r="Y31" s="166"/>
      <c r="Z31" s="178">
        <f>ROUND(IFERROR(IF(($G31="加入"),VLOOKUP($I31,年金DB!$G$16:$P$65,6,TRUE),0),0)-0.1,0)</f>
        <v>0</v>
      </c>
      <c r="AA31" s="178">
        <f>ROUND(IFERROR(IF(AND($G31="加入",$D31&gt;=40,$D31&lt;=64),VLOOKUP($I31,年金DB!$G$16:$P$65,10,TRUE),0),0)-0.1,0)</f>
        <v>0</v>
      </c>
      <c r="AB31" s="178">
        <f>ROUND(IFERROR(IF(AND($G31="加入",$D31&lt;40),VLOOKUP($J31,年金DB!$G$16:$X$62,14,TRUE),IF(AND($G31="加入",$D31&gt;=40),VLOOKUP($J31,年金DB!$G$16:$X$62,14,TRUE),"0")),0)-0.1,0)</f>
        <v>0</v>
      </c>
      <c r="AC31" s="178">
        <f t="shared" si="6"/>
        <v>0</v>
      </c>
      <c r="AD31" s="21">
        <f t="shared" si="3"/>
        <v>0</v>
      </c>
      <c r="AE31" s="173">
        <f t="shared" si="4"/>
        <v>0</v>
      </c>
      <c r="AF31" s="14" t="str">
        <f t="shared" si="5"/>
        <v/>
      </c>
      <c r="AG31" s="14"/>
      <c r="AH31" s="14"/>
    </row>
    <row r="32" spans="1:34">
      <c r="A32" s="28"/>
      <c r="B32" s="180"/>
      <c r="C32" s="188"/>
      <c r="D32" s="161"/>
      <c r="E32" s="162"/>
      <c r="F32" s="162"/>
      <c r="G32" s="163"/>
      <c r="H32" s="285"/>
      <c r="I32" s="282"/>
      <c r="J32" s="16"/>
      <c r="K32" s="18">
        <f t="shared" si="0"/>
        <v>0</v>
      </c>
      <c r="L32" s="288">
        <v>0</v>
      </c>
      <c r="M32" s="291"/>
      <c r="N32" s="164"/>
      <c r="O32" s="164"/>
      <c r="P32" s="164"/>
      <c r="Q32" s="175">
        <f t="shared" si="7"/>
        <v>0</v>
      </c>
      <c r="R32" s="164"/>
      <c r="S32" s="197">
        <f t="shared" si="2"/>
        <v>0</v>
      </c>
      <c r="T32" s="201" t="str" cm="1">
        <f t="array" ref="T32">IFERROR(IF(F32="甲",IF(K32&gt;3500000,VLOOKUP(3500000,源泉DB!$B$261:$L$261,L32+3)+ROUNDDOWN((K32-3500000)*45.945%,0),IF(AND(K32&gt;2250000,K32&lt;3500000),VLOOKUP(2250000,源泉DB!$B$260:$K$260,L32+3)+ROUNDDOWN((K32-2250000)*40.84%,0),IF(AND(K32&gt;2210000,K32&lt;2250000),VLOOKUP(2210000,源泉DB!$B$259:$K$259,L32+3)+ROUNDDOWN((K32-2210000)*40.84%,0),IF(AND(K32&gt;2170000,K32&lt;2210000),VLOOKUP(2170000,源泉DB!$B$258:$K$258,L32+3)+ROUNDDOWN((K32-2170000)*40.84%,0),IF(AND(K32&gt;1700000,K32&lt;2170000),VLOOKUP(1700000,源泉DB!$B$257:$K$257,L32+3)+ROUNDDOWN((K32-1700000)*40.84%,0),IF(AND(K32&gt;950000,K32&lt;1700000),VLOOKUP(950000,源泉DB!$B$256:$K$256,L32+3)+ROUNDDOWN((K32-950000)*33.693%,0),IF(AND(K32&gt;780000,K32&lt;950000),VLOOKUP(780000,源泉DB!$B$255:$K$255,L32+3)+ROUNDDOWN((K32-780000)*23.483%,0),IF(AND(K32&gt;740000,K32&lt;780000),VLOOKUP(740000,源泉DB!$B$254:$K$254,L32+3)+ROUNDDOWN((K32-740000)*20.42%,0),VLOOKUP(K32,源泉DB!$B$8:$K$299,L32+3))))))))),IF(F32="乙",IF(K32&gt;1700000,651900+(K32-1700000) *45.945%,IF(K32=1700000,651900,IF(AND(K32&gt;740000,K32&lt;1700000),259800+(K32-740000)*40.84%,IF(K32=740000,259800,IF(K32&lt;88000,ROUNDDOWN(K32*3.063%,9),VLOOKUP(K32,源泉DB!$B$8:$L$254,11)))))),"")),"")</f>
        <v/>
      </c>
      <c r="U32" s="165"/>
      <c r="V32" s="166"/>
      <c r="W32" s="166"/>
      <c r="X32" s="166"/>
      <c r="Y32" s="166"/>
      <c r="Z32" s="178">
        <f>ROUND(IFERROR(IF(($G32="加入"),VLOOKUP($I32,年金DB!$G$16:$P$65,6,TRUE),0),0)-0.1,0)</f>
        <v>0</v>
      </c>
      <c r="AA32" s="178">
        <f>ROUND(IFERROR(IF(AND($G32="加入",$D32&gt;=40,$D32&lt;=64),VLOOKUP($I32,年金DB!$G$16:$P$65,10,TRUE),0),0)-0.1,0)</f>
        <v>0</v>
      </c>
      <c r="AB32" s="178">
        <f>ROUND(IFERROR(IF(AND($G32="加入",$D32&lt;40),VLOOKUP($J32,年金DB!$G$16:$X$62,14,TRUE),IF(AND($G32="加入",$D32&gt;=40),VLOOKUP($J32,年金DB!$G$16:$X$62,14,TRUE),"0")),0)-0.1,0)</f>
        <v>0</v>
      </c>
      <c r="AC32" s="178">
        <f t="shared" si="6"/>
        <v>0</v>
      </c>
      <c r="AD32" s="21">
        <f t="shared" si="3"/>
        <v>0</v>
      </c>
      <c r="AE32" s="173">
        <f t="shared" si="4"/>
        <v>0</v>
      </c>
      <c r="AF32" s="14" t="str">
        <f t="shared" si="5"/>
        <v/>
      </c>
      <c r="AG32" s="14"/>
      <c r="AH32" s="14"/>
    </row>
    <row r="33" spans="1:34">
      <c r="A33" s="28"/>
      <c r="B33" s="180"/>
      <c r="C33" s="188"/>
      <c r="D33" s="161"/>
      <c r="E33" s="162"/>
      <c r="F33" s="162"/>
      <c r="G33" s="163"/>
      <c r="H33" s="285"/>
      <c r="I33" s="282"/>
      <c r="J33" s="16"/>
      <c r="K33" s="18">
        <f t="shared" si="0"/>
        <v>0</v>
      </c>
      <c r="L33" s="288">
        <v>0</v>
      </c>
      <c r="M33" s="291"/>
      <c r="N33" s="164"/>
      <c r="O33" s="164"/>
      <c r="P33" s="164"/>
      <c r="Q33" s="175">
        <f t="shared" si="7"/>
        <v>0</v>
      </c>
      <c r="R33" s="164"/>
      <c r="S33" s="197">
        <f t="shared" si="2"/>
        <v>0</v>
      </c>
      <c r="T33" s="201" t="str" cm="1">
        <f t="array" ref="T33">IFERROR(IF(F33="甲",IF(K33&gt;3500000,VLOOKUP(3500000,源泉DB!$B$261:$L$261,L33+3)+ROUNDDOWN((K33-3500000)*45.945%,0),IF(AND(K33&gt;2250000,K33&lt;3500000),VLOOKUP(2250000,源泉DB!$B$260:$K$260,L33+3)+ROUNDDOWN((K33-2250000)*40.84%,0),IF(AND(K33&gt;2210000,K33&lt;2250000),VLOOKUP(2210000,源泉DB!$B$259:$K$259,L33+3)+ROUNDDOWN((K33-2210000)*40.84%,0),IF(AND(K33&gt;2170000,K33&lt;2210000),VLOOKUP(2170000,源泉DB!$B$258:$K$258,L33+3)+ROUNDDOWN((K33-2170000)*40.84%,0),IF(AND(K33&gt;1700000,K33&lt;2170000),VLOOKUP(1700000,源泉DB!$B$257:$K$257,L33+3)+ROUNDDOWN((K33-1700000)*40.84%,0),IF(AND(K33&gt;950000,K33&lt;1700000),VLOOKUP(950000,源泉DB!$B$256:$K$256,L33+3)+ROUNDDOWN((K33-950000)*33.693%,0),IF(AND(K33&gt;780000,K33&lt;950000),VLOOKUP(780000,源泉DB!$B$255:$K$255,L33+3)+ROUNDDOWN((K33-780000)*23.483%,0),IF(AND(K33&gt;740000,K33&lt;780000),VLOOKUP(740000,源泉DB!$B$254:$K$254,L33+3)+ROUNDDOWN((K33-740000)*20.42%,0),VLOOKUP(K33,源泉DB!$B$8:$K$299,L33+3))))))))),IF(F33="乙",IF(K33&gt;1700000,651900+(K33-1700000) *45.945%,IF(K33=1700000,651900,IF(AND(K33&gt;740000,K33&lt;1700000),259800+(K33-740000)*40.84%,IF(K33=740000,259800,IF(K33&lt;88000,ROUNDDOWN(K33*3.063%,9),VLOOKUP(K33,源泉DB!$B$8:$L$254,11)))))),"")),"")</f>
        <v/>
      </c>
      <c r="U33" s="165"/>
      <c r="V33" s="166"/>
      <c r="W33" s="166"/>
      <c r="X33" s="166"/>
      <c r="Y33" s="166"/>
      <c r="Z33" s="178">
        <f>ROUND(IFERROR(IF(($G33="加入"),VLOOKUP($I33,年金DB!$G$16:$P$65,6,TRUE),0),0)-0.1,0)</f>
        <v>0</v>
      </c>
      <c r="AA33" s="178">
        <f>ROUND(IFERROR(IF(AND($G33="加入",$D33&gt;=40,$D33&lt;=64),VLOOKUP($I33,年金DB!$G$16:$P$65,10,TRUE),0),0)-0.1,0)</f>
        <v>0</v>
      </c>
      <c r="AB33" s="178">
        <f>ROUND(IFERROR(IF(AND($G33="加入",$D33&lt;40),VLOOKUP($J33,年金DB!$G$16:$X$62,14,TRUE),IF(AND($G33="加入",$D33&gt;=40),VLOOKUP($J33,年金DB!$G$16:$X$62,14,TRUE),"0")),0)-0.1,0)</f>
        <v>0</v>
      </c>
      <c r="AC33" s="178">
        <f t="shared" si="6"/>
        <v>0</v>
      </c>
      <c r="AD33" s="21">
        <f t="shared" si="3"/>
        <v>0</v>
      </c>
      <c r="AE33" s="173">
        <f t="shared" si="4"/>
        <v>0</v>
      </c>
      <c r="AF33" s="14" t="str">
        <f t="shared" si="5"/>
        <v/>
      </c>
      <c r="AG33" s="14"/>
      <c r="AH33" s="14"/>
    </row>
    <row r="34" spans="1:34">
      <c r="A34" s="28"/>
      <c r="B34" s="180"/>
      <c r="C34" s="188"/>
      <c r="D34" s="161"/>
      <c r="E34" s="162"/>
      <c r="F34" s="162"/>
      <c r="G34" s="163"/>
      <c r="H34" s="285"/>
      <c r="I34" s="282"/>
      <c r="J34" s="16"/>
      <c r="K34" s="18">
        <f t="shared" si="0"/>
        <v>0</v>
      </c>
      <c r="L34" s="288">
        <v>0</v>
      </c>
      <c r="M34" s="291"/>
      <c r="N34" s="164"/>
      <c r="O34" s="164"/>
      <c r="P34" s="164"/>
      <c r="Q34" s="175">
        <f t="shared" si="7"/>
        <v>0</v>
      </c>
      <c r="R34" s="164"/>
      <c r="S34" s="197">
        <f t="shared" si="2"/>
        <v>0</v>
      </c>
      <c r="T34" s="201" t="str" cm="1">
        <f t="array" ref="T34">IFERROR(IF(F34="甲",IF(K34&gt;3500000,VLOOKUP(3500000,源泉DB!$B$261:$L$261,L34+3)+ROUNDDOWN((K34-3500000)*45.945%,0),IF(AND(K34&gt;2250000,K34&lt;3500000),VLOOKUP(2250000,源泉DB!$B$260:$K$260,L34+3)+ROUNDDOWN((K34-2250000)*40.84%,0),IF(AND(K34&gt;2210000,K34&lt;2250000),VLOOKUP(2210000,源泉DB!$B$259:$K$259,L34+3)+ROUNDDOWN((K34-2210000)*40.84%,0),IF(AND(K34&gt;2170000,K34&lt;2210000),VLOOKUP(2170000,源泉DB!$B$258:$K$258,L34+3)+ROUNDDOWN((K34-2170000)*40.84%,0),IF(AND(K34&gt;1700000,K34&lt;2170000),VLOOKUP(1700000,源泉DB!$B$257:$K$257,L34+3)+ROUNDDOWN((K34-1700000)*40.84%,0),IF(AND(K34&gt;950000,K34&lt;1700000),VLOOKUP(950000,源泉DB!$B$256:$K$256,L34+3)+ROUNDDOWN((K34-950000)*33.693%,0),IF(AND(K34&gt;780000,K34&lt;950000),VLOOKUP(780000,源泉DB!$B$255:$K$255,L34+3)+ROUNDDOWN((K34-780000)*23.483%,0),IF(AND(K34&gt;740000,K34&lt;780000),VLOOKUP(740000,源泉DB!$B$254:$K$254,L34+3)+ROUNDDOWN((K34-740000)*20.42%,0),VLOOKUP(K34,源泉DB!$B$8:$K$299,L34+3))))))))),IF(F34="乙",IF(K34&gt;1700000,651900+(K34-1700000) *45.945%,IF(K34=1700000,651900,IF(AND(K34&gt;740000,K34&lt;1700000),259800+(K34-740000)*40.84%,IF(K34=740000,259800,IF(K34&lt;88000,ROUNDDOWN(K34*3.063%,9),VLOOKUP(K34,源泉DB!$B$8:$L$254,11)))))),"")),"")</f>
        <v/>
      </c>
      <c r="U34" s="165"/>
      <c r="V34" s="166"/>
      <c r="W34" s="166"/>
      <c r="X34" s="166"/>
      <c r="Y34" s="166"/>
      <c r="Z34" s="178">
        <f>ROUND(IFERROR(IF(($G34="加入"),VLOOKUP($I34,年金DB!$G$16:$P$65,6,TRUE),0),0)-0.1,0)</f>
        <v>0</v>
      </c>
      <c r="AA34" s="178">
        <f>ROUND(IFERROR(IF(AND($G34="加入",$D34&gt;=40,$D34&lt;=64),VLOOKUP($I34,年金DB!$G$16:$P$65,10,TRUE),0),0)-0.1,0)</f>
        <v>0</v>
      </c>
      <c r="AB34" s="178">
        <f>ROUND(IFERROR(IF(AND($G34="加入",$D34&lt;40),VLOOKUP($J34,年金DB!$G$16:$X$62,14,TRUE),IF(AND($G34="加入",$D34&gt;=40),VLOOKUP($J34,年金DB!$G$16:$X$62,14,TRUE),"0")),0)-0.1,0)</f>
        <v>0</v>
      </c>
      <c r="AC34" s="178">
        <f t="shared" si="6"/>
        <v>0</v>
      </c>
      <c r="AD34" s="21">
        <f t="shared" si="3"/>
        <v>0</v>
      </c>
      <c r="AE34" s="173">
        <f t="shared" si="4"/>
        <v>0</v>
      </c>
      <c r="AF34" s="14" t="str">
        <f t="shared" si="5"/>
        <v/>
      </c>
      <c r="AG34" s="14"/>
      <c r="AH34" s="14"/>
    </row>
    <row r="35" spans="1:34">
      <c r="A35" s="28"/>
      <c r="B35" s="180"/>
      <c r="C35" s="188"/>
      <c r="D35" s="161"/>
      <c r="E35" s="162"/>
      <c r="F35" s="162"/>
      <c r="G35" s="163"/>
      <c r="H35" s="285"/>
      <c r="I35" s="282"/>
      <c r="J35" s="16"/>
      <c r="K35" s="18">
        <f t="shared" si="0"/>
        <v>0</v>
      </c>
      <c r="L35" s="288">
        <v>0</v>
      </c>
      <c r="M35" s="291"/>
      <c r="N35" s="164"/>
      <c r="O35" s="164"/>
      <c r="P35" s="164"/>
      <c r="Q35" s="175">
        <f t="shared" si="7"/>
        <v>0</v>
      </c>
      <c r="R35" s="164"/>
      <c r="S35" s="197">
        <f t="shared" si="2"/>
        <v>0</v>
      </c>
      <c r="T35" s="201" t="str" cm="1">
        <f t="array" ref="T35">IFERROR(IF(F35="甲",IF(K35&gt;3500000,VLOOKUP(3500000,源泉DB!$B$261:$L$261,L35+3)+ROUNDDOWN((K35-3500000)*45.945%,0),IF(AND(K35&gt;2250000,K35&lt;3500000),VLOOKUP(2250000,源泉DB!$B$260:$K$260,L35+3)+ROUNDDOWN((K35-2250000)*40.84%,0),IF(AND(K35&gt;2210000,K35&lt;2250000),VLOOKUP(2210000,源泉DB!$B$259:$K$259,L35+3)+ROUNDDOWN((K35-2210000)*40.84%,0),IF(AND(K35&gt;2170000,K35&lt;2210000),VLOOKUP(2170000,源泉DB!$B$258:$K$258,L35+3)+ROUNDDOWN((K35-2170000)*40.84%,0),IF(AND(K35&gt;1700000,K35&lt;2170000),VLOOKUP(1700000,源泉DB!$B$257:$K$257,L35+3)+ROUNDDOWN((K35-1700000)*40.84%,0),IF(AND(K35&gt;950000,K35&lt;1700000),VLOOKUP(950000,源泉DB!$B$256:$K$256,L35+3)+ROUNDDOWN((K35-950000)*33.693%,0),IF(AND(K35&gt;780000,K35&lt;950000),VLOOKUP(780000,源泉DB!$B$255:$K$255,L35+3)+ROUNDDOWN((K35-780000)*23.483%,0),IF(AND(K35&gt;740000,K35&lt;780000),VLOOKUP(740000,源泉DB!$B$254:$K$254,L35+3)+ROUNDDOWN((K35-740000)*20.42%,0),VLOOKUP(K35,源泉DB!$B$8:$K$299,L35+3))))))))),IF(F35="乙",IF(K35&gt;1700000,651900+(K35-1700000) *45.945%,IF(K35=1700000,651900,IF(AND(K35&gt;740000,K35&lt;1700000),259800+(K35-740000)*40.84%,IF(K35=740000,259800,IF(K35&lt;88000,ROUNDDOWN(K35*3.063%,9),VLOOKUP(K35,源泉DB!$B$8:$L$254,11)))))),"")),"")</f>
        <v/>
      </c>
      <c r="U35" s="165"/>
      <c r="V35" s="166"/>
      <c r="W35" s="166"/>
      <c r="X35" s="166"/>
      <c r="Y35" s="166"/>
      <c r="Z35" s="178">
        <f>ROUND(IFERROR(IF(($G35="加入"),VLOOKUP($I35,年金DB!$G$16:$P$65,6,TRUE),0),0)-0.1,0)</f>
        <v>0</v>
      </c>
      <c r="AA35" s="178">
        <f>ROUND(IFERROR(IF(AND($G35="加入",$D35&gt;=40,$D35&lt;=64),VLOOKUP($I35,年金DB!$G$16:$P$65,10,TRUE),0),0)-0.1,0)</f>
        <v>0</v>
      </c>
      <c r="AB35" s="178">
        <f>ROUND(IFERROR(IF(AND($G35="加入",$D35&lt;40),VLOOKUP($J35,年金DB!$G$16:$X$62,14,TRUE),IF(AND($G35="加入",$D35&gt;=40),VLOOKUP($J35,年金DB!$G$16:$X$62,14,TRUE),"0")),0)-0.1,0)</f>
        <v>0</v>
      </c>
      <c r="AC35" s="178">
        <f t="shared" si="6"/>
        <v>0</v>
      </c>
      <c r="AD35" s="21">
        <f t="shared" si="3"/>
        <v>0</v>
      </c>
      <c r="AE35" s="173">
        <f t="shared" si="4"/>
        <v>0</v>
      </c>
      <c r="AF35" s="14" t="str">
        <f t="shared" si="5"/>
        <v/>
      </c>
      <c r="AG35" s="14"/>
      <c r="AH35" s="14"/>
    </row>
    <row r="36" spans="1:34">
      <c r="A36" s="28"/>
      <c r="B36" s="180"/>
      <c r="C36" s="188"/>
      <c r="D36" s="161"/>
      <c r="E36" s="162"/>
      <c r="F36" s="162"/>
      <c r="G36" s="163"/>
      <c r="H36" s="285"/>
      <c r="I36" s="282"/>
      <c r="J36" s="16"/>
      <c r="K36" s="18">
        <f t="shared" si="0"/>
        <v>0</v>
      </c>
      <c r="L36" s="288">
        <v>0</v>
      </c>
      <c r="M36" s="291"/>
      <c r="N36" s="164"/>
      <c r="O36" s="164"/>
      <c r="P36" s="164"/>
      <c r="Q36" s="175">
        <f t="shared" si="7"/>
        <v>0</v>
      </c>
      <c r="R36" s="164"/>
      <c r="S36" s="197">
        <f t="shared" si="2"/>
        <v>0</v>
      </c>
      <c r="T36" s="201" t="str" cm="1">
        <f t="array" ref="T36">IFERROR(IF(F36="甲",IF(K36&gt;3500000,VLOOKUP(3500000,源泉DB!$B$261:$L$261,L36+3)+ROUNDDOWN((K36-3500000)*45.945%,0),IF(AND(K36&gt;2250000,K36&lt;3500000),VLOOKUP(2250000,源泉DB!$B$260:$K$260,L36+3)+ROUNDDOWN((K36-2250000)*40.84%,0),IF(AND(K36&gt;2210000,K36&lt;2250000),VLOOKUP(2210000,源泉DB!$B$259:$K$259,L36+3)+ROUNDDOWN((K36-2210000)*40.84%,0),IF(AND(K36&gt;2170000,K36&lt;2210000),VLOOKUP(2170000,源泉DB!$B$258:$K$258,L36+3)+ROUNDDOWN((K36-2170000)*40.84%,0),IF(AND(K36&gt;1700000,K36&lt;2170000),VLOOKUP(1700000,源泉DB!$B$257:$K$257,L36+3)+ROUNDDOWN((K36-1700000)*40.84%,0),IF(AND(K36&gt;950000,K36&lt;1700000),VLOOKUP(950000,源泉DB!$B$256:$K$256,L36+3)+ROUNDDOWN((K36-950000)*33.693%,0),IF(AND(K36&gt;780000,K36&lt;950000),VLOOKUP(780000,源泉DB!$B$255:$K$255,L36+3)+ROUNDDOWN((K36-780000)*23.483%,0),IF(AND(K36&gt;740000,K36&lt;780000),VLOOKUP(740000,源泉DB!$B$254:$K$254,L36+3)+ROUNDDOWN((K36-740000)*20.42%,0),VLOOKUP(K36,源泉DB!$B$8:$K$299,L36+3))))))))),IF(F36="乙",IF(K36&gt;1700000,651900+(K36-1700000) *45.945%,IF(K36=1700000,651900,IF(AND(K36&gt;740000,K36&lt;1700000),259800+(K36-740000)*40.84%,IF(K36=740000,259800,IF(K36&lt;88000,ROUNDDOWN(K36*3.063%,9),VLOOKUP(K36,源泉DB!$B$8:$L$254,11)))))),"")),"")</f>
        <v/>
      </c>
      <c r="U36" s="165"/>
      <c r="V36" s="166"/>
      <c r="W36" s="166"/>
      <c r="X36" s="166"/>
      <c r="Y36" s="166"/>
      <c r="Z36" s="178">
        <f>ROUND(IFERROR(IF(($G36="加入"),VLOOKUP($I36,年金DB!$G$16:$P$65,6,TRUE),0),0)-0.1,0)</f>
        <v>0</v>
      </c>
      <c r="AA36" s="178">
        <f>ROUND(IFERROR(IF(AND($G36="加入",$D36&gt;=40,$D36&lt;=64),VLOOKUP($I36,年金DB!$G$16:$P$65,10,TRUE),0),0)-0.1,0)</f>
        <v>0</v>
      </c>
      <c r="AB36" s="178">
        <f>ROUND(IFERROR(IF(AND($G36="加入",$D36&lt;40),VLOOKUP($J36,年金DB!$G$16:$X$62,14,TRUE),IF(AND($G36="加入",$D36&gt;=40),VLOOKUP($J36,年金DB!$G$16:$X$62,14,TRUE),"0")),0)-0.1,0)</f>
        <v>0</v>
      </c>
      <c r="AC36" s="178">
        <f t="shared" si="6"/>
        <v>0</v>
      </c>
      <c r="AD36" s="21">
        <f t="shared" si="3"/>
        <v>0</v>
      </c>
      <c r="AE36" s="173">
        <f t="shared" si="4"/>
        <v>0</v>
      </c>
      <c r="AF36" s="14" t="str">
        <f t="shared" si="5"/>
        <v/>
      </c>
      <c r="AG36" s="14"/>
      <c r="AH36" s="14"/>
    </row>
    <row r="37" spans="1:34">
      <c r="A37" s="28"/>
      <c r="B37" s="180"/>
      <c r="C37" s="188"/>
      <c r="D37" s="161"/>
      <c r="E37" s="162"/>
      <c r="F37" s="162"/>
      <c r="G37" s="163"/>
      <c r="H37" s="285"/>
      <c r="I37" s="282"/>
      <c r="J37" s="16"/>
      <c r="K37" s="18">
        <f t="shared" si="0"/>
        <v>0</v>
      </c>
      <c r="L37" s="288">
        <v>0</v>
      </c>
      <c r="M37" s="291"/>
      <c r="N37" s="164"/>
      <c r="O37" s="164"/>
      <c r="P37" s="164"/>
      <c r="Q37" s="175">
        <f t="shared" si="7"/>
        <v>0</v>
      </c>
      <c r="R37" s="164"/>
      <c r="S37" s="197">
        <f t="shared" si="2"/>
        <v>0</v>
      </c>
      <c r="T37" s="201" t="str" cm="1">
        <f t="array" ref="T37">IFERROR(IF(F37="甲",IF(K37&gt;3500000,VLOOKUP(3500000,源泉DB!$B$261:$L$261,L37+3)+ROUNDDOWN((K37-3500000)*45.945%,0),IF(AND(K37&gt;2250000,K37&lt;3500000),VLOOKUP(2250000,源泉DB!$B$260:$K$260,L37+3)+ROUNDDOWN((K37-2250000)*40.84%,0),IF(AND(K37&gt;2210000,K37&lt;2250000),VLOOKUP(2210000,源泉DB!$B$259:$K$259,L37+3)+ROUNDDOWN((K37-2210000)*40.84%,0),IF(AND(K37&gt;2170000,K37&lt;2210000),VLOOKUP(2170000,源泉DB!$B$258:$K$258,L37+3)+ROUNDDOWN((K37-2170000)*40.84%,0),IF(AND(K37&gt;1700000,K37&lt;2170000),VLOOKUP(1700000,源泉DB!$B$257:$K$257,L37+3)+ROUNDDOWN((K37-1700000)*40.84%,0),IF(AND(K37&gt;950000,K37&lt;1700000),VLOOKUP(950000,源泉DB!$B$256:$K$256,L37+3)+ROUNDDOWN((K37-950000)*33.693%,0),IF(AND(K37&gt;780000,K37&lt;950000),VLOOKUP(780000,源泉DB!$B$255:$K$255,L37+3)+ROUNDDOWN((K37-780000)*23.483%,0),IF(AND(K37&gt;740000,K37&lt;780000),VLOOKUP(740000,源泉DB!$B$254:$K$254,L37+3)+ROUNDDOWN((K37-740000)*20.42%,0),VLOOKUP(K37,源泉DB!$B$8:$K$299,L37+3))))))))),IF(F37="乙",IF(K37&gt;1700000,651900+(K37-1700000) *45.945%,IF(K37=1700000,651900,IF(AND(K37&gt;740000,K37&lt;1700000),259800+(K37-740000)*40.84%,IF(K37=740000,259800,IF(K37&lt;88000,ROUNDDOWN(K37*3.063%,9),VLOOKUP(K37,源泉DB!$B$8:$L$254,11)))))),"")),"")</f>
        <v/>
      </c>
      <c r="U37" s="165"/>
      <c r="V37" s="166"/>
      <c r="W37" s="166"/>
      <c r="X37" s="166"/>
      <c r="Y37" s="166"/>
      <c r="Z37" s="178">
        <f>ROUND(IFERROR(IF(($G37="加入"),VLOOKUP($I37,年金DB!$G$16:$P$65,6,TRUE),0),0)-0.1,0)</f>
        <v>0</v>
      </c>
      <c r="AA37" s="178">
        <f>ROUND(IFERROR(IF(AND($G37="加入",$D37&gt;=40,$D37&lt;=64),VLOOKUP($I37,年金DB!$G$16:$P$65,10,TRUE),0),0)-0.1,0)</f>
        <v>0</v>
      </c>
      <c r="AB37" s="178">
        <f>ROUND(IFERROR(IF(AND($G37="加入",$D37&lt;40),VLOOKUP($J37,年金DB!$G$16:$X$62,14,TRUE),IF(AND($G37="加入",$D37&gt;=40),VLOOKUP($J37,年金DB!$G$16:$X$62,14,TRUE),"0")),0)-0.1,0)</f>
        <v>0</v>
      </c>
      <c r="AC37" s="178">
        <f t="shared" si="6"/>
        <v>0</v>
      </c>
      <c r="AD37" s="21">
        <f t="shared" si="3"/>
        <v>0</v>
      </c>
      <c r="AE37" s="173">
        <f t="shared" si="4"/>
        <v>0</v>
      </c>
      <c r="AF37" s="14" t="str">
        <f t="shared" si="5"/>
        <v/>
      </c>
      <c r="AG37" s="14"/>
      <c r="AH37" s="14"/>
    </row>
    <row r="38" spans="1:34">
      <c r="A38" s="28"/>
      <c r="B38" s="180"/>
      <c r="C38" s="188"/>
      <c r="D38" s="161"/>
      <c r="E38" s="162"/>
      <c r="F38" s="162"/>
      <c r="G38" s="163"/>
      <c r="H38" s="285"/>
      <c r="I38" s="282"/>
      <c r="J38" s="16"/>
      <c r="K38" s="18">
        <f t="shared" si="0"/>
        <v>0</v>
      </c>
      <c r="L38" s="288">
        <v>0</v>
      </c>
      <c r="M38" s="291"/>
      <c r="N38" s="164"/>
      <c r="O38" s="164"/>
      <c r="P38" s="164"/>
      <c r="Q38" s="175">
        <f t="shared" si="7"/>
        <v>0</v>
      </c>
      <c r="R38" s="164"/>
      <c r="S38" s="197">
        <f t="shared" si="2"/>
        <v>0</v>
      </c>
      <c r="T38" s="201" t="str" cm="1">
        <f t="array" ref="T38">IFERROR(IF(F38="甲",IF(K38&gt;3500000,VLOOKUP(3500000,源泉DB!$B$261:$L$261,L38+3)+ROUNDDOWN((K38-3500000)*45.945%,0),IF(AND(K38&gt;2250000,K38&lt;3500000),VLOOKUP(2250000,源泉DB!$B$260:$K$260,L38+3)+ROUNDDOWN((K38-2250000)*40.84%,0),IF(AND(K38&gt;2210000,K38&lt;2250000),VLOOKUP(2210000,源泉DB!$B$259:$K$259,L38+3)+ROUNDDOWN((K38-2210000)*40.84%,0),IF(AND(K38&gt;2170000,K38&lt;2210000),VLOOKUP(2170000,源泉DB!$B$258:$K$258,L38+3)+ROUNDDOWN((K38-2170000)*40.84%,0),IF(AND(K38&gt;1700000,K38&lt;2170000),VLOOKUP(1700000,源泉DB!$B$257:$K$257,L38+3)+ROUNDDOWN((K38-1700000)*40.84%,0),IF(AND(K38&gt;950000,K38&lt;1700000),VLOOKUP(950000,源泉DB!$B$256:$K$256,L38+3)+ROUNDDOWN((K38-950000)*33.693%,0),IF(AND(K38&gt;780000,K38&lt;950000),VLOOKUP(780000,源泉DB!$B$255:$K$255,L38+3)+ROUNDDOWN((K38-780000)*23.483%,0),IF(AND(K38&gt;740000,K38&lt;780000),VLOOKUP(740000,源泉DB!$B$254:$K$254,L38+3)+ROUNDDOWN((K38-740000)*20.42%,0),VLOOKUP(K38,源泉DB!$B$8:$K$299,L38+3))))))))),IF(F38="乙",IF(K38&gt;1700000,651900+(K38-1700000) *45.945%,IF(K38=1700000,651900,IF(AND(K38&gt;740000,K38&lt;1700000),259800+(K38-740000)*40.84%,IF(K38=740000,259800,IF(K38&lt;88000,ROUNDDOWN(K38*3.063%,9),VLOOKUP(K38,源泉DB!$B$8:$L$254,11)))))),"")),"")</f>
        <v/>
      </c>
      <c r="U38" s="165"/>
      <c r="V38" s="166"/>
      <c r="W38" s="166"/>
      <c r="X38" s="166"/>
      <c r="Y38" s="166"/>
      <c r="Z38" s="178">
        <f>ROUND(IFERROR(IF(($G38="加入"),VLOOKUP($I38,年金DB!$G$16:$P$65,6,TRUE),0),0)-0.1,0)</f>
        <v>0</v>
      </c>
      <c r="AA38" s="178">
        <f>ROUND(IFERROR(IF(AND($G38="加入",$D38&gt;=40,$D38&lt;=64),VLOOKUP($I38,年金DB!$G$16:$P$65,10,TRUE),0),0)-0.1,0)</f>
        <v>0</v>
      </c>
      <c r="AB38" s="178">
        <f>ROUND(IFERROR(IF(AND($G38="加入",$D38&lt;40),VLOOKUP($J38,年金DB!$G$16:$X$62,14,TRUE),IF(AND($G38="加入",$D38&gt;=40),VLOOKUP($J38,年金DB!$G$16:$X$62,14,TRUE),"0")),0)-0.1,0)</f>
        <v>0</v>
      </c>
      <c r="AC38" s="178">
        <f t="shared" si="6"/>
        <v>0</v>
      </c>
      <c r="AD38" s="21">
        <f t="shared" si="3"/>
        <v>0</v>
      </c>
      <c r="AE38" s="173">
        <f t="shared" si="4"/>
        <v>0</v>
      </c>
      <c r="AF38" s="14" t="str">
        <f t="shared" si="5"/>
        <v/>
      </c>
      <c r="AG38" s="14"/>
      <c r="AH38" s="14"/>
    </row>
    <row r="39" spans="1:34">
      <c r="A39" s="28"/>
      <c r="B39" s="180"/>
      <c r="C39" s="188"/>
      <c r="D39" s="161"/>
      <c r="E39" s="162"/>
      <c r="F39" s="162"/>
      <c r="G39" s="163"/>
      <c r="H39" s="285"/>
      <c r="I39" s="282"/>
      <c r="J39" s="16"/>
      <c r="K39" s="18">
        <f t="shared" si="0"/>
        <v>0</v>
      </c>
      <c r="L39" s="288">
        <v>0</v>
      </c>
      <c r="M39" s="291"/>
      <c r="N39" s="164"/>
      <c r="O39" s="164"/>
      <c r="P39" s="164"/>
      <c r="Q39" s="175">
        <f t="shared" si="7"/>
        <v>0</v>
      </c>
      <c r="R39" s="164"/>
      <c r="S39" s="197">
        <f t="shared" si="2"/>
        <v>0</v>
      </c>
      <c r="T39" s="201" t="str" cm="1">
        <f t="array" ref="T39">IFERROR(IF(F39="甲",IF(K39&gt;3500000,VLOOKUP(3500000,源泉DB!$B$261:$L$261,L39+3)+ROUNDDOWN((K39-3500000)*45.945%,0),IF(AND(K39&gt;2250000,K39&lt;3500000),VLOOKUP(2250000,源泉DB!$B$260:$K$260,L39+3)+ROUNDDOWN((K39-2250000)*40.84%,0),IF(AND(K39&gt;2210000,K39&lt;2250000),VLOOKUP(2210000,源泉DB!$B$259:$K$259,L39+3)+ROUNDDOWN((K39-2210000)*40.84%,0),IF(AND(K39&gt;2170000,K39&lt;2210000),VLOOKUP(2170000,源泉DB!$B$258:$K$258,L39+3)+ROUNDDOWN((K39-2170000)*40.84%,0),IF(AND(K39&gt;1700000,K39&lt;2170000),VLOOKUP(1700000,源泉DB!$B$257:$K$257,L39+3)+ROUNDDOWN((K39-1700000)*40.84%,0),IF(AND(K39&gt;950000,K39&lt;1700000),VLOOKUP(950000,源泉DB!$B$256:$K$256,L39+3)+ROUNDDOWN((K39-950000)*33.693%,0),IF(AND(K39&gt;780000,K39&lt;950000),VLOOKUP(780000,源泉DB!$B$255:$K$255,L39+3)+ROUNDDOWN((K39-780000)*23.483%,0),IF(AND(K39&gt;740000,K39&lt;780000),VLOOKUP(740000,源泉DB!$B$254:$K$254,L39+3)+ROUNDDOWN((K39-740000)*20.42%,0),VLOOKUP(K39,源泉DB!$B$8:$K$299,L39+3))))))))),IF(F39="乙",IF(K39&gt;1700000,651900+(K39-1700000) *45.945%,IF(K39=1700000,651900,IF(AND(K39&gt;740000,K39&lt;1700000),259800+(K39-740000)*40.84%,IF(K39=740000,259800,IF(K39&lt;88000,ROUNDDOWN(K39*3.063%,9),VLOOKUP(K39,源泉DB!$B$8:$L$254,11)))))),"")),"")</f>
        <v/>
      </c>
      <c r="U39" s="165"/>
      <c r="V39" s="166"/>
      <c r="W39" s="166"/>
      <c r="X39" s="166"/>
      <c r="Y39" s="166"/>
      <c r="Z39" s="178">
        <f>ROUND(IFERROR(IF(($G39="加入"),VLOOKUP($I39,年金DB!$G$16:$P$65,6,TRUE),0),0)-0.1,0)</f>
        <v>0</v>
      </c>
      <c r="AA39" s="178">
        <f>ROUND(IFERROR(IF(AND($G39="加入",$D39&gt;=40,$D39&lt;=64),VLOOKUP($I39,年金DB!$G$16:$P$65,10,TRUE),0),0)-0.1,0)</f>
        <v>0</v>
      </c>
      <c r="AB39" s="178">
        <f>ROUND(IFERROR(IF(AND($G39="加入",$D39&lt;40),VLOOKUP($J39,年金DB!$G$16:$X$62,14,TRUE),IF(AND($G39="加入",$D39&gt;=40),VLOOKUP($J39,年金DB!$G$16:$X$62,14,TRUE),"0")),0)-0.1,0)</f>
        <v>0</v>
      </c>
      <c r="AC39" s="178">
        <f t="shared" si="6"/>
        <v>0</v>
      </c>
      <c r="AD39" s="21">
        <f t="shared" si="3"/>
        <v>0</v>
      </c>
      <c r="AE39" s="173">
        <f t="shared" si="4"/>
        <v>0</v>
      </c>
      <c r="AF39" s="14" t="str">
        <f t="shared" si="5"/>
        <v/>
      </c>
      <c r="AG39" s="14"/>
      <c r="AH39" s="14"/>
    </row>
    <row r="40" spans="1:34">
      <c r="A40" s="28"/>
      <c r="B40" s="180"/>
      <c r="C40" s="188"/>
      <c r="D40" s="161"/>
      <c r="E40" s="162"/>
      <c r="F40" s="162"/>
      <c r="G40" s="163"/>
      <c r="H40" s="285"/>
      <c r="I40" s="282"/>
      <c r="J40" s="16"/>
      <c r="K40" s="18">
        <f t="shared" si="0"/>
        <v>0</v>
      </c>
      <c r="L40" s="288">
        <v>0</v>
      </c>
      <c r="M40" s="291"/>
      <c r="N40" s="164"/>
      <c r="O40" s="164"/>
      <c r="P40" s="164"/>
      <c r="Q40" s="175">
        <f t="shared" si="7"/>
        <v>0</v>
      </c>
      <c r="R40" s="164"/>
      <c r="S40" s="197">
        <f t="shared" si="2"/>
        <v>0</v>
      </c>
      <c r="T40" s="201" t="str" cm="1">
        <f t="array" ref="T40">IFERROR(IF(F40="甲",IF(K40&gt;3500000,VLOOKUP(3500000,源泉DB!$B$261:$L$261,L40+3)+ROUNDDOWN((K40-3500000)*45.945%,0),IF(AND(K40&gt;2250000,K40&lt;3500000),VLOOKUP(2250000,源泉DB!$B$260:$K$260,L40+3)+ROUNDDOWN((K40-2250000)*40.84%,0),IF(AND(K40&gt;2210000,K40&lt;2250000),VLOOKUP(2210000,源泉DB!$B$259:$K$259,L40+3)+ROUNDDOWN((K40-2210000)*40.84%,0),IF(AND(K40&gt;2170000,K40&lt;2210000),VLOOKUP(2170000,源泉DB!$B$258:$K$258,L40+3)+ROUNDDOWN((K40-2170000)*40.84%,0),IF(AND(K40&gt;1700000,K40&lt;2170000),VLOOKUP(1700000,源泉DB!$B$257:$K$257,L40+3)+ROUNDDOWN((K40-1700000)*40.84%,0),IF(AND(K40&gt;950000,K40&lt;1700000),VLOOKUP(950000,源泉DB!$B$256:$K$256,L40+3)+ROUNDDOWN((K40-950000)*33.693%,0),IF(AND(K40&gt;780000,K40&lt;950000),VLOOKUP(780000,源泉DB!$B$255:$K$255,L40+3)+ROUNDDOWN((K40-780000)*23.483%,0),IF(AND(K40&gt;740000,K40&lt;780000),VLOOKUP(740000,源泉DB!$B$254:$K$254,L40+3)+ROUNDDOWN((K40-740000)*20.42%,0),VLOOKUP(K40,源泉DB!$B$8:$K$299,L40+3))))))))),IF(F40="乙",IF(K40&gt;1700000,651900+(K40-1700000) *45.945%,IF(K40=1700000,651900,IF(AND(K40&gt;740000,K40&lt;1700000),259800+(K40-740000)*40.84%,IF(K40=740000,259800,IF(K40&lt;88000,ROUNDDOWN(K40*3.063%,9),VLOOKUP(K40,源泉DB!$B$8:$L$254,11)))))),"")),"")</f>
        <v/>
      </c>
      <c r="U40" s="165"/>
      <c r="V40" s="166"/>
      <c r="W40" s="166"/>
      <c r="X40" s="166"/>
      <c r="Y40" s="166"/>
      <c r="Z40" s="178">
        <f>ROUND(IFERROR(IF(($G40="加入"),VLOOKUP($I40,年金DB!$G$16:$P$65,6,TRUE),0),0)-0.1,0)</f>
        <v>0</v>
      </c>
      <c r="AA40" s="178">
        <f>ROUND(IFERROR(IF(AND($G40="加入",$D40&gt;=40,$D40&lt;=64),VLOOKUP($I40,年金DB!$G$16:$P$65,10,TRUE),0),0)-0.1,0)</f>
        <v>0</v>
      </c>
      <c r="AB40" s="178">
        <f>ROUND(IFERROR(IF(AND($G40="加入",$D40&lt;40),VLOOKUP($J40,年金DB!$G$16:$X$62,14,TRUE),IF(AND($G40="加入",$D40&gt;=40),VLOOKUP($J40,年金DB!$G$16:$X$62,14,TRUE),"0")),0)-0.1,0)</f>
        <v>0</v>
      </c>
      <c r="AC40" s="178">
        <f t="shared" si="6"/>
        <v>0</v>
      </c>
      <c r="AD40" s="21">
        <f t="shared" si="3"/>
        <v>0</v>
      </c>
      <c r="AE40" s="173">
        <f t="shared" si="4"/>
        <v>0</v>
      </c>
      <c r="AF40" s="14" t="str">
        <f t="shared" si="5"/>
        <v/>
      </c>
      <c r="AG40" s="14"/>
      <c r="AH40" s="14"/>
    </row>
    <row r="41" spans="1:34">
      <c r="A41" s="28"/>
      <c r="B41" s="180"/>
      <c r="C41" s="188"/>
      <c r="D41" s="161"/>
      <c r="E41" s="162"/>
      <c r="F41" s="162"/>
      <c r="G41" s="163"/>
      <c r="H41" s="285"/>
      <c r="I41" s="282"/>
      <c r="J41" s="16"/>
      <c r="K41" s="18">
        <f t="shared" si="0"/>
        <v>0</v>
      </c>
      <c r="L41" s="288">
        <v>0</v>
      </c>
      <c r="M41" s="291"/>
      <c r="N41" s="164"/>
      <c r="O41" s="164"/>
      <c r="P41" s="164"/>
      <c r="Q41" s="175">
        <f t="shared" si="7"/>
        <v>0</v>
      </c>
      <c r="R41" s="164"/>
      <c r="S41" s="197">
        <f t="shared" si="2"/>
        <v>0</v>
      </c>
      <c r="T41" s="201" t="str" cm="1">
        <f t="array" ref="T41">IFERROR(IF(F41="甲",IF(K41&gt;3500000,VLOOKUP(3500000,源泉DB!$B$261:$L$261,L41+3)+ROUNDDOWN((K41-3500000)*45.945%,0),IF(AND(K41&gt;2250000,K41&lt;3500000),VLOOKUP(2250000,源泉DB!$B$260:$K$260,L41+3)+ROUNDDOWN((K41-2250000)*40.84%,0),IF(AND(K41&gt;2210000,K41&lt;2250000),VLOOKUP(2210000,源泉DB!$B$259:$K$259,L41+3)+ROUNDDOWN((K41-2210000)*40.84%,0),IF(AND(K41&gt;2170000,K41&lt;2210000),VLOOKUP(2170000,源泉DB!$B$258:$K$258,L41+3)+ROUNDDOWN((K41-2170000)*40.84%,0),IF(AND(K41&gt;1700000,K41&lt;2170000),VLOOKUP(1700000,源泉DB!$B$257:$K$257,L41+3)+ROUNDDOWN((K41-1700000)*40.84%,0),IF(AND(K41&gt;950000,K41&lt;1700000),VLOOKUP(950000,源泉DB!$B$256:$K$256,L41+3)+ROUNDDOWN((K41-950000)*33.693%,0),IF(AND(K41&gt;780000,K41&lt;950000),VLOOKUP(780000,源泉DB!$B$255:$K$255,L41+3)+ROUNDDOWN((K41-780000)*23.483%,0),IF(AND(K41&gt;740000,K41&lt;780000),VLOOKUP(740000,源泉DB!$B$254:$K$254,L41+3)+ROUNDDOWN((K41-740000)*20.42%,0),VLOOKUP(K41,源泉DB!$B$8:$K$299,L41+3))))))))),IF(F41="乙",IF(K41&gt;1700000,651900+(K41-1700000) *45.945%,IF(K41=1700000,651900,IF(AND(K41&gt;740000,K41&lt;1700000),259800+(K41-740000)*40.84%,IF(K41=740000,259800,IF(K41&lt;88000,ROUNDDOWN(K41*3.063%,9),VLOOKUP(K41,源泉DB!$B$8:$L$254,11)))))),"")),"")</f>
        <v/>
      </c>
      <c r="U41" s="165"/>
      <c r="V41" s="166"/>
      <c r="W41" s="166"/>
      <c r="X41" s="166"/>
      <c r="Y41" s="166"/>
      <c r="Z41" s="178">
        <f>ROUND(IFERROR(IF(($G41="加入"),VLOOKUP($I41,年金DB!$G$16:$P$65,6,TRUE),0),0)-0.1,0)</f>
        <v>0</v>
      </c>
      <c r="AA41" s="178">
        <f>ROUND(IFERROR(IF(AND($G41="加入",$D41&gt;=40,$D41&lt;=64),VLOOKUP($I41,年金DB!$G$16:$P$65,10,TRUE),0),0)-0.1,0)</f>
        <v>0</v>
      </c>
      <c r="AB41" s="178">
        <f>ROUND(IFERROR(IF(AND($G41="加入",$D41&lt;40),VLOOKUP($J41,年金DB!$G$16:$X$62,14,TRUE),IF(AND($G41="加入",$D41&gt;=40),VLOOKUP($J41,年金DB!$G$16:$X$62,14,TRUE),"0")),0)-0.1,0)</f>
        <v>0</v>
      </c>
      <c r="AC41" s="178">
        <f t="shared" si="6"/>
        <v>0</v>
      </c>
      <c r="AD41" s="21">
        <f t="shared" si="3"/>
        <v>0</v>
      </c>
      <c r="AE41" s="173">
        <f t="shared" si="4"/>
        <v>0</v>
      </c>
      <c r="AF41" s="14" t="str">
        <f t="shared" si="5"/>
        <v/>
      </c>
      <c r="AG41" s="14"/>
      <c r="AH41" s="14"/>
    </row>
    <row r="42" spans="1:34">
      <c r="A42" s="28"/>
      <c r="B42" s="180"/>
      <c r="C42" s="188"/>
      <c r="D42" s="161"/>
      <c r="E42" s="162"/>
      <c r="F42" s="162"/>
      <c r="G42" s="163"/>
      <c r="H42" s="285"/>
      <c r="I42" s="282"/>
      <c r="J42" s="16"/>
      <c r="K42" s="18">
        <f t="shared" si="0"/>
        <v>0</v>
      </c>
      <c r="L42" s="288">
        <v>0</v>
      </c>
      <c r="M42" s="291"/>
      <c r="N42" s="164"/>
      <c r="O42" s="164"/>
      <c r="P42" s="164"/>
      <c r="Q42" s="175">
        <f t="shared" si="7"/>
        <v>0</v>
      </c>
      <c r="R42" s="164"/>
      <c r="S42" s="197">
        <f t="shared" si="2"/>
        <v>0</v>
      </c>
      <c r="T42" s="201" t="str" cm="1">
        <f t="array" ref="T42">IFERROR(IF(F42="甲",IF(K42&gt;3500000,VLOOKUP(3500000,源泉DB!$B$261:$L$261,L42+3)+ROUNDDOWN((K42-3500000)*45.945%,0),IF(AND(K42&gt;2250000,K42&lt;3500000),VLOOKUP(2250000,源泉DB!$B$260:$K$260,L42+3)+ROUNDDOWN((K42-2250000)*40.84%,0),IF(AND(K42&gt;2210000,K42&lt;2250000),VLOOKUP(2210000,源泉DB!$B$259:$K$259,L42+3)+ROUNDDOWN((K42-2210000)*40.84%,0),IF(AND(K42&gt;2170000,K42&lt;2210000),VLOOKUP(2170000,源泉DB!$B$258:$K$258,L42+3)+ROUNDDOWN((K42-2170000)*40.84%,0),IF(AND(K42&gt;1700000,K42&lt;2170000),VLOOKUP(1700000,源泉DB!$B$257:$K$257,L42+3)+ROUNDDOWN((K42-1700000)*40.84%,0),IF(AND(K42&gt;950000,K42&lt;1700000),VLOOKUP(950000,源泉DB!$B$256:$K$256,L42+3)+ROUNDDOWN((K42-950000)*33.693%,0),IF(AND(K42&gt;780000,K42&lt;950000),VLOOKUP(780000,源泉DB!$B$255:$K$255,L42+3)+ROUNDDOWN((K42-780000)*23.483%,0),IF(AND(K42&gt;740000,K42&lt;780000),VLOOKUP(740000,源泉DB!$B$254:$K$254,L42+3)+ROUNDDOWN((K42-740000)*20.42%,0),VLOOKUP(K42,源泉DB!$B$8:$K$299,L42+3))))))))),IF(F42="乙",IF(K42&gt;1700000,651900+(K42-1700000) *45.945%,IF(K42=1700000,651900,IF(AND(K42&gt;740000,K42&lt;1700000),259800+(K42-740000)*40.84%,IF(K42=740000,259800,IF(K42&lt;88000,ROUNDDOWN(K42*3.063%,9),VLOOKUP(K42,源泉DB!$B$8:$L$254,11)))))),"")),"")</f>
        <v/>
      </c>
      <c r="U42" s="165"/>
      <c r="V42" s="166"/>
      <c r="W42" s="166"/>
      <c r="X42" s="166"/>
      <c r="Y42" s="166"/>
      <c r="Z42" s="178">
        <f>ROUND(IFERROR(IF(($G42="加入"),VLOOKUP($I42,年金DB!$G$16:$P$65,6,TRUE),0),0)-0.1,0)</f>
        <v>0</v>
      </c>
      <c r="AA42" s="178">
        <f>ROUND(IFERROR(IF(AND($G42="加入",$D42&gt;=40,$D42&lt;=64),VLOOKUP($I42,年金DB!$G$16:$P$65,10,TRUE),0),0)-0.1,0)</f>
        <v>0</v>
      </c>
      <c r="AB42" s="178">
        <f>ROUND(IFERROR(IF(AND($G42="加入",$D42&lt;40),VLOOKUP($J42,年金DB!$G$16:$X$62,14,TRUE),IF(AND($G42="加入",$D42&gt;=40),VLOOKUP($J42,年金DB!$G$16:$X$62,14,TRUE),"0")),0)-0.1,0)</f>
        <v>0</v>
      </c>
      <c r="AC42" s="178">
        <f t="shared" si="6"/>
        <v>0</v>
      </c>
      <c r="AD42" s="21">
        <f t="shared" si="3"/>
        <v>0</v>
      </c>
      <c r="AE42" s="173">
        <f t="shared" si="4"/>
        <v>0</v>
      </c>
      <c r="AF42" s="14" t="str">
        <f t="shared" si="5"/>
        <v/>
      </c>
      <c r="AG42" s="14"/>
      <c r="AH42" s="14"/>
    </row>
    <row r="43" spans="1:34">
      <c r="A43" s="28"/>
      <c r="B43" s="180"/>
      <c r="C43" s="188"/>
      <c r="D43" s="161"/>
      <c r="E43" s="162"/>
      <c r="F43" s="162"/>
      <c r="G43" s="163"/>
      <c r="H43" s="285"/>
      <c r="I43" s="282"/>
      <c r="J43" s="16"/>
      <c r="K43" s="18">
        <f t="shared" si="0"/>
        <v>0</v>
      </c>
      <c r="L43" s="288">
        <v>0</v>
      </c>
      <c r="M43" s="291"/>
      <c r="N43" s="164"/>
      <c r="O43" s="164"/>
      <c r="P43" s="164"/>
      <c r="Q43" s="175">
        <f t="shared" si="7"/>
        <v>0</v>
      </c>
      <c r="R43" s="164"/>
      <c r="S43" s="197">
        <f t="shared" si="2"/>
        <v>0</v>
      </c>
      <c r="T43" s="201" t="str" cm="1">
        <f t="array" ref="T43">IFERROR(IF(F43="甲",IF(K43&gt;3500000,VLOOKUP(3500000,源泉DB!$B$261:$L$261,L43+3)+ROUNDDOWN((K43-3500000)*45.945%,0),IF(AND(K43&gt;2250000,K43&lt;3500000),VLOOKUP(2250000,源泉DB!$B$260:$K$260,L43+3)+ROUNDDOWN((K43-2250000)*40.84%,0),IF(AND(K43&gt;2210000,K43&lt;2250000),VLOOKUP(2210000,源泉DB!$B$259:$K$259,L43+3)+ROUNDDOWN((K43-2210000)*40.84%,0),IF(AND(K43&gt;2170000,K43&lt;2210000),VLOOKUP(2170000,源泉DB!$B$258:$K$258,L43+3)+ROUNDDOWN((K43-2170000)*40.84%,0),IF(AND(K43&gt;1700000,K43&lt;2170000),VLOOKUP(1700000,源泉DB!$B$257:$K$257,L43+3)+ROUNDDOWN((K43-1700000)*40.84%,0),IF(AND(K43&gt;950000,K43&lt;1700000),VLOOKUP(950000,源泉DB!$B$256:$K$256,L43+3)+ROUNDDOWN((K43-950000)*33.693%,0),IF(AND(K43&gt;780000,K43&lt;950000),VLOOKUP(780000,源泉DB!$B$255:$K$255,L43+3)+ROUNDDOWN((K43-780000)*23.483%,0),IF(AND(K43&gt;740000,K43&lt;780000),VLOOKUP(740000,源泉DB!$B$254:$K$254,L43+3)+ROUNDDOWN((K43-740000)*20.42%,0),VLOOKUP(K43,源泉DB!$B$8:$K$299,L43+3))))))))),IF(F43="乙",IF(K43&gt;1700000,651900+(K43-1700000) *45.945%,IF(K43=1700000,651900,IF(AND(K43&gt;740000,K43&lt;1700000),259800+(K43-740000)*40.84%,IF(K43=740000,259800,IF(K43&lt;88000,ROUNDDOWN(K43*3.063%,9),VLOOKUP(K43,源泉DB!$B$8:$L$254,11)))))),"")),"")</f>
        <v/>
      </c>
      <c r="U43" s="165"/>
      <c r="V43" s="166"/>
      <c r="W43" s="166"/>
      <c r="X43" s="166"/>
      <c r="Y43" s="166"/>
      <c r="Z43" s="178">
        <f>ROUND(IFERROR(IF(($G43="加入"),VLOOKUP($I43,年金DB!$G$16:$P$65,6,TRUE),0),0)-0.1,0)</f>
        <v>0</v>
      </c>
      <c r="AA43" s="178">
        <f>ROUND(IFERROR(IF(AND($G43="加入",$D43&gt;=40,$D43&lt;=64),VLOOKUP($I43,年金DB!$G$16:$P$65,10,TRUE),0),0)-0.1,0)</f>
        <v>0</v>
      </c>
      <c r="AB43" s="178">
        <f>ROUND(IFERROR(IF(AND($G43="加入",$D43&lt;40),VLOOKUP($J43,年金DB!$G$16:$X$62,14,TRUE),IF(AND($G43="加入",$D43&gt;=40),VLOOKUP($J43,年金DB!$G$16:$X$62,14,TRUE),"0")),0)-0.1,0)</f>
        <v>0</v>
      </c>
      <c r="AC43" s="178">
        <f t="shared" si="6"/>
        <v>0</v>
      </c>
      <c r="AD43" s="21">
        <f t="shared" si="3"/>
        <v>0</v>
      </c>
      <c r="AE43" s="173">
        <f t="shared" si="4"/>
        <v>0</v>
      </c>
      <c r="AF43" s="14" t="str">
        <f t="shared" si="5"/>
        <v/>
      </c>
      <c r="AG43" s="14"/>
      <c r="AH43" s="14"/>
    </row>
    <row r="44" spans="1:34">
      <c r="A44" s="28"/>
      <c r="B44" s="180"/>
      <c r="C44" s="188"/>
      <c r="D44" s="161"/>
      <c r="E44" s="162"/>
      <c r="F44" s="162"/>
      <c r="G44" s="163"/>
      <c r="H44" s="285"/>
      <c r="I44" s="282"/>
      <c r="J44" s="16"/>
      <c r="K44" s="18">
        <f t="shared" si="0"/>
        <v>0</v>
      </c>
      <c r="L44" s="288">
        <v>0</v>
      </c>
      <c r="M44" s="291"/>
      <c r="N44" s="164"/>
      <c r="O44" s="164"/>
      <c r="P44" s="164"/>
      <c r="Q44" s="175">
        <f t="shared" si="7"/>
        <v>0</v>
      </c>
      <c r="R44" s="164"/>
      <c r="S44" s="197">
        <f t="shared" si="2"/>
        <v>0</v>
      </c>
      <c r="T44" s="201" t="str" cm="1">
        <f t="array" ref="T44">IFERROR(IF(F44="甲",IF(K44&gt;3500000,VLOOKUP(3500000,源泉DB!$B$261:$L$261,L44+3)+ROUNDDOWN((K44-3500000)*45.945%,0),IF(AND(K44&gt;2250000,K44&lt;3500000),VLOOKUP(2250000,源泉DB!$B$260:$K$260,L44+3)+ROUNDDOWN((K44-2250000)*40.84%,0),IF(AND(K44&gt;2210000,K44&lt;2250000),VLOOKUP(2210000,源泉DB!$B$259:$K$259,L44+3)+ROUNDDOWN((K44-2210000)*40.84%,0),IF(AND(K44&gt;2170000,K44&lt;2210000),VLOOKUP(2170000,源泉DB!$B$258:$K$258,L44+3)+ROUNDDOWN((K44-2170000)*40.84%,0),IF(AND(K44&gt;1700000,K44&lt;2170000),VLOOKUP(1700000,源泉DB!$B$257:$K$257,L44+3)+ROUNDDOWN((K44-1700000)*40.84%,0),IF(AND(K44&gt;950000,K44&lt;1700000),VLOOKUP(950000,源泉DB!$B$256:$K$256,L44+3)+ROUNDDOWN((K44-950000)*33.693%,0),IF(AND(K44&gt;780000,K44&lt;950000),VLOOKUP(780000,源泉DB!$B$255:$K$255,L44+3)+ROUNDDOWN((K44-780000)*23.483%,0),IF(AND(K44&gt;740000,K44&lt;780000),VLOOKUP(740000,源泉DB!$B$254:$K$254,L44+3)+ROUNDDOWN((K44-740000)*20.42%,0),VLOOKUP(K44,源泉DB!$B$8:$K$299,L44+3))))))))),IF(F44="乙",IF(K44&gt;1700000,651900+(K44-1700000) *45.945%,IF(K44=1700000,651900,IF(AND(K44&gt;740000,K44&lt;1700000),259800+(K44-740000)*40.84%,IF(K44=740000,259800,IF(K44&lt;88000,ROUNDDOWN(K44*3.063%,9),VLOOKUP(K44,源泉DB!$B$8:$L$254,11)))))),"")),"")</f>
        <v/>
      </c>
      <c r="U44" s="165"/>
      <c r="V44" s="166"/>
      <c r="W44" s="166"/>
      <c r="X44" s="166"/>
      <c r="Y44" s="166"/>
      <c r="Z44" s="178">
        <f>ROUND(IFERROR(IF(($G44="加入"),VLOOKUP($I44,年金DB!$G$16:$P$65,6,TRUE),0),0)-0.1,0)</f>
        <v>0</v>
      </c>
      <c r="AA44" s="178">
        <f>ROUND(IFERROR(IF(AND($G44="加入",$D44&gt;=40,$D44&lt;=64),VLOOKUP($I44,年金DB!$G$16:$P$65,10,TRUE),0),0)-0.1,0)</f>
        <v>0</v>
      </c>
      <c r="AB44" s="178">
        <f>ROUND(IFERROR(IF(AND($G44="加入",$D44&lt;40),VLOOKUP($J44,年金DB!$G$16:$X$62,14,TRUE),IF(AND($G44="加入",$D44&gt;=40),VLOOKUP($J44,年金DB!$G$16:$X$62,14,TRUE),"0")),0)-0.1,0)</f>
        <v>0</v>
      </c>
      <c r="AC44" s="178">
        <f t="shared" si="6"/>
        <v>0</v>
      </c>
      <c r="AD44" s="21">
        <f t="shared" si="3"/>
        <v>0</v>
      </c>
      <c r="AE44" s="173">
        <f t="shared" si="4"/>
        <v>0</v>
      </c>
      <c r="AF44" s="14" t="str">
        <f t="shared" si="5"/>
        <v/>
      </c>
      <c r="AG44" s="14"/>
      <c r="AH44" s="14"/>
    </row>
    <row r="45" spans="1:34">
      <c r="A45" s="28"/>
      <c r="B45" s="180"/>
      <c r="C45" s="188"/>
      <c r="D45" s="161"/>
      <c r="E45" s="162"/>
      <c r="F45" s="162"/>
      <c r="G45" s="163"/>
      <c r="H45" s="285"/>
      <c r="I45" s="282"/>
      <c r="J45" s="16"/>
      <c r="K45" s="18">
        <f t="shared" si="0"/>
        <v>0</v>
      </c>
      <c r="L45" s="288">
        <v>0</v>
      </c>
      <c r="M45" s="291"/>
      <c r="N45" s="164"/>
      <c r="O45" s="164"/>
      <c r="P45" s="164"/>
      <c r="Q45" s="175">
        <f t="shared" si="7"/>
        <v>0</v>
      </c>
      <c r="R45" s="164"/>
      <c r="S45" s="197">
        <f t="shared" si="2"/>
        <v>0</v>
      </c>
      <c r="T45" s="201" t="str" cm="1">
        <f t="array" ref="T45">IFERROR(IF(F45="甲",IF(K45&gt;3500000,VLOOKUP(3500000,源泉DB!$B$261:$L$261,L45+3)+ROUNDDOWN((K45-3500000)*45.945%,0),IF(AND(K45&gt;2250000,K45&lt;3500000),VLOOKUP(2250000,源泉DB!$B$260:$K$260,L45+3)+ROUNDDOWN((K45-2250000)*40.84%,0),IF(AND(K45&gt;2210000,K45&lt;2250000),VLOOKUP(2210000,源泉DB!$B$259:$K$259,L45+3)+ROUNDDOWN((K45-2210000)*40.84%,0),IF(AND(K45&gt;2170000,K45&lt;2210000),VLOOKUP(2170000,源泉DB!$B$258:$K$258,L45+3)+ROUNDDOWN((K45-2170000)*40.84%,0),IF(AND(K45&gt;1700000,K45&lt;2170000),VLOOKUP(1700000,源泉DB!$B$257:$K$257,L45+3)+ROUNDDOWN((K45-1700000)*40.84%,0),IF(AND(K45&gt;950000,K45&lt;1700000),VLOOKUP(950000,源泉DB!$B$256:$K$256,L45+3)+ROUNDDOWN((K45-950000)*33.693%,0),IF(AND(K45&gt;780000,K45&lt;950000),VLOOKUP(780000,源泉DB!$B$255:$K$255,L45+3)+ROUNDDOWN((K45-780000)*23.483%,0),IF(AND(K45&gt;740000,K45&lt;780000),VLOOKUP(740000,源泉DB!$B$254:$K$254,L45+3)+ROUNDDOWN((K45-740000)*20.42%,0),VLOOKUP(K45,源泉DB!$B$8:$K$299,L45+3))))))))),IF(F45="乙",IF(K45&gt;1700000,651900+(K45-1700000) *45.945%,IF(K45=1700000,651900,IF(AND(K45&gt;740000,K45&lt;1700000),259800+(K45-740000)*40.84%,IF(K45=740000,259800,IF(K45&lt;88000,ROUNDDOWN(K45*3.063%,9),VLOOKUP(K45,源泉DB!$B$8:$L$254,11)))))),"")),"")</f>
        <v/>
      </c>
      <c r="U45" s="165"/>
      <c r="V45" s="166"/>
      <c r="W45" s="166"/>
      <c r="X45" s="166"/>
      <c r="Y45" s="166"/>
      <c r="Z45" s="178">
        <f>ROUND(IFERROR(IF(($G45="加入"),VLOOKUP($I45,年金DB!$G$16:$P$65,6,TRUE),0),0)-0.1,0)</f>
        <v>0</v>
      </c>
      <c r="AA45" s="178">
        <f>ROUND(IFERROR(IF(AND($G45="加入",$D45&gt;=40,$D45&lt;=64),VLOOKUP($I45,年金DB!$G$16:$P$65,10,TRUE),0),0)-0.1,0)</f>
        <v>0</v>
      </c>
      <c r="AB45" s="178">
        <f>ROUND(IFERROR(IF(AND($G45="加入",$D45&lt;40),VLOOKUP($J45,年金DB!$G$16:$X$62,14,TRUE),IF(AND($G45="加入",$D45&gt;=40),VLOOKUP($J45,年金DB!$G$16:$X$62,14,TRUE),"0")),0)-0.1,0)</f>
        <v>0</v>
      </c>
      <c r="AC45" s="178">
        <f t="shared" si="6"/>
        <v>0</v>
      </c>
      <c r="AD45" s="21">
        <f t="shared" si="3"/>
        <v>0</v>
      </c>
      <c r="AE45" s="173">
        <f t="shared" si="4"/>
        <v>0</v>
      </c>
      <c r="AF45" s="14" t="str">
        <f t="shared" si="5"/>
        <v/>
      </c>
      <c r="AG45" s="14"/>
      <c r="AH45" s="14"/>
    </row>
    <row r="46" spans="1:34">
      <c r="A46" s="28"/>
      <c r="B46" s="180"/>
      <c r="C46" s="188"/>
      <c r="D46" s="161"/>
      <c r="E46" s="162"/>
      <c r="F46" s="162"/>
      <c r="G46" s="163"/>
      <c r="H46" s="285"/>
      <c r="I46" s="282"/>
      <c r="J46" s="16"/>
      <c r="K46" s="18">
        <f t="shared" si="0"/>
        <v>0</v>
      </c>
      <c r="L46" s="288">
        <v>0</v>
      </c>
      <c r="M46" s="291"/>
      <c r="N46" s="164"/>
      <c r="O46" s="164"/>
      <c r="P46" s="164"/>
      <c r="Q46" s="175">
        <f t="shared" si="7"/>
        <v>0</v>
      </c>
      <c r="R46" s="164"/>
      <c r="S46" s="197">
        <f t="shared" si="2"/>
        <v>0</v>
      </c>
      <c r="T46" s="201" t="str" cm="1">
        <f t="array" ref="T46">IFERROR(IF(F46="甲",IF(K46&gt;3500000,VLOOKUP(3500000,源泉DB!$B$261:$L$261,L46+3)+ROUNDDOWN((K46-3500000)*45.945%,0),IF(AND(K46&gt;2250000,K46&lt;3500000),VLOOKUP(2250000,源泉DB!$B$260:$K$260,L46+3)+ROUNDDOWN((K46-2250000)*40.84%,0),IF(AND(K46&gt;2210000,K46&lt;2250000),VLOOKUP(2210000,源泉DB!$B$259:$K$259,L46+3)+ROUNDDOWN((K46-2210000)*40.84%,0),IF(AND(K46&gt;2170000,K46&lt;2210000),VLOOKUP(2170000,源泉DB!$B$258:$K$258,L46+3)+ROUNDDOWN((K46-2170000)*40.84%,0),IF(AND(K46&gt;1700000,K46&lt;2170000),VLOOKUP(1700000,源泉DB!$B$257:$K$257,L46+3)+ROUNDDOWN((K46-1700000)*40.84%,0),IF(AND(K46&gt;950000,K46&lt;1700000),VLOOKUP(950000,源泉DB!$B$256:$K$256,L46+3)+ROUNDDOWN((K46-950000)*33.693%,0),IF(AND(K46&gt;780000,K46&lt;950000),VLOOKUP(780000,源泉DB!$B$255:$K$255,L46+3)+ROUNDDOWN((K46-780000)*23.483%,0),IF(AND(K46&gt;740000,K46&lt;780000),VLOOKUP(740000,源泉DB!$B$254:$K$254,L46+3)+ROUNDDOWN((K46-740000)*20.42%,0),VLOOKUP(K46,源泉DB!$B$8:$K$299,L46+3))))))))),IF(F46="乙",IF(K46&gt;1700000,651900+(K46-1700000) *45.945%,IF(K46=1700000,651900,IF(AND(K46&gt;740000,K46&lt;1700000),259800+(K46-740000)*40.84%,IF(K46=740000,259800,IF(K46&lt;88000,ROUNDDOWN(K46*3.063%,9),VLOOKUP(K46,源泉DB!$B$8:$L$254,11)))))),"")),"")</f>
        <v/>
      </c>
      <c r="U46" s="165"/>
      <c r="V46" s="166"/>
      <c r="W46" s="166"/>
      <c r="X46" s="166"/>
      <c r="Y46" s="166"/>
      <c r="Z46" s="178">
        <f>ROUND(IFERROR(IF(($G46="加入"),VLOOKUP($I46,年金DB!$G$16:$P$65,6,TRUE),0),0)-0.1,0)</f>
        <v>0</v>
      </c>
      <c r="AA46" s="178">
        <f>ROUND(IFERROR(IF(AND($G46="加入",$D46&gt;=40,$D46&lt;=64),VLOOKUP($I46,年金DB!$G$16:$P$65,10,TRUE),0),0)-0.1,0)</f>
        <v>0</v>
      </c>
      <c r="AB46" s="178">
        <f>ROUND(IFERROR(IF(AND($G46="加入",$D46&lt;40),VLOOKUP($J46,年金DB!$G$16:$X$62,14,TRUE),IF(AND($G46="加入",$D46&gt;=40),VLOOKUP($J46,年金DB!$G$16:$X$62,14,TRUE),"0")),0)-0.1,0)</f>
        <v>0</v>
      </c>
      <c r="AC46" s="178">
        <f t="shared" si="6"/>
        <v>0</v>
      </c>
      <c r="AD46" s="21">
        <f t="shared" si="3"/>
        <v>0</v>
      </c>
      <c r="AE46" s="173">
        <f t="shared" si="4"/>
        <v>0</v>
      </c>
      <c r="AF46" s="14" t="str">
        <f t="shared" si="5"/>
        <v/>
      </c>
      <c r="AG46" s="14"/>
      <c r="AH46" s="14"/>
    </row>
    <row r="47" spans="1:34">
      <c r="A47" s="28"/>
      <c r="B47" s="180"/>
      <c r="C47" s="188"/>
      <c r="D47" s="161"/>
      <c r="E47" s="162"/>
      <c r="F47" s="162"/>
      <c r="G47" s="163"/>
      <c r="H47" s="285"/>
      <c r="I47" s="282"/>
      <c r="J47" s="16"/>
      <c r="K47" s="18">
        <f t="shared" si="0"/>
        <v>0</v>
      </c>
      <c r="L47" s="288">
        <v>0</v>
      </c>
      <c r="M47" s="291"/>
      <c r="N47" s="164"/>
      <c r="O47" s="164"/>
      <c r="P47" s="164"/>
      <c r="Q47" s="175">
        <f t="shared" si="7"/>
        <v>0</v>
      </c>
      <c r="R47" s="164"/>
      <c r="S47" s="197">
        <f t="shared" si="2"/>
        <v>0</v>
      </c>
      <c r="T47" s="201" t="str" cm="1">
        <f t="array" ref="T47">IFERROR(IF(F47="甲",IF(K47&gt;3500000,VLOOKUP(3500000,源泉DB!$B$261:$L$261,L47+3)+ROUNDDOWN((K47-3500000)*45.945%,0),IF(AND(K47&gt;2250000,K47&lt;3500000),VLOOKUP(2250000,源泉DB!$B$260:$K$260,L47+3)+ROUNDDOWN((K47-2250000)*40.84%,0),IF(AND(K47&gt;2210000,K47&lt;2250000),VLOOKUP(2210000,源泉DB!$B$259:$K$259,L47+3)+ROUNDDOWN((K47-2210000)*40.84%,0),IF(AND(K47&gt;2170000,K47&lt;2210000),VLOOKUP(2170000,源泉DB!$B$258:$K$258,L47+3)+ROUNDDOWN((K47-2170000)*40.84%,0),IF(AND(K47&gt;1700000,K47&lt;2170000),VLOOKUP(1700000,源泉DB!$B$257:$K$257,L47+3)+ROUNDDOWN((K47-1700000)*40.84%,0),IF(AND(K47&gt;950000,K47&lt;1700000),VLOOKUP(950000,源泉DB!$B$256:$K$256,L47+3)+ROUNDDOWN((K47-950000)*33.693%,0),IF(AND(K47&gt;780000,K47&lt;950000),VLOOKUP(780000,源泉DB!$B$255:$K$255,L47+3)+ROUNDDOWN((K47-780000)*23.483%,0),IF(AND(K47&gt;740000,K47&lt;780000),VLOOKUP(740000,源泉DB!$B$254:$K$254,L47+3)+ROUNDDOWN((K47-740000)*20.42%,0),VLOOKUP(K47,源泉DB!$B$8:$K$299,L47+3))))))))),IF(F47="乙",IF(K47&gt;1700000,651900+(K47-1700000) *45.945%,IF(K47=1700000,651900,IF(AND(K47&gt;740000,K47&lt;1700000),259800+(K47-740000)*40.84%,IF(K47=740000,259800,IF(K47&lt;88000,ROUNDDOWN(K47*3.063%,9),VLOOKUP(K47,源泉DB!$B$8:$L$254,11)))))),"")),"")</f>
        <v/>
      </c>
      <c r="U47" s="165"/>
      <c r="V47" s="166"/>
      <c r="W47" s="166"/>
      <c r="X47" s="166"/>
      <c r="Y47" s="166"/>
      <c r="Z47" s="178">
        <f>ROUND(IFERROR(IF(($G47="加入"),VLOOKUP($I47,年金DB!$G$16:$P$65,6,TRUE),0),0)-0.1,0)</f>
        <v>0</v>
      </c>
      <c r="AA47" s="178">
        <f>ROUND(IFERROR(IF(AND($G47="加入",$D47&gt;=40,$D47&lt;=64),VLOOKUP($I47,年金DB!$G$16:$P$65,10,TRUE),0),0)-0.1,0)</f>
        <v>0</v>
      </c>
      <c r="AB47" s="178">
        <f>ROUND(IFERROR(IF(AND($G47="加入",$D47&lt;40),VLOOKUP($J47,年金DB!$G$16:$X$62,14,TRUE),IF(AND($G47="加入",$D47&gt;=40),VLOOKUP($J47,年金DB!$G$16:$X$62,14,TRUE),"0")),0)-0.1,0)</f>
        <v>0</v>
      </c>
      <c r="AC47" s="178">
        <f t="shared" si="6"/>
        <v>0</v>
      </c>
      <c r="AD47" s="21">
        <f t="shared" si="3"/>
        <v>0</v>
      </c>
      <c r="AE47" s="173">
        <f t="shared" si="4"/>
        <v>0</v>
      </c>
      <c r="AF47" s="14" t="str">
        <f t="shared" si="5"/>
        <v/>
      </c>
      <c r="AG47" s="14"/>
      <c r="AH47" s="14"/>
    </row>
    <row r="48" spans="1:34">
      <c r="A48" s="28"/>
      <c r="B48" s="180"/>
      <c r="C48" s="188"/>
      <c r="D48" s="161"/>
      <c r="E48" s="162"/>
      <c r="F48" s="162"/>
      <c r="G48" s="163"/>
      <c r="H48" s="285"/>
      <c r="I48" s="282"/>
      <c r="J48" s="16"/>
      <c r="K48" s="18">
        <f t="shared" si="0"/>
        <v>0</v>
      </c>
      <c r="L48" s="288">
        <v>0</v>
      </c>
      <c r="M48" s="291"/>
      <c r="N48" s="164"/>
      <c r="O48" s="164"/>
      <c r="P48" s="164"/>
      <c r="Q48" s="175">
        <f t="shared" si="7"/>
        <v>0</v>
      </c>
      <c r="R48" s="164"/>
      <c r="S48" s="197">
        <f t="shared" si="2"/>
        <v>0</v>
      </c>
      <c r="T48" s="201" t="str" cm="1">
        <f t="array" ref="T48">IFERROR(IF(F48="甲",IF(K48&gt;3500000,VLOOKUP(3500000,源泉DB!$B$261:$L$261,L48+3)+ROUNDDOWN((K48-3500000)*45.945%,0),IF(AND(K48&gt;2250000,K48&lt;3500000),VLOOKUP(2250000,源泉DB!$B$260:$K$260,L48+3)+ROUNDDOWN((K48-2250000)*40.84%,0),IF(AND(K48&gt;2210000,K48&lt;2250000),VLOOKUP(2210000,源泉DB!$B$259:$K$259,L48+3)+ROUNDDOWN((K48-2210000)*40.84%,0),IF(AND(K48&gt;2170000,K48&lt;2210000),VLOOKUP(2170000,源泉DB!$B$258:$K$258,L48+3)+ROUNDDOWN((K48-2170000)*40.84%,0),IF(AND(K48&gt;1700000,K48&lt;2170000),VLOOKUP(1700000,源泉DB!$B$257:$K$257,L48+3)+ROUNDDOWN((K48-1700000)*40.84%,0),IF(AND(K48&gt;950000,K48&lt;1700000),VLOOKUP(950000,源泉DB!$B$256:$K$256,L48+3)+ROUNDDOWN((K48-950000)*33.693%,0),IF(AND(K48&gt;780000,K48&lt;950000),VLOOKUP(780000,源泉DB!$B$255:$K$255,L48+3)+ROUNDDOWN((K48-780000)*23.483%,0),IF(AND(K48&gt;740000,K48&lt;780000),VLOOKUP(740000,源泉DB!$B$254:$K$254,L48+3)+ROUNDDOWN((K48-740000)*20.42%,0),VLOOKUP(K48,源泉DB!$B$8:$K$299,L48+3))))))))),IF(F48="乙",IF(K48&gt;1700000,651900+(K48-1700000) *45.945%,IF(K48=1700000,651900,IF(AND(K48&gt;740000,K48&lt;1700000),259800+(K48-740000)*40.84%,IF(K48=740000,259800,IF(K48&lt;88000,ROUNDDOWN(K48*3.063%,9),VLOOKUP(K48,源泉DB!$B$8:$L$254,11)))))),"")),"")</f>
        <v/>
      </c>
      <c r="U48" s="165"/>
      <c r="V48" s="166"/>
      <c r="W48" s="166"/>
      <c r="X48" s="166"/>
      <c r="Y48" s="166"/>
      <c r="Z48" s="178">
        <f>ROUND(IFERROR(IF(($G48="加入"),VLOOKUP($I48,年金DB!$G$16:$P$65,6,TRUE),0),0)-0.1,0)</f>
        <v>0</v>
      </c>
      <c r="AA48" s="178">
        <f>ROUND(IFERROR(IF(AND($G48="加入",$D48&gt;=40,$D48&lt;=64),VLOOKUP($I48,年金DB!$G$16:$P$65,10,TRUE),0),0)-0.1,0)</f>
        <v>0</v>
      </c>
      <c r="AB48" s="178">
        <f>ROUND(IFERROR(IF(AND($G48="加入",$D48&lt;40),VLOOKUP($J48,年金DB!$G$16:$X$62,14,TRUE),IF(AND($G48="加入",$D48&gt;=40),VLOOKUP($J48,年金DB!$G$16:$X$62,14,TRUE),"0")),0)-0.1,0)</f>
        <v>0</v>
      </c>
      <c r="AC48" s="178">
        <f t="shared" si="6"/>
        <v>0</v>
      </c>
      <c r="AD48" s="21">
        <f t="shared" si="3"/>
        <v>0</v>
      </c>
      <c r="AE48" s="173">
        <f t="shared" si="4"/>
        <v>0</v>
      </c>
      <c r="AF48" s="14" t="str">
        <f t="shared" si="5"/>
        <v/>
      </c>
      <c r="AG48" s="14"/>
      <c r="AH48" s="14"/>
    </row>
    <row r="49" spans="1:34">
      <c r="A49" s="28"/>
      <c r="B49" s="180"/>
      <c r="C49" s="188"/>
      <c r="D49" s="161"/>
      <c r="E49" s="162"/>
      <c r="F49" s="162"/>
      <c r="G49" s="163"/>
      <c r="H49" s="285"/>
      <c r="I49" s="282"/>
      <c r="J49" s="16"/>
      <c r="K49" s="18">
        <f t="shared" si="0"/>
        <v>0</v>
      </c>
      <c r="L49" s="288">
        <v>0</v>
      </c>
      <c r="M49" s="291"/>
      <c r="N49" s="164"/>
      <c r="O49" s="164"/>
      <c r="P49" s="164"/>
      <c r="Q49" s="175">
        <f t="shared" si="7"/>
        <v>0</v>
      </c>
      <c r="R49" s="164"/>
      <c r="S49" s="197">
        <f t="shared" si="2"/>
        <v>0</v>
      </c>
      <c r="T49" s="201" t="str" cm="1">
        <f t="array" ref="T49">IFERROR(IF(F49="甲",IF(K49&gt;3500000,VLOOKUP(3500000,源泉DB!$B$261:$L$261,L49+3)+ROUNDDOWN((K49-3500000)*45.945%,0),IF(AND(K49&gt;2250000,K49&lt;3500000),VLOOKUP(2250000,源泉DB!$B$260:$K$260,L49+3)+ROUNDDOWN((K49-2250000)*40.84%,0),IF(AND(K49&gt;2210000,K49&lt;2250000),VLOOKUP(2210000,源泉DB!$B$259:$K$259,L49+3)+ROUNDDOWN((K49-2210000)*40.84%,0),IF(AND(K49&gt;2170000,K49&lt;2210000),VLOOKUP(2170000,源泉DB!$B$258:$K$258,L49+3)+ROUNDDOWN((K49-2170000)*40.84%,0),IF(AND(K49&gt;1700000,K49&lt;2170000),VLOOKUP(1700000,源泉DB!$B$257:$K$257,L49+3)+ROUNDDOWN((K49-1700000)*40.84%,0),IF(AND(K49&gt;950000,K49&lt;1700000),VLOOKUP(950000,源泉DB!$B$256:$K$256,L49+3)+ROUNDDOWN((K49-950000)*33.693%,0),IF(AND(K49&gt;780000,K49&lt;950000),VLOOKUP(780000,源泉DB!$B$255:$K$255,L49+3)+ROUNDDOWN((K49-780000)*23.483%,0),IF(AND(K49&gt;740000,K49&lt;780000),VLOOKUP(740000,源泉DB!$B$254:$K$254,L49+3)+ROUNDDOWN((K49-740000)*20.42%,0),VLOOKUP(K49,源泉DB!$B$8:$K$299,L49+3))))))))),IF(F49="乙",IF(K49&gt;1700000,651900+(K49-1700000) *45.945%,IF(K49=1700000,651900,IF(AND(K49&gt;740000,K49&lt;1700000),259800+(K49-740000)*40.84%,IF(K49=740000,259800,IF(K49&lt;88000,ROUNDDOWN(K49*3.063%,9),VLOOKUP(K49,源泉DB!$B$8:$L$254,11)))))),"")),"")</f>
        <v/>
      </c>
      <c r="U49" s="165"/>
      <c r="V49" s="166"/>
      <c r="W49" s="166"/>
      <c r="X49" s="166"/>
      <c r="Y49" s="166"/>
      <c r="Z49" s="178">
        <f>ROUND(IFERROR(IF(($G49="加入"),VLOOKUP($I49,年金DB!$G$16:$P$65,6,TRUE),0),0)-0.1,0)</f>
        <v>0</v>
      </c>
      <c r="AA49" s="178">
        <f>ROUND(IFERROR(IF(AND($G49="加入",$D49&gt;=40,$D49&lt;=64),VLOOKUP($I49,年金DB!$G$16:$P$65,10,TRUE),0),0)-0.1,0)</f>
        <v>0</v>
      </c>
      <c r="AB49" s="178">
        <f>ROUND(IFERROR(IF(AND($G49="加入",$D49&lt;40),VLOOKUP($J49,年金DB!$G$16:$X$62,14,TRUE),IF(AND($G49="加入",$D49&gt;=40),VLOOKUP($J49,年金DB!$G$16:$X$62,14,TRUE),"0")),0)-0.1,0)</f>
        <v>0</v>
      </c>
      <c r="AC49" s="178">
        <f t="shared" si="6"/>
        <v>0</v>
      </c>
      <c r="AD49" s="21">
        <f t="shared" si="3"/>
        <v>0</v>
      </c>
      <c r="AE49" s="173">
        <f t="shared" si="4"/>
        <v>0</v>
      </c>
      <c r="AF49" s="14" t="str">
        <f t="shared" si="5"/>
        <v/>
      </c>
      <c r="AG49" s="14"/>
      <c r="AH49" s="14"/>
    </row>
    <row r="50" spans="1:34">
      <c r="A50" s="28"/>
      <c r="B50" s="180"/>
      <c r="C50" s="188"/>
      <c r="D50" s="161"/>
      <c r="E50" s="162"/>
      <c r="F50" s="162"/>
      <c r="G50" s="163"/>
      <c r="H50" s="285"/>
      <c r="I50" s="282"/>
      <c r="J50" s="16"/>
      <c r="K50" s="18">
        <f t="shared" si="0"/>
        <v>0</v>
      </c>
      <c r="L50" s="288">
        <v>0</v>
      </c>
      <c r="M50" s="291"/>
      <c r="N50" s="164"/>
      <c r="O50" s="164"/>
      <c r="P50" s="164"/>
      <c r="Q50" s="175">
        <f t="shared" si="7"/>
        <v>0</v>
      </c>
      <c r="R50" s="164"/>
      <c r="S50" s="197">
        <f t="shared" si="2"/>
        <v>0</v>
      </c>
      <c r="T50" s="201" t="str" cm="1">
        <f t="array" ref="T50">IFERROR(IF(F50="甲",IF(K50&gt;3500000,VLOOKUP(3500000,源泉DB!$B$261:$L$261,L50+3)+ROUNDDOWN((K50-3500000)*45.945%,0),IF(AND(K50&gt;2250000,K50&lt;3500000),VLOOKUP(2250000,源泉DB!$B$260:$K$260,L50+3)+ROUNDDOWN((K50-2250000)*40.84%,0),IF(AND(K50&gt;2210000,K50&lt;2250000),VLOOKUP(2210000,源泉DB!$B$259:$K$259,L50+3)+ROUNDDOWN((K50-2210000)*40.84%,0),IF(AND(K50&gt;2170000,K50&lt;2210000),VLOOKUP(2170000,源泉DB!$B$258:$K$258,L50+3)+ROUNDDOWN((K50-2170000)*40.84%,0),IF(AND(K50&gt;1700000,K50&lt;2170000),VLOOKUP(1700000,源泉DB!$B$257:$K$257,L50+3)+ROUNDDOWN((K50-1700000)*40.84%,0),IF(AND(K50&gt;950000,K50&lt;1700000),VLOOKUP(950000,源泉DB!$B$256:$K$256,L50+3)+ROUNDDOWN((K50-950000)*33.693%,0),IF(AND(K50&gt;780000,K50&lt;950000),VLOOKUP(780000,源泉DB!$B$255:$K$255,L50+3)+ROUNDDOWN((K50-780000)*23.483%,0),IF(AND(K50&gt;740000,K50&lt;780000),VLOOKUP(740000,源泉DB!$B$254:$K$254,L50+3)+ROUNDDOWN((K50-740000)*20.42%,0),VLOOKUP(K50,源泉DB!$B$8:$K$299,L50+3))))))))),IF(F50="乙",IF(K50&gt;1700000,651900+(K50-1700000) *45.945%,IF(K50=1700000,651900,IF(AND(K50&gt;740000,K50&lt;1700000),259800+(K50-740000)*40.84%,IF(K50=740000,259800,IF(K50&lt;88000,ROUNDDOWN(K50*3.063%,9),VLOOKUP(K50,源泉DB!$B$8:$L$254,11)))))),"")),"")</f>
        <v/>
      </c>
      <c r="U50" s="165"/>
      <c r="V50" s="166"/>
      <c r="W50" s="166"/>
      <c r="X50" s="166"/>
      <c r="Y50" s="166"/>
      <c r="Z50" s="178">
        <f>ROUND(IFERROR(IF(($G50="加入"),VLOOKUP($I50,年金DB!$G$16:$P$65,6,TRUE),0),0)-0.1,0)</f>
        <v>0</v>
      </c>
      <c r="AA50" s="178">
        <f>ROUND(IFERROR(IF(AND($G50="加入",$D50&gt;=40,$D50&lt;=64),VLOOKUP($I50,年金DB!$G$16:$P$65,10,TRUE),0),0)-0.1,0)</f>
        <v>0</v>
      </c>
      <c r="AB50" s="178">
        <f>ROUND(IFERROR(IF(AND($G50="加入",$D50&lt;40),VLOOKUP($J50,年金DB!$G$16:$X$62,14,TRUE),IF(AND($G50="加入",$D50&gt;=40),VLOOKUP($J50,年金DB!$G$16:$X$62,14,TRUE),"0")),0)-0.1,0)</f>
        <v>0</v>
      </c>
      <c r="AC50" s="178">
        <f t="shared" si="6"/>
        <v>0</v>
      </c>
      <c r="AD50" s="21">
        <f t="shared" si="3"/>
        <v>0</v>
      </c>
      <c r="AE50" s="173">
        <f t="shared" si="4"/>
        <v>0</v>
      </c>
      <c r="AF50" s="14" t="str">
        <f t="shared" si="5"/>
        <v/>
      </c>
      <c r="AG50" s="14"/>
      <c r="AH50" s="14"/>
    </row>
    <row r="51" spans="1:34">
      <c r="A51" s="28"/>
      <c r="B51" s="180"/>
      <c r="C51" s="188"/>
      <c r="D51" s="161"/>
      <c r="E51" s="162"/>
      <c r="F51" s="162"/>
      <c r="G51" s="163"/>
      <c r="H51" s="285"/>
      <c r="I51" s="282"/>
      <c r="J51" s="16"/>
      <c r="K51" s="18">
        <f t="shared" si="0"/>
        <v>0</v>
      </c>
      <c r="L51" s="288">
        <v>0</v>
      </c>
      <c r="M51" s="291"/>
      <c r="N51" s="164"/>
      <c r="O51" s="164"/>
      <c r="P51" s="164"/>
      <c r="Q51" s="175">
        <f t="shared" si="7"/>
        <v>0</v>
      </c>
      <c r="R51" s="164"/>
      <c r="S51" s="197">
        <f t="shared" si="2"/>
        <v>0</v>
      </c>
      <c r="T51" s="201" t="str" cm="1">
        <f t="array" ref="T51">IFERROR(IF(F51="甲",IF(K51&gt;3500000,VLOOKUP(3500000,源泉DB!$B$261:$L$261,L51+3)+ROUNDDOWN((K51-3500000)*45.945%,0),IF(AND(K51&gt;2250000,K51&lt;3500000),VLOOKUP(2250000,源泉DB!$B$260:$K$260,L51+3)+ROUNDDOWN((K51-2250000)*40.84%,0),IF(AND(K51&gt;2210000,K51&lt;2250000),VLOOKUP(2210000,源泉DB!$B$259:$K$259,L51+3)+ROUNDDOWN((K51-2210000)*40.84%,0),IF(AND(K51&gt;2170000,K51&lt;2210000),VLOOKUP(2170000,源泉DB!$B$258:$K$258,L51+3)+ROUNDDOWN((K51-2170000)*40.84%,0),IF(AND(K51&gt;1700000,K51&lt;2170000),VLOOKUP(1700000,源泉DB!$B$257:$K$257,L51+3)+ROUNDDOWN((K51-1700000)*40.84%,0),IF(AND(K51&gt;950000,K51&lt;1700000),VLOOKUP(950000,源泉DB!$B$256:$K$256,L51+3)+ROUNDDOWN((K51-950000)*33.693%,0),IF(AND(K51&gt;780000,K51&lt;950000),VLOOKUP(780000,源泉DB!$B$255:$K$255,L51+3)+ROUNDDOWN((K51-780000)*23.483%,0),IF(AND(K51&gt;740000,K51&lt;780000),VLOOKUP(740000,源泉DB!$B$254:$K$254,L51+3)+ROUNDDOWN((K51-740000)*20.42%,0),VLOOKUP(K51,源泉DB!$B$8:$K$299,L51+3))))))))),IF(F51="乙",IF(K51&gt;1700000,651900+(K51-1700000) *45.945%,IF(K51=1700000,651900,IF(AND(K51&gt;740000,K51&lt;1700000),259800+(K51-740000)*40.84%,IF(K51=740000,259800,IF(K51&lt;88000,ROUNDDOWN(K51*3.063%,9),VLOOKUP(K51,源泉DB!$B$8:$L$254,11)))))),"")),"")</f>
        <v/>
      </c>
      <c r="U51" s="165"/>
      <c r="V51" s="166"/>
      <c r="W51" s="166"/>
      <c r="X51" s="166"/>
      <c r="Y51" s="166"/>
      <c r="Z51" s="178">
        <f>ROUND(IFERROR(IF(($G51="加入"),VLOOKUP($I51,年金DB!$G$16:$P$65,6,TRUE),0),0)-0.1,0)</f>
        <v>0</v>
      </c>
      <c r="AA51" s="178">
        <f>ROUND(IFERROR(IF(AND($G51="加入",$D51&gt;=40,$D51&lt;=64),VLOOKUP($I51,年金DB!$G$16:$P$65,10,TRUE),0),0)-0.1,0)</f>
        <v>0</v>
      </c>
      <c r="AB51" s="178">
        <f>ROUND(IFERROR(IF(AND($G51="加入",$D51&lt;40),VLOOKUP($J51,年金DB!$G$16:$X$62,14,TRUE),IF(AND($G51="加入",$D51&gt;=40),VLOOKUP($J51,年金DB!$G$16:$X$62,14,TRUE),"0")),0)-0.1,0)</f>
        <v>0</v>
      </c>
      <c r="AC51" s="178">
        <f t="shared" si="6"/>
        <v>0</v>
      </c>
      <c r="AD51" s="21">
        <f t="shared" si="3"/>
        <v>0</v>
      </c>
      <c r="AE51" s="173">
        <f t="shared" si="4"/>
        <v>0</v>
      </c>
      <c r="AF51" s="14" t="str">
        <f t="shared" si="5"/>
        <v/>
      </c>
      <c r="AG51" s="14"/>
      <c r="AH51" s="14"/>
    </row>
    <row r="52" spans="1:34">
      <c r="A52" s="28"/>
      <c r="B52" s="180"/>
      <c r="C52" s="188"/>
      <c r="D52" s="161"/>
      <c r="E52" s="162"/>
      <c r="F52" s="162"/>
      <c r="G52" s="163"/>
      <c r="H52" s="285"/>
      <c r="I52" s="282"/>
      <c r="J52" s="16"/>
      <c r="K52" s="18">
        <f t="shared" si="0"/>
        <v>0</v>
      </c>
      <c r="L52" s="288">
        <v>0</v>
      </c>
      <c r="M52" s="291"/>
      <c r="N52" s="164"/>
      <c r="O52" s="164"/>
      <c r="P52" s="164"/>
      <c r="Q52" s="175">
        <f t="shared" si="7"/>
        <v>0</v>
      </c>
      <c r="R52" s="164"/>
      <c r="S52" s="197">
        <f t="shared" si="2"/>
        <v>0</v>
      </c>
      <c r="T52" s="201" t="str" cm="1">
        <f t="array" ref="T52">IFERROR(IF(F52="甲",IF(K52&gt;3500000,VLOOKUP(3500000,源泉DB!$B$261:$L$261,L52+3)+ROUNDDOWN((K52-3500000)*45.945%,0),IF(AND(K52&gt;2250000,K52&lt;3500000),VLOOKUP(2250000,源泉DB!$B$260:$K$260,L52+3)+ROUNDDOWN((K52-2250000)*40.84%,0),IF(AND(K52&gt;2210000,K52&lt;2250000),VLOOKUP(2210000,源泉DB!$B$259:$K$259,L52+3)+ROUNDDOWN((K52-2210000)*40.84%,0),IF(AND(K52&gt;2170000,K52&lt;2210000),VLOOKUP(2170000,源泉DB!$B$258:$K$258,L52+3)+ROUNDDOWN((K52-2170000)*40.84%,0),IF(AND(K52&gt;1700000,K52&lt;2170000),VLOOKUP(1700000,源泉DB!$B$257:$K$257,L52+3)+ROUNDDOWN((K52-1700000)*40.84%,0),IF(AND(K52&gt;950000,K52&lt;1700000),VLOOKUP(950000,源泉DB!$B$256:$K$256,L52+3)+ROUNDDOWN((K52-950000)*33.693%,0),IF(AND(K52&gt;780000,K52&lt;950000),VLOOKUP(780000,源泉DB!$B$255:$K$255,L52+3)+ROUNDDOWN((K52-780000)*23.483%,0),IF(AND(K52&gt;740000,K52&lt;780000),VLOOKUP(740000,源泉DB!$B$254:$K$254,L52+3)+ROUNDDOWN((K52-740000)*20.42%,0),VLOOKUP(K52,源泉DB!$B$8:$K$299,L52+3))))))))),IF(F52="乙",IF(K52&gt;1700000,651900+(K52-1700000) *45.945%,IF(K52=1700000,651900,IF(AND(K52&gt;740000,K52&lt;1700000),259800+(K52-740000)*40.84%,IF(K52=740000,259800,IF(K52&lt;88000,ROUNDDOWN(K52*3.063%,9),VLOOKUP(K52,源泉DB!$B$8:$L$254,11)))))),"")),"")</f>
        <v/>
      </c>
      <c r="U52" s="165"/>
      <c r="V52" s="166"/>
      <c r="W52" s="166"/>
      <c r="X52" s="166"/>
      <c r="Y52" s="166"/>
      <c r="Z52" s="178">
        <f>ROUND(IFERROR(IF(($G52="加入"),VLOOKUP($I52,年金DB!$G$16:$P$65,6,TRUE),0),0)-0.1,0)</f>
        <v>0</v>
      </c>
      <c r="AA52" s="178">
        <f>ROUND(IFERROR(IF(AND($G52="加入",$D52&gt;=40,$D52&lt;=64),VLOOKUP($I52,年金DB!$G$16:$P$65,10,TRUE),0),0)-0.1,0)</f>
        <v>0</v>
      </c>
      <c r="AB52" s="178">
        <f>ROUND(IFERROR(IF(AND($G52="加入",$D52&lt;40),VLOOKUP($J52,年金DB!$G$16:$X$62,14,TRUE),IF(AND($G52="加入",$D52&gt;=40),VLOOKUP($J52,年金DB!$G$16:$X$62,14,TRUE),"0")),0)-0.1,0)</f>
        <v>0</v>
      </c>
      <c r="AC52" s="178">
        <f t="shared" si="6"/>
        <v>0</v>
      </c>
      <c r="AD52" s="21">
        <f t="shared" si="3"/>
        <v>0</v>
      </c>
      <c r="AE52" s="173">
        <f t="shared" si="4"/>
        <v>0</v>
      </c>
      <c r="AF52" s="14" t="str">
        <f t="shared" si="5"/>
        <v/>
      </c>
      <c r="AG52" s="14"/>
      <c r="AH52" s="14"/>
    </row>
    <row r="53" spans="1:34">
      <c r="A53" s="28"/>
      <c r="B53" s="180"/>
      <c r="C53" s="188"/>
      <c r="D53" s="161"/>
      <c r="E53" s="162"/>
      <c r="F53" s="162"/>
      <c r="G53" s="163"/>
      <c r="H53" s="285"/>
      <c r="I53" s="282"/>
      <c r="J53" s="16"/>
      <c r="K53" s="18">
        <f t="shared" si="0"/>
        <v>0</v>
      </c>
      <c r="L53" s="288">
        <v>0</v>
      </c>
      <c r="M53" s="291"/>
      <c r="N53" s="164"/>
      <c r="O53" s="164"/>
      <c r="P53" s="164"/>
      <c r="Q53" s="175">
        <f t="shared" si="7"/>
        <v>0</v>
      </c>
      <c r="R53" s="164"/>
      <c r="S53" s="197">
        <f t="shared" si="2"/>
        <v>0</v>
      </c>
      <c r="T53" s="201" t="str" cm="1">
        <f t="array" ref="T53">IFERROR(IF(F53="甲",IF(K53&gt;3500000,VLOOKUP(3500000,源泉DB!$B$261:$L$261,L53+3)+ROUNDDOWN((K53-3500000)*45.945%,0),IF(AND(K53&gt;2250000,K53&lt;3500000),VLOOKUP(2250000,源泉DB!$B$260:$K$260,L53+3)+ROUNDDOWN((K53-2250000)*40.84%,0),IF(AND(K53&gt;2210000,K53&lt;2250000),VLOOKUP(2210000,源泉DB!$B$259:$K$259,L53+3)+ROUNDDOWN((K53-2210000)*40.84%,0),IF(AND(K53&gt;2170000,K53&lt;2210000),VLOOKUP(2170000,源泉DB!$B$258:$K$258,L53+3)+ROUNDDOWN((K53-2170000)*40.84%,0),IF(AND(K53&gt;1700000,K53&lt;2170000),VLOOKUP(1700000,源泉DB!$B$257:$K$257,L53+3)+ROUNDDOWN((K53-1700000)*40.84%,0),IF(AND(K53&gt;950000,K53&lt;1700000),VLOOKUP(950000,源泉DB!$B$256:$K$256,L53+3)+ROUNDDOWN((K53-950000)*33.693%,0),IF(AND(K53&gt;780000,K53&lt;950000),VLOOKUP(780000,源泉DB!$B$255:$K$255,L53+3)+ROUNDDOWN((K53-780000)*23.483%,0),IF(AND(K53&gt;740000,K53&lt;780000),VLOOKUP(740000,源泉DB!$B$254:$K$254,L53+3)+ROUNDDOWN((K53-740000)*20.42%,0),VLOOKUP(K53,源泉DB!$B$8:$K$299,L53+3))))))))),IF(F53="乙",IF(K53&gt;1700000,651900+(K53-1700000) *45.945%,IF(K53=1700000,651900,IF(AND(K53&gt;740000,K53&lt;1700000),259800+(K53-740000)*40.84%,IF(K53=740000,259800,IF(K53&lt;88000,ROUNDDOWN(K53*3.063%,9),VLOOKUP(K53,源泉DB!$B$8:$L$254,11)))))),"")),"")</f>
        <v/>
      </c>
      <c r="U53" s="165"/>
      <c r="V53" s="166"/>
      <c r="W53" s="166"/>
      <c r="X53" s="166"/>
      <c r="Y53" s="166"/>
      <c r="Z53" s="178">
        <f>ROUND(IFERROR(IF(($G53="加入"),VLOOKUP($I53,年金DB!$G$16:$P$65,6,TRUE),0),0)-0.1,0)</f>
        <v>0</v>
      </c>
      <c r="AA53" s="178">
        <f>ROUND(IFERROR(IF(AND($G53="加入",$D53&gt;=40,$D53&lt;=64),VLOOKUP($I53,年金DB!$G$16:$P$65,10,TRUE),0),0)-0.1,0)</f>
        <v>0</v>
      </c>
      <c r="AB53" s="178">
        <f>ROUND(IFERROR(IF(AND($G53="加入",$D53&lt;40),VLOOKUP($J53,年金DB!$G$16:$X$62,14,TRUE),IF(AND($G53="加入",$D53&gt;=40),VLOOKUP($J53,年金DB!$G$16:$X$62,14,TRUE),"0")),0)-0.1,0)</f>
        <v>0</v>
      </c>
      <c r="AC53" s="178">
        <f t="shared" si="6"/>
        <v>0</v>
      </c>
      <c r="AD53" s="21">
        <f t="shared" si="3"/>
        <v>0</v>
      </c>
      <c r="AE53" s="173">
        <f t="shared" si="4"/>
        <v>0</v>
      </c>
      <c r="AF53" s="14" t="str">
        <f t="shared" si="5"/>
        <v/>
      </c>
      <c r="AG53" s="14"/>
      <c r="AH53" s="14"/>
    </row>
    <row r="54" spans="1:34">
      <c r="A54" s="28"/>
      <c r="B54" s="180"/>
      <c r="C54" s="188"/>
      <c r="D54" s="161"/>
      <c r="E54" s="162"/>
      <c r="F54" s="162"/>
      <c r="G54" s="163"/>
      <c r="H54" s="285"/>
      <c r="I54" s="282"/>
      <c r="J54" s="16"/>
      <c r="K54" s="18">
        <f t="shared" si="0"/>
        <v>0</v>
      </c>
      <c r="L54" s="288">
        <v>0</v>
      </c>
      <c r="M54" s="291"/>
      <c r="N54" s="164"/>
      <c r="O54" s="164"/>
      <c r="P54" s="164"/>
      <c r="Q54" s="175">
        <f t="shared" si="7"/>
        <v>0</v>
      </c>
      <c r="R54" s="164"/>
      <c r="S54" s="197">
        <f t="shared" si="2"/>
        <v>0</v>
      </c>
      <c r="T54" s="201" t="str" cm="1">
        <f t="array" ref="T54">IFERROR(IF(F54="甲",IF(K54&gt;3500000,VLOOKUP(3500000,源泉DB!$B$261:$L$261,L54+3)+ROUNDDOWN((K54-3500000)*45.945%,0),IF(AND(K54&gt;2250000,K54&lt;3500000),VLOOKUP(2250000,源泉DB!$B$260:$K$260,L54+3)+ROUNDDOWN((K54-2250000)*40.84%,0),IF(AND(K54&gt;2210000,K54&lt;2250000),VLOOKUP(2210000,源泉DB!$B$259:$K$259,L54+3)+ROUNDDOWN((K54-2210000)*40.84%,0),IF(AND(K54&gt;2170000,K54&lt;2210000),VLOOKUP(2170000,源泉DB!$B$258:$K$258,L54+3)+ROUNDDOWN((K54-2170000)*40.84%,0),IF(AND(K54&gt;1700000,K54&lt;2170000),VLOOKUP(1700000,源泉DB!$B$257:$K$257,L54+3)+ROUNDDOWN((K54-1700000)*40.84%,0),IF(AND(K54&gt;950000,K54&lt;1700000),VLOOKUP(950000,源泉DB!$B$256:$K$256,L54+3)+ROUNDDOWN((K54-950000)*33.693%,0),IF(AND(K54&gt;780000,K54&lt;950000),VLOOKUP(780000,源泉DB!$B$255:$K$255,L54+3)+ROUNDDOWN((K54-780000)*23.483%,0),IF(AND(K54&gt;740000,K54&lt;780000),VLOOKUP(740000,源泉DB!$B$254:$K$254,L54+3)+ROUNDDOWN((K54-740000)*20.42%,0),VLOOKUP(K54,源泉DB!$B$8:$K$299,L54+3))))))))),IF(F54="乙",IF(K54&gt;1700000,651900+(K54-1700000) *45.945%,IF(K54=1700000,651900,IF(AND(K54&gt;740000,K54&lt;1700000),259800+(K54-740000)*40.84%,IF(K54=740000,259800,IF(K54&lt;88000,ROUNDDOWN(K54*3.063%,9),VLOOKUP(K54,源泉DB!$B$8:$L$254,11)))))),"")),"")</f>
        <v/>
      </c>
      <c r="U54" s="165"/>
      <c r="V54" s="166"/>
      <c r="W54" s="166"/>
      <c r="X54" s="166"/>
      <c r="Y54" s="166"/>
      <c r="Z54" s="178">
        <f>ROUND(IFERROR(IF(($G54="加入"),VLOOKUP($I54,年金DB!$G$16:$P$65,6,TRUE),0),0)-0.1,0)</f>
        <v>0</v>
      </c>
      <c r="AA54" s="178">
        <f>ROUND(IFERROR(IF(AND($G54="加入",$D54&gt;=40,$D54&lt;=64),VLOOKUP($I54,年金DB!$G$16:$P$65,10,TRUE),0),0)-0.1,0)</f>
        <v>0</v>
      </c>
      <c r="AB54" s="178">
        <f>ROUND(IFERROR(IF(AND($G54="加入",$D54&lt;40),VLOOKUP($J54,年金DB!$G$16:$X$62,14,TRUE),IF(AND($G54="加入",$D54&gt;=40),VLOOKUP($J54,年金DB!$G$16:$X$62,14,TRUE),"0")),0)-0.1,0)</f>
        <v>0</v>
      </c>
      <c r="AC54" s="178">
        <f t="shared" si="6"/>
        <v>0</v>
      </c>
      <c r="AD54" s="21">
        <f t="shared" si="3"/>
        <v>0</v>
      </c>
      <c r="AE54" s="173">
        <f t="shared" si="4"/>
        <v>0</v>
      </c>
      <c r="AF54" s="14" t="str">
        <f t="shared" si="5"/>
        <v/>
      </c>
      <c r="AG54" s="14"/>
      <c r="AH54" s="14"/>
    </row>
    <row r="55" spans="1:34">
      <c r="A55" s="28"/>
      <c r="B55" s="180"/>
      <c r="C55" s="188"/>
      <c r="D55" s="161"/>
      <c r="E55" s="162"/>
      <c r="F55" s="162"/>
      <c r="G55" s="163"/>
      <c r="H55" s="285"/>
      <c r="I55" s="282"/>
      <c r="J55" s="16"/>
      <c r="K55" s="18">
        <f t="shared" si="0"/>
        <v>0</v>
      </c>
      <c r="L55" s="288">
        <v>0</v>
      </c>
      <c r="M55" s="291"/>
      <c r="N55" s="164"/>
      <c r="O55" s="164"/>
      <c r="P55" s="164"/>
      <c r="Q55" s="175">
        <f t="shared" si="7"/>
        <v>0</v>
      </c>
      <c r="R55" s="164"/>
      <c r="S55" s="197">
        <f t="shared" si="2"/>
        <v>0</v>
      </c>
      <c r="T55" s="201" t="str" cm="1">
        <f t="array" ref="T55">IFERROR(IF(F55="甲",IF(K55&gt;3500000,VLOOKUP(3500000,源泉DB!$B$261:$L$261,L55+3)+ROUNDDOWN((K55-3500000)*45.945%,0),IF(AND(K55&gt;2250000,K55&lt;3500000),VLOOKUP(2250000,源泉DB!$B$260:$K$260,L55+3)+ROUNDDOWN((K55-2250000)*40.84%,0),IF(AND(K55&gt;2210000,K55&lt;2250000),VLOOKUP(2210000,源泉DB!$B$259:$K$259,L55+3)+ROUNDDOWN((K55-2210000)*40.84%,0),IF(AND(K55&gt;2170000,K55&lt;2210000),VLOOKUP(2170000,源泉DB!$B$258:$K$258,L55+3)+ROUNDDOWN((K55-2170000)*40.84%,0),IF(AND(K55&gt;1700000,K55&lt;2170000),VLOOKUP(1700000,源泉DB!$B$257:$K$257,L55+3)+ROUNDDOWN((K55-1700000)*40.84%,0),IF(AND(K55&gt;950000,K55&lt;1700000),VLOOKUP(950000,源泉DB!$B$256:$K$256,L55+3)+ROUNDDOWN((K55-950000)*33.693%,0),IF(AND(K55&gt;780000,K55&lt;950000),VLOOKUP(780000,源泉DB!$B$255:$K$255,L55+3)+ROUNDDOWN((K55-780000)*23.483%,0),IF(AND(K55&gt;740000,K55&lt;780000),VLOOKUP(740000,源泉DB!$B$254:$K$254,L55+3)+ROUNDDOWN((K55-740000)*20.42%,0),VLOOKUP(K55,源泉DB!$B$8:$K$299,L55+3))))))))),IF(F55="乙",IF(K55&gt;1700000,651900+(K55-1700000) *45.945%,IF(K55=1700000,651900,IF(AND(K55&gt;740000,K55&lt;1700000),259800+(K55-740000)*40.84%,IF(K55=740000,259800,IF(K55&lt;88000,ROUNDDOWN(K55*3.063%,9),VLOOKUP(K55,源泉DB!$B$8:$L$254,11)))))),"")),"")</f>
        <v/>
      </c>
      <c r="U55" s="165"/>
      <c r="V55" s="166"/>
      <c r="W55" s="166"/>
      <c r="X55" s="166"/>
      <c r="Y55" s="166"/>
      <c r="Z55" s="178">
        <f>ROUND(IFERROR(IF(($G55="加入"),VLOOKUP($I55,年金DB!$G$16:$P$65,6,TRUE),0),0)-0.1,0)</f>
        <v>0</v>
      </c>
      <c r="AA55" s="178">
        <f>ROUND(IFERROR(IF(AND($G55="加入",$D55&gt;=40,$D55&lt;=64),VLOOKUP($I55,年金DB!$G$16:$P$65,10,TRUE),0),0)-0.1,0)</f>
        <v>0</v>
      </c>
      <c r="AB55" s="178">
        <f>ROUND(IFERROR(IF(AND($G55="加入",$D55&lt;40),VLOOKUP($J55,年金DB!$G$16:$X$62,14,TRUE),IF(AND($G55="加入",$D55&gt;=40),VLOOKUP($J55,年金DB!$G$16:$X$62,14,TRUE),"0")),0)-0.1,0)</f>
        <v>0</v>
      </c>
      <c r="AC55" s="178">
        <f t="shared" si="6"/>
        <v>0</v>
      </c>
      <c r="AD55" s="21">
        <f t="shared" si="3"/>
        <v>0</v>
      </c>
      <c r="AE55" s="173">
        <f t="shared" si="4"/>
        <v>0</v>
      </c>
      <c r="AF55" s="14" t="str">
        <f t="shared" si="5"/>
        <v/>
      </c>
      <c r="AG55" s="14"/>
      <c r="AH55" s="14"/>
    </row>
    <row r="56" spans="1:34">
      <c r="A56" s="28"/>
      <c r="B56" s="180"/>
      <c r="C56" s="188"/>
      <c r="D56" s="161"/>
      <c r="E56" s="162"/>
      <c r="F56" s="162"/>
      <c r="G56" s="163"/>
      <c r="H56" s="285"/>
      <c r="I56" s="282"/>
      <c r="J56" s="16"/>
      <c r="K56" s="18">
        <f t="shared" si="0"/>
        <v>0</v>
      </c>
      <c r="L56" s="288">
        <v>0</v>
      </c>
      <c r="M56" s="291"/>
      <c r="N56" s="164"/>
      <c r="O56" s="164"/>
      <c r="P56" s="164"/>
      <c r="Q56" s="175">
        <f t="shared" si="7"/>
        <v>0</v>
      </c>
      <c r="R56" s="164"/>
      <c r="S56" s="197">
        <f t="shared" si="2"/>
        <v>0</v>
      </c>
      <c r="T56" s="201" t="str" cm="1">
        <f t="array" ref="T56">IFERROR(IF(F56="甲",IF(K56&gt;3500000,VLOOKUP(3500000,源泉DB!$B$261:$L$261,L56+3)+ROUNDDOWN((K56-3500000)*45.945%,0),IF(AND(K56&gt;2250000,K56&lt;3500000),VLOOKUP(2250000,源泉DB!$B$260:$K$260,L56+3)+ROUNDDOWN((K56-2250000)*40.84%,0),IF(AND(K56&gt;2210000,K56&lt;2250000),VLOOKUP(2210000,源泉DB!$B$259:$K$259,L56+3)+ROUNDDOWN((K56-2210000)*40.84%,0),IF(AND(K56&gt;2170000,K56&lt;2210000),VLOOKUP(2170000,源泉DB!$B$258:$K$258,L56+3)+ROUNDDOWN((K56-2170000)*40.84%,0),IF(AND(K56&gt;1700000,K56&lt;2170000),VLOOKUP(1700000,源泉DB!$B$257:$K$257,L56+3)+ROUNDDOWN((K56-1700000)*40.84%,0),IF(AND(K56&gt;950000,K56&lt;1700000),VLOOKUP(950000,源泉DB!$B$256:$K$256,L56+3)+ROUNDDOWN((K56-950000)*33.693%,0),IF(AND(K56&gt;780000,K56&lt;950000),VLOOKUP(780000,源泉DB!$B$255:$K$255,L56+3)+ROUNDDOWN((K56-780000)*23.483%,0),IF(AND(K56&gt;740000,K56&lt;780000),VLOOKUP(740000,源泉DB!$B$254:$K$254,L56+3)+ROUNDDOWN((K56-740000)*20.42%,0),VLOOKUP(K56,源泉DB!$B$8:$K$299,L56+3))))))))),IF(F56="乙",IF(K56&gt;1700000,651900+(K56-1700000) *45.945%,IF(K56=1700000,651900,IF(AND(K56&gt;740000,K56&lt;1700000),259800+(K56-740000)*40.84%,IF(K56=740000,259800,IF(K56&lt;88000,ROUNDDOWN(K56*3.063%,9),VLOOKUP(K56,源泉DB!$B$8:$L$254,11)))))),"")),"")</f>
        <v/>
      </c>
      <c r="U56" s="165"/>
      <c r="V56" s="166"/>
      <c r="W56" s="166"/>
      <c r="X56" s="166"/>
      <c r="Y56" s="166"/>
      <c r="Z56" s="178">
        <f>ROUND(IFERROR(IF(($G56="加入"),VLOOKUP($I56,年金DB!$G$16:$P$65,6,TRUE),0),0)-0.1,0)</f>
        <v>0</v>
      </c>
      <c r="AA56" s="178">
        <f>ROUND(IFERROR(IF(AND($G56="加入",$D56&gt;=40,$D56&lt;=64),VLOOKUP($I56,年金DB!$G$16:$P$65,10,TRUE),0),0)-0.1,0)</f>
        <v>0</v>
      </c>
      <c r="AB56" s="178">
        <f>ROUND(IFERROR(IF(AND($G56="加入",$D56&lt;40),VLOOKUP($J56,年金DB!$G$16:$X$62,14,TRUE),IF(AND($G56="加入",$D56&gt;=40),VLOOKUP($J56,年金DB!$G$16:$X$62,14,TRUE),"0")),0)-0.1,0)</f>
        <v>0</v>
      </c>
      <c r="AC56" s="178">
        <f t="shared" si="6"/>
        <v>0</v>
      </c>
      <c r="AD56" s="21">
        <f t="shared" si="3"/>
        <v>0</v>
      </c>
      <c r="AE56" s="173">
        <f t="shared" si="4"/>
        <v>0</v>
      </c>
      <c r="AF56" s="14" t="str">
        <f t="shared" si="5"/>
        <v/>
      </c>
      <c r="AG56" s="14"/>
      <c r="AH56" s="14"/>
    </row>
    <row r="57" spans="1:34">
      <c r="A57" s="28"/>
      <c r="B57" s="180"/>
      <c r="C57" s="188"/>
      <c r="D57" s="161"/>
      <c r="E57" s="162"/>
      <c r="F57" s="162"/>
      <c r="G57" s="163"/>
      <c r="H57" s="285"/>
      <c r="I57" s="282"/>
      <c r="J57" s="16"/>
      <c r="K57" s="18">
        <f t="shared" si="0"/>
        <v>0</v>
      </c>
      <c r="L57" s="288">
        <v>0</v>
      </c>
      <c r="M57" s="291"/>
      <c r="N57" s="164"/>
      <c r="O57" s="164"/>
      <c r="P57" s="164"/>
      <c r="Q57" s="175">
        <f t="shared" si="7"/>
        <v>0</v>
      </c>
      <c r="R57" s="164"/>
      <c r="S57" s="197">
        <f t="shared" si="2"/>
        <v>0</v>
      </c>
      <c r="T57" s="201" t="str" cm="1">
        <f t="array" ref="T57">IFERROR(IF(F57="甲",IF(K57&gt;3500000,VLOOKUP(3500000,源泉DB!$B$261:$L$261,L57+3)+ROUNDDOWN((K57-3500000)*45.945%,0),IF(AND(K57&gt;2250000,K57&lt;3500000),VLOOKUP(2250000,源泉DB!$B$260:$K$260,L57+3)+ROUNDDOWN((K57-2250000)*40.84%,0),IF(AND(K57&gt;2210000,K57&lt;2250000),VLOOKUP(2210000,源泉DB!$B$259:$K$259,L57+3)+ROUNDDOWN((K57-2210000)*40.84%,0),IF(AND(K57&gt;2170000,K57&lt;2210000),VLOOKUP(2170000,源泉DB!$B$258:$K$258,L57+3)+ROUNDDOWN((K57-2170000)*40.84%,0),IF(AND(K57&gt;1700000,K57&lt;2170000),VLOOKUP(1700000,源泉DB!$B$257:$K$257,L57+3)+ROUNDDOWN((K57-1700000)*40.84%,0),IF(AND(K57&gt;950000,K57&lt;1700000),VLOOKUP(950000,源泉DB!$B$256:$K$256,L57+3)+ROUNDDOWN((K57-950000)*33.693%,0),IF(AND(K57&gt;780000,K57&lt;950000),VLOOKUP(780000,源泉DB!$B$255:$K$255,L57+3)+ROUNDDOWN((K57-780000)*23.483%,0),IF(AND(K57&gt;740000,K57&lt;780000),VLOOKUP(740000,源泉DB!$B$254:$K$254,L57+3)+ROUNDDOWN((K57-740000)*20.42%,0),VLOOKUP(K57,源泉DB!$B$8:$K$299,L57+3))))))))),IF(F57="乙",IF(K57&gt;1700000,651900+(K57-1700000) *45.945%,IF(K57=1700000,651900,IF(AND(K57&gt;740000,K57&lt;1700000),259800+(K57-740000)*40.84%,IF(K57=740000,259800,IF(K57&lt;88000,ROUNDDOWN(K57*3.063%,9),VLOOKUP(K57,源泉DB!$B$8:$L$254,11)))))),"")),"")</f>
        <v/>
      </c>
      <c r="U57" s="165"/>
      <c r="V57" s="166"/>
      <c r="W57" s="166"/>
      <c r="X57" s="166"/>
      <c r="Y57" s="166"/>
      <c r="Z57" s="178">
        <f>ROUND(IFERROR(IF(($G57="加入"),VLOOKUP($I57,年金DB!$G$16:$P$65,6,TRUE),0),0)-0.1,0)</f>
        <v>0</v>
      </c>
      <c r="AA57" s="178">
        <f>ROUND(IFERROR(IF(AND($G57="加入",$D57&gt;=40,$D57&lt;=64),VLOOKUP($I57,年金DB!$G$16:$P$65,10,TRUE),0),0)-0.1,0)</f>
        <v>0</v>
      </c>
      <c r="AB57" s="178">
        <f>ROUND(IFERROR(IF(AND($G57="加入",$D57&lt;40),VLOOKUP($J57,年金DB!$G$16:$X$62,14,TRUE),IF(AND($G57="加入",$D57&gt;=40),VLOOKUP($J57,年金DB!$G$16:$X$62,14,TRUE),"0")),0)-0.1,0)</f>
        <v>0</v>
      </c>
      <c r="AC57" s="178">
        <f t="shared" si="6"/>
        <v>0</v>
      </c>
      <c r="AD57" s="21">
        <f t="shared" si="3"/>
        <v>0</v>
      </c>
      <c r="AE57" s="173">
        <f t="shared" si="4"/>
        <v>0</v>
      </c>
      <c r="AF57" s="14" t="str">
        <f t="shared" si="5"/>
        <v/>
      </c>
      <c r="AG57" s="14"/>
      <c r="AH57" s="14"/>
    </row>
    <row r="58" spans="1:34">
      <c r="A58" s="28"/>
      <c r="B58" s="180"/>
      <c r="C58" s="188"/>
      <c r="D58" s="161"/>
      <c r="E58" s="162"/>
      <c r="F58" s="162"/>
      <c r="G58" s="163"/>
      <c r="H58" s="285"/>
      <c r="I58" s="282"/>
      <c r="J58" s="16"/>
      <c r="K58" s="18">
        <f t="shared" si="0"/>
        <v>0</v>
      </c>
      <c r="L58" s="288">
        <v>0</v>
      </c>
      <c r="M58" s="291"/>
      <c r="N58" s="164"/>
      <c r="O58" s="164"/>
      <c r="P58" s="164"/>
      <c r="Q58" s="175">
        <f t="shared" si="7"/>
        <v>0</v>
      </c>
      <c r="R58" s="164"/>
      <c r="S58" s="197">
        <f t="shared" si="2"/>
        <v>0</v>
      </c>
      <c r="T58" s="201" t="str" cm="1">
        <f t="array" ref="T58">IFERROR(IF(F58="甲",IF(K58&gt;3500000,VLOOKUP(3500000,源泉DB!$B$261:$L$261,L58+3)+ROUNDDOWN((K58-3500000)*45.945%,0),IF(AND(K58&gt;2250000,K58&lt;3500000),VLOOKUP(2250000,源泉DB!$B$260:$K$260,L58+3)+ROUNDDOWN((K58-2250000)*40.84%,0),IF(AND(K58&gt;2210000,K58&lt;2250000),VLOOKUP(2210000,源泉DB!$B$259:$K$259,L58+3)+ROUNDDOWN((K58-2210000)*40.84%,0),IF(AND(K58&gt;2170000,K58&lt;2210000),VLOOKUP(2170000,源泉DB!$B$258:$K$258,L58+3)+ROUNDDOWN((K58-2170000)*40.84%,0),IF(AND(K58&gt;1700000,K58&lt;2170000),VLOOKUP(1700000,源泉DB!$B$257:$K$257,L58+3)+ROUNDDOWN((K58-1700000)*40.84%,0),IF(AND(K58&gt;950000,K58&lt;1700000),VLOOKUP(950000,源泉DB!$B$256:$K$256,L58+3)+ROUNDDOWN((K58-950000)*33.693%,0),IF(AND(K58&gt;780000,K58&lt;950000),VLOOKUP(780000,源泉DB!$B$255:$K$255,L58+3)+ROUNDDOWN((K58-780000)*23.483%,0),IF(AND(K58&gt;740000,K58&lt;780000),VLOOKUP(740000,源泉DB!$B$254:$K$254,L58+3)+ROUNDDOWN((K58-740000)*20.42%,0),VLOOKUP(K58,源泉DB!$B$8:$K$299,L58+3))))))))),IF(F58="乙",IF(K58&gt;1700000,651900+(K58-1700000) *45.945%,IF(K58=1700000,651900,IF(AND(K58&gt;740000,K58&lt;1700000),259800+(K58-740000)*40.84%,IF(K58=740000,259800,IF(K58&lt;88000,ROUNDDOWN(K58*3.063%,9),VLOOKUP(K58,源泉DB!$B$8:$L$254,11)))))),"")),"")</f>
        <v/>
      </c>
      <c r="U58" s="165"/>
      <c r="V58" s="166"/>
      <c r="W58" s="166"/>
      <c r="X58" s="166"/>
      <c r="Y58" s="166"/>
      <c r="Z58" s="178">
        <f>ROUND(IFERROR(IF(($G58="加入"),VLOOKUP($I58,年金DB!$G$16:$P$65,6,TRUE),0),0)-0.1,0)</f>
        <v>0</v>
      </c>
      <c r="AA58" s="178">
        <f>ROUND(IFERROR(IF(AND($G58="加入",$D58&gt;=40,$D58&lt;=64),VLOOKUP($I58,年金DB!$G$16:$P$65,10,TRUE),0),0)-0.1,0)</f>
        <v>0</v>
      </c>
      <c r="AB58" s="178">
        <f>ROUND(IFERROR(IF(AND($G58="加入",$D58&lt;40),VLOOKUP($J58,年金DB!$G$16:$X$62,14,TRUE),IF(AND($G58="加入",$D58&gt;=40),VLOOKUP($J58,年金DB!$G$16:$X$62,14,TRUE),"0")),0)-0.1,0)</f>
        <v>0</v>
      </c>
      <c r="AC58" s="178">
        <f t="shared" si="6"/>
        <v>0</v>
      </c>
      <c r="AD58" s="21">
        <f t="shared" si="3"/>
        <v>0</v>
      </c>
      <c r="AE58" s="173">
        <f t="shared" si="4"/>
        <v>0</v>
      </c>
      <c r="AF58" s="14" t="str">
        <f t="shared" si="5"/>
        <v/>
      </c>
      <c r="AG58" s="14"/>
      <c r="AH58" s="14"/>
    </row>
    <row r="59" spans="1:34">
      <c r="A59" s="28"/>
      <c r="B59" s="180"/>
      <c r="C59" s="188"/>
      <c r="D59" s="161"/>
      <c r="E59" s="162"/>
      <c r="F59" s="162"/>
      <c r="G59" s="163"/>
      <c r="H59" s="285"/>
      <c r="I59" s="282"/>
      <c r="J59" s="16"/>
      <c r="K59" s="18">
        <f t="shared" si="0"/>
        <v>0</v>
      </c>
      <c r="L59" s="288">
        <v>0</v>
      </c>
      <c r="M59" s="291"/>
      <c r="N59" s="164"/>
      <c r="O59" s="164"/>
      <c r="P59" s="164"/>
      <c r="Q59" s="175">
        <f t="shared" si="7"/>
        <v>0</v>
      </c>
      <c r="R59" s="164"/>
      <c r="S59" s="197">
        <f t="shared" si="2"/>
        <v>0</v>
      </c>
      <c r="T59" s="201" t="str" cm="1">
        <f t="array" ref="T59">IFERROR(IF(F59="甲",IF(K59&gt;3500000,VLOOKUP(3500000,源泉DB!$B$261:$L$261,L59+3)+ROUNDDOWN((K59-3500000)*45.945%,0),IF(AND(K59&gt;2250000,K59&lt;3500000),VLOOKUP(2250000,源泉DB!$B$260:$K$260,L59+3)+ROUNDDOWN((K59-2250000)*40.84%,0),IF(AND(K59&gt;2210000,K59&lt;2250000),VLOOKUP(2210000,源泉DB!$B$259:$K$259,L59+3)+ROUNDDOWN((K59-2210000)*40.84%,0),IF(AND(K59&gt;2170000,K59&lt;2210000),VLOOKUP(2170000,源泉DB!$B$258:$K$258,L59+3)+ROUNDDOWN((K59-2170000)*40.84%,0),IF(AND(K59&gt;1700000,K59&lt;2170000),VLOOKUP(1700000,源泉DB!$B$257:$K$257,L59+3)+ROUNDDOWN((K59-1700000)*40.84%,0),IF(AND(K59&gt;950000,K59&lt;1700000),VLOOKUP(950000,源泉DB!$B$256:$K$256,L59+3)+ROUNDDOWN((K59-950000)*33.693%,0),IF(AND(K59&gt;780000,K59&lt;950000),VLOOKUP(780000,源泉DB!$B$255:$K$255,L59+3)+ROUNDDOWN((K59-780000)*23.483%,0),IF(AND(K59&gt;740000,K59&lt;780000),VLOOKUP(740000,源泉DB!$B$254:$K$254,L59+3)+ROUNDDOWN((K59-740000)*20.42%,0),VLOOKUP(K59,源泉DB!$B$8:$K$299,L59+3))))))))),IF(F59="乙",IF(K59&gt;1700000,651900+(K59-1700000) *45.945%,IF(K59=1700000,651900,IF(AND(K59&gt;740000,K59&lt;1700000),259800+(K59-740000)*40.84%,IF(K59=740000,259800,IF(K59&lt;88000,ROUNDDOWN(K59*3.063%,9),VLOOKUP(K59,源泉DB!$B$8:$L$254,11)))))),"")),"")</f>
        <v/>
      </c>
      <c r="U59" s="165"/>
      <c r="V59" s="166"/>
      <c r="W59" s="166"/>
      <c r="X59" s="166"/>
      <c r="Y59" s="166"/>
      <c r="Z59" s="178">
        <f>ROUND(IFERROR(IF(($G59="加入"),VLOOKUP($I59,年金DB!$G$16:$P$65,6,TRUE),0),0)-0.1,0)</f>
        <v>0</v>
      </c>
      <c r="AA59" s="178">
        <f>ROUND(IFERROR(IF(AND($G59="加入",$D59&gt;=40,$D59&lt;=64),VLOOKUP($I59,年金DB!$G$16:$P$65,10,TRUE),0),0)-0.1,0)</f>
        <v>0</v>
      </c>
      <c r="AB59" s="178">
        <f>ROUND(IFERROR(IF(AND($G59="加入",$D59&lt;40),VLOOKUP($J59,年金DB!$G$16:$X$62,14,TRUE),IF(AND($G59="加入",$D59&gt;=40),VLOOKUP($J59,年金DB!$G$16:$X$62,14,TRUE),"0")),0)-0.1,0)</f>
        <v>0</v>
      </c>
      <c r="AC59" s="178">
        <f t="shared" si="6"/>
        <v>0</v>
      </c>
      <c r="AD59" s="21">
        <f t="shared" si="3"/>
        <v>0</v>
      </c>
      <c r="AE59" s="173">
        <f t="shared" si="4"/>
        <v>0</v>
      </c>
      <c r="AF59" s="14" t="str">
        <f t="shared" si="5"/>
        <v/>
      </c>
      <c r="AG59" s="14"/>
      <c r="AH59" s="14"/>
    </row>
    <row r="60" spans="1:34">
      <c r="A60" s="28"/>
      <c r="B60" s="180"/>
      <c r="C60" s="188"/>
      <c r="D60" s="161"/>
      <c r="E60" s="162"/>
      <c r="F60" s="162"/>
      <c r="G60" s="163"/>
      <c r="H60" s="285"/>
      <c r="I60" s="282"/>
      <c r="J60" s="16"/>
      <c r="K60" s="18">
        <f t="shared" si="0"/>
        <v>0</v>
      </c>
      <c r="L60" s="288">
        <v>0</v>
      </c>
      <c r="M60" s="291"/>
      <c r="N60" s="164"/>
      <c r="O60" s="164"/>
      <c r="P60" s="164"/>
      <c r="Q60" s="175">
        <f t="shared" si="7"/>
        <v>0</v>
      </c>
      <c r="R60" s="164"/>
      <c r="S60" s="197">
        <f t="shared" si="2"/>
        <v>0</v>
      </c>
      <c r="T60" s="201" t="str" cm="1">
        <f t="array" ref="T60">IFERROR(IF(F60="甲",IF(K60&gt;3500000,VLOOKUP(3500000,源泉DB!$B$261:$L$261,L60+3)+ROUNDDOWN((K60-3500000)*45.945%,0),IF(AND(K60&gt;2250000,K60&lt;3500000),VLOOKUP(2250000,源泉DB!$B$260:$K$260,L60+3)+ROUNDDOWN((K60-2250000)*40.84%,0),IF(AND(K60&gt;2210000,K60&lt;2250000),VLOOKUP(2210000,源泉DB!$B$259:$K$259,L60+3)+ROUNDDOWN((K60-2210000)*40.84%,0),IF(AND(K60&gt;2170000,K60&lt;2210000),VLOOKUP(2170000,源泉DB!$B$258:$K$258,L60+3)+ROUNDDOWN((K60-2170000)*40.84%,0),IF(AND(K60&gt;1700000,K60&lt;2170000),VLOOKUP(1700000,源泉DB!$B$257:$K$257,L60+3)+ROUNDDOWN((K60-1700000)*40.84%,0),IF(AND(K60&gt;950000,K60&lt;1700000),VLOOKUP(950000,源泉DB!$B$256:$K$256,L60+3)+ROUNDDOWN((K60-950000)*33.693%,0),IF(AND(K60&gt;780000,K60&lt;950000),VLOOKUP(780000,源泉DB!$B$255:$K$255,L60+3)+ROUNDDOWN((K60-780000)*23.483%,0),IF(AND(K60&gt;740000,K60&lt;780000),VLOOKUP(740000,源泉DB!$B$254:$K$254,L60+3)+ROUNDDOWN((K60-740000)*20.42%,0),VLOOKUP(K60,源泉DB!$B$8:$K$299,L60+3))))))))),IF(F60="乙",IF(K60&gt;1700000,651900+(K60-1700000) *45.945%,IF(K60=1700000,651900,IF(AND(K60&gt;740000,K60&lt;1700000),259800+(K60-740000)*40.84%,IF(K60=740000,259800,IF(K60&lt;88000,ROUNDDOWN(K60*3.063%,9),VLOOKUP(K60,源泉DB!$B$8:$L$254,11)))))),"")),"")</f>
        <v/>
      </c>
      <c r="U60" s="165"/>
      <c r="V60" s="166"/>
      <c r="W60" s="166"/>
      <c r="X60" s="166"/>
      <c r="Y60" s="166"/>
      <c r="Z60" s="178">
        <f>ROUND(IFERROR(IF(($G60="加入"),VLOOKUP($I60,年金DB!$G$16:$P$65,6,TRUE),0),0)-0.1,0)</f>
        <v>0</v>
      </c>
      <c r="AA60" s="178">
        <f>ROUND(IFERROR(IF(AND($G60="加入",$D60&gt;=40,$D60&lt;=64),VLOOKUP($I60,年金DB!$G$16:$P$65,10,TRUE),0),0)-0.1,0)</f>
        <v>0</v>
      </c>
      <c r="AB60" s="178">
        <f>ROUND(IFERROR(IF(AND($G60="加入",$D60&lt;40),VLOOKUP($J60,年金DB!$G$16:$X$62,14,TRUE),IF(AND($G60="加入",$D60&gt;=40),VLOOKUP($J60,年金DB!$G$16:$X$62,14,TRUE),"0")),0)-0.1,0)</f>
        <v>0</v>
      </c>
      <c r="AC60" s="178">
        <f t="shared" si="6"/>
        <v>0</v>
      </c>
      <c r="AD60" s="21">
        <f t="shared" si="3"/>
        <v>0</v>
      </c>
      <c r="AE60" s="173">
        <f t="shared" si="4"/>
        <v>0</v>
      </c>
      <c r="AF60" s="14" t="str">
        <f t="shared" si="5"/>
        <v/>
      </c>
      <c r="AG60" s="14"/>
      <c r="AH60" s="14"/>
    </row>
    <row r="61" spans="1:34">
      <c r="A61" s="28"/>
      <c r="B61" s="180"/>
      <c r="C61" s="188"/>
      <c r="D61" s="161"/>
      <c r="E61" s="162"/>
      <c r="F61" s="162"/>
      <c r="G61" s="163"/>
      <c r="H61" s="285"/>
      <c r="I61" s="282"/>
      <c r="J61" s="16"/>
      <c r="K61" s="18">
        <f t="shared" si="0"/>
        <v>0</v>
      </c>
      <c r="L61" s="288">
        <v>0</v>
      </c>
      <c r="M61" s="291"/>
      <c r="N61" s="164"/>
      <c r="O61" s="164"/>
      <c r="P61" s="164"/>
      <c r="Q61" s="175">
        <f t="shared" si="7"/>
        <v>0</v>
      </c>
      <c r="R61" s="164"/>
      <c r="S61" s="197">
        <f t="shared" si="2"/>
        <v>0</v>
      </c>
      <c r="T61" s="201" t="str" cm="1">
        <f t="array" ref="T61">IFERROR(IF(F61="甲",IF(K61&gt;3500000,VLOOKUP(3500000,源泉DB!$B$261:$L$261,L61+3)+ROUNDDOWN((K61-3500000)*45.945%,0),IF(AND(K61&gt;2250000,K61&lt;3500000),VLOOKUP(2250000,源泉DB!$B$260:$K$260,L61+3)+ROUNDDOWN((K61-2250000)*40.84%,0),IF(AND(K61&gt;2210000,K61&lt;2250000),VLOOKUP(2210000,源泉DB!$B$259:$K$259,L61+3)+ROUNDDOWN((K61-2210000)*40.84%,0),IF(AND(K61&gt;2170000,K61&lt;2210000),VLOOKUP(2170000,源泉DB!$B$258:$K$258,L61+3)+ROUNDDOWN((K61-2170000)*40.84%,0),IF(AND(K61&gt;1700000,K61&lt;2170000),VLOOKUP(1700000,源泉DB!$B$257:$K$257,L61+3)+ROUNDDOWN((K61-1700000)*40.84%,0),IF(AND(K61&gt;950000,K61&lt;1700000),VLOOKUP(950000,源泉DB!$B$256:$K$256,L61+3)+ROUNDDOWN((K61-950000)*33.693%,0),IF(AND(K61&gt;780000,K61&lt;950000),VLOOKUP(780000,源泉DB!$B$255:$K$255,L61+3)+ROUNDDOWN((K61-780000)*23.483%,0),IF(AND(K61&gt;740000,K61&lt;780000),VLOOKUP(740000,源泉DB!$B$254:$K$254,L61+3)+ROUNDDOWN((K61-740000)*20.42%,0),VLOOKUP(K61,源泉DB!$B$8:$K$299,L61+3))))))))),IF(F61="乙",IF(K61&gt;1700000,651900+(K61-1700000) *45.945%,IF(K61=1700000,651900,IF(AND(K61&gt;740000,K61&lt;1700000),259800+(K61-740000)*40.84%,IF(K61=740000,259800,IF(K61&lt;88000,ROUNDDOWN(K61*3.063%,9),VLOOKUP(K61,源泉DB!$B$8:$L$254,11)))))),"")),"")</f>
        <v/>
      </c>
      <c r="U61" s="165"/>
      <c r="V61" s="166"/>
      <c r="W61" s="166"/>
      <c r="X61" s="166"/>
      <c r="Y61" s="166"/>
      <c r="Z61" s="178">
        <f>ROUND(IFERROR(IF(($G61="加入"),VLOOKUP($I61,年金DB!$G$16:$P$65,6,TRUE),0),0)-0.1,0)</f>
        <v>0</v>
      </c>
      <c r="AA61" s="178">
        <f>ROUND(IFERROR(IF(AND($G61="加入",$D61&gt;=40,$D61&lt;=64),VLOOKUP($I61,年金DB!$G$16:$P$65,10,TRUE),0),0)-0.1,0)</f>
        <v>0</v>
      </c>
      <c r="AB61" s="178">
        <f>ROUND(IFERROR(IF(AND($G61="加入",$D61&lt;40),VLOOKUP($J61,年金DB!$G$16:$X$62,14,TRUE),IF(AND($G61="加入",$D61&gt;=40),VLOOKUP($J61,年金DB!$G$16:$X$62,14,TRUE),"0")),0)-0.1,0)</f>
        <v>0</v>
      </c>
      <c r="AC61" s="178">
        <f t="shared" si="6"/>
        <v>0</v>
      </c>
      <c r="AD61" s="21">
        <f t="shared" si="3"/>
        <v>0</v>
      </c>
      <c r="AE61" s="173">
        <f t="shared" si="4"/>
        <v>0</v>
      </c>
      <c r="AF61" s="14" t="str">
        <f t="shared" si="5"/>
        <v/>
      </c>
      <c r="AG61" s="14"/>
      <c r="AH61" s="14"/>
    </row>
    <row r="62" spans="1:34">
      <c r="A62" s="28"/>
      <c r="B62" s="180"/>
      <c r="C62" s="188"/>
      <c r="D62" s="161"/>
      <c r="E62" s="162"/>
      <c r="F62" s="162"/>
      <c r="G62" s="163"/>
      <c r="H62" s="285"/>
      <c r="I62" s="282"/>
      <c r="J62" s="16"/>
      <c r="K62" s="18">
        <f t="shared" si="0"/>
        <v>0</v>
      </c>
      <c r="L62" s="288">
        <v>0</v>
      </c>
      <c r="M62" s="291"/>
      <c r="N62" s="164"/>
      <c r="O62" s="164"/>
      <c r="P62" s="164"/>
      <c r="Q62" s="175">
        <f t="shared" si="7"/>
        <v>0</v>
      </c>
      <c r="R62" s="164"/>
      <c r="S62" s="197">
        <f t="shared" si="2"/>
        <v>0</v>
      </c>
      <c r="T62" s="201" t="str" cm="1">
        <f t="array" ref="T62">IFERROR(IF(F62="甲",IF(K62&gt;3500000,VLOOKUP(3500000,源泉DB!$B$261:$L$261,L62+3)+ROUNDDOWN((K62-3500000)*45.945%,0),IF(AND(K62&gt;2250000,K62&lt;3500000),VLOOKUP(2250000,源泉DB!$B$260:$K$260,L62+3)+ROUNDDOWN((K62-2250000)*40.84%,0),IF(AND(K62&gt;2210000,K62&lt;2250000),VLOOKUP(2210000,源泉DB!$B$259:$K$259,L62+3)+ROUNDDOWN((K62-2210000)*40.84%,0),IF(AND(K62&gt;2170000,K62&lt;2210000),VLOOKUP(2170000,源泉DB!$B$258:$K$258,L62+3)+ROUNDDOWN((K62-2170000)*40.84%,0),IF(AND(K62&gt;1700000,K62&lt;2170000),VLOOKUP(1700000,源泉DB!$B$257:$K$257,L62+3)+ROUNDDOWN((K62-1700000)*40.84%,0),IF(AND(K62&gt;950000,K62&lt;1700000),VLOOKUP(950000,源泉DB!$B$256:$K$256,L62+3)+ROUNDDOWN((K62-950000)*33.693%,0),IF(AND(K62&gt;780000,K62&lt;950000),VLOOKUP(780000,源泉DB!$B$255:$K$255,L62+3)+ROUNDDOWN((K62-780000)*23.483%,0),IF(AND(K62&gt;740000,K62&lt;780000),VLOOKUP(740000,源泉DB!$B$254:$K$254,L62+3)+ROUNDDOWN((K62-740000)*20.42%,0),VLOOKUP(K62,源泉DB!$B$8:$K$299,L62+3))))))))),IF(F62="乙",IF(K62&gt;1700000,651900+(K62-1700000) *45.945%,IF(K62=1700000,651900,IF(AND(K62&gt;740000,K62&lt;1700000),259800+(K62-740000)*40.84%,IF(K62=740000,259800,IF(K62&lt;88000,ROUNDDOWN(K62*3.063%,9),VLOOKUP(K62,源泉DB!$B$8:$L$254,11)))))),"")),"")</f>
        <v/>
      </c>
      <c r="U62" s="165"/>
      <c r="V62" s="166"/>
      <c r="W62" s="166"/>
      <c r="X62" s="166"/>
      <c r="Y62" s="166"/>
      <c r="Z62" s="178">
        <f>ROUND(IFERROR(IF(($G62="加入"),VLOOKUP($I62,年金DB!$G$16:$P$65,6,TRUE),0),0)-0.1,0)</f>
        <v>0</v>
      </c>
      <c r="AA62" s="178">
        <f>ROUND(IFERROR(IF(AND($G62="加入",$D62&gt;=40,$D62&lt;=64),VLOOKUP($I62,年金DB!$G$16:$P$65,10,TRUE),0),0)-0.1,0)</f>
        <v>0</v>
      </c>
      <c r="AB62" s="178">
        <f>ROUND(IFERROR(IF(AND($G62="加入",$D62&lt;40),VLOOKUP($J62,年金DB!$G$16:$X$62,14,TRUE),IF(AND($G62="加入",$D62&gt;=40),VLOOKUP($J62,年金DB!$G$16:$X$62,14,TRUE),"0")),0)-0.1,0)</f>
        <v>0</v>
      </c>
      <c r="AC62" s="178">
        <f t="shared" si="6"/>
        <v>0</v>
      </c>
      <c r="AD62" s="21">
        <f t="shared" si="3"/>
        <v>0</v>
      </c>
      <c r="AE62" s="173">
        <f t="shared" si="4"/>
        <v>0</v>
      </c>
      <c r="AF62" s="14" t="str">
        <f t="shared" si="5"/>
        <v/>
      </c>
      <c r="AG62" s="14"/>
      <c r="AH62" s="14"/>
    </row>
    <row r="63" spans="1:34">
      <c r="A63" s="28"/>
      <c r="B63" s="180"/>
      <c r="C63" s="188"/>
      <c r="D63" s="161"/>
      <c r="E63" s="162"/>
      <c r="F63" s="162"/>
      <c r="G63" s="163"/>
      <c r="H63" s="285"/>
      <c r="I63" s="282"/>
      <c r="J63" s="16"/>
      <c r="K63" s="18">
        <f t="shared" si="0"/>
        <v>0</v>
      </c>
      <c r="L63" s="288">
        <v>0</v>
      </c>
      <c r="M63" s="291"/>
      <c r="N63" s="164"/>
      <c r="O63" s="164"/>
      <c r="P63" s="164"/>
      <c r="Q63" s="175">
        <f t="shared" si="7"/>
        <v>0</v>
      </c>
      <c r="R63" s="164"/>
      <c r="S63" s="197">
        <f t="shared" si="2"/>
        <v>0</v>
      </c>
      <c r="T63" s="201" t="str" cm="1">
        <f t="array" ref="T63">IFERROR(IF(F63="甲",IF(K63&gt;3500000,VLOOKUP(3500000,源泉DB!$B$261:$L$261,L63+3)+ROUNDDOWN((K63-3500000)*45.945%,0),IF(AND(K63&gt;2250000,K63&lt;3500000),VLOOKUP(2250000,源泉DB!$B$260:$K$260,L63+3)+ROUNDDOWN((K63-2250000)*40.84%,0),IF(AND(K63&gt;2210000,K63&lt;2250000),VLOOKUP(2210000,源泉DB!$B$259:$K$259,L63+3)+ROUNDDOWN((K63-2210000)*40.84%,0),IF(AND(K63&gt;2170000,K63&lt;2210000),VLOOKUP(2170000,源泉DB!$B$258:$K$258,L63+3)+ROUNDDOWN((K63-2170000)*40.84%,0),IF(AND(K63&gt;1700000,K63&lt;2170000),VLOOKUP(1700000,源泉DB!$B$257:$K$257,L63+3)+ROUNDDOWN((K63-1700000)*40.84%,0),IF(AND(K63&gt;950000,K63&lt;1700000),VLOOKUP(950000,源泉DB!$B$256:$K$256,L63+3)+ROUNDDOWN((K63-950000)*33.693%,0),IF(AND(K63&gt;780000,K63&lt;950000),VLOOKUP(780000,源泉DB!$B$255:$K$255,L63+3)+ROUNDDOWN((K63-780000)*23.483%,0),IF(AND(K63&gt;740000,K63&lt;780000),VLOOKUP(740000,源泉DB!$B$254:$K$254,L63+3)+ROUNDDOWN((K63-740000)*20.42%,0),VLOOKUP(K63,源泉DB!$B$8:$K$299,L63+3))))))))),IF(F63="乙",IF(K63&gt;1700000,651900+(K63-1700000) *45.945%,IF(K63=1700000,651900,IF(AND(K63&gt;740000,K63&lt;1700000),259800+(K63-740000)*40.84%,IF(K63=740000,259800,IF(K63&lt;88000,ROUNDDOWN(K63*3.063%,9),VLOOKUP(K63,源泉DB!$B$8:$L$254,11)))))),"")),"")</f>
        <v/>
      </c>
      <c r="U63" s="165"/>
      <c r="V63" s="166"/>
      <c r="W63" s="166"/>
      <c r="X63" s="166"/>
      <c r="Y63" s="166"/>
      <c r="Z63" s="178">
        <f>ROUND(IFERROR(IF(($G63="加入"),VLOOKUP($I63,年金DB!$G$16:$P$65,6,TRUE),0),0)-0.1,0)</f>
        <v>0</v>
      </c>
      <c r="AA63" s="178">
        <f>ROUND(IFERROR(IF(AND($G63="加入",$D63&gt;=40,$D63&lt;=64),VLOOKUP($I63,年金DB!$G$16:$P$65,10,TRUE),0),0)-0.1,0)</f>
        <v>0</v>
      </c>
      <c r="AB63" s="178">
        <f>ROUND(IFERROR(IF(AND($G63="加入",$D63&lt;40),VLOOKUP($J63,年金DB!$G$16:$X$62,14,TRUE),IF(AND($G63="加入",$D63&gt;=40),VLOOKUP($J63,年金DB!$G$16:$X$62,14,TRUE),"0")),0)-0.1,0)</f>
        <v>0</v>
      </c>
      <c r="AC63" s="178">
        <f t="shared" si="6"/>
        <v>0</v>
      </c>
      <c r="AD63" s="21">
        <f t="shared" si="3"/>
        <v>0</v>
      </c>
      <c r="AE63" s="173">
        <f t="shared" si="4"/>
        <v>0</v>
      </c>
      <c r="AF63" s="14" t="str">
        <f t="shared" si="5"/>
        <v/>
      </c>
      <c r="AG63" s="14"/>
      <c r="AH63" s="14"/>
    </row>
    <row r="64" spans="1:34">
      <c r="A64" s="28"/>
      <c r="B64" s="180"/>
      <c r="C64" s="188"/>
      <c r="D64" s="161"/>
      <c r="E64" s="162"/>
      <c r="F64" s="162"/>
      <c r="G64" s="163"/>
      <c r="H64" s="285"/>
      <c r="I64" s="282"/>
      <c r="J64" s="16"/>
      <c r="K64" s="18">
        <f t="shared" si="0"/>
        <v>0</v>
      </c>
      <c r="L64" s="288">
        <v>0</v>
      </c>
      <c r="M64" s="291"/>
      <c r="N64" s="164"/>
      <c r="O64" s="164"/>
      <c r="P64" s="164"/>
      <c r="Q64" s="175">
        <f t="shared" si="7"/>
        <v>0</v>
      </c>
      <c r="R64" s="164"/>
      <c r="S64" s="197">
        <f t="shared" si="2"/>
        <v>0</v>
      </c>
      <c r="T64" s="201" t="str" cm="1">
        <f t="array" ref="T64">IFERROR(IF(F64="甲",IF(K64&gt;3500000,VLOOKUP(3500000,源泉DB!$B$261:$L$261,L64+3)+ROUNDDOWN((K64-3500000)*45.945%,0),IF(AND(K64&gt;2250000,K64&lt;3500000),VLOOKUP(2250000,源泉DB!$B$260:$K$260,L64+3)+ROUNDDOWN((K64-2250000)*40.84%,0),IF(AND(K64&gt;2210000,K64&lt;2250000),VLOOKUP(2210000,源泉DB!$B$259:$K$259,L64+3)+ROUNDDOWN((K64-2210000)*40.84%,0),IF(AND(K64&gt;2170000,K64&lt;2210000),VLOOKUP(2170000,源泉DB!$B$258:$K$258,L64+3)+ROUNDDOWN((K64-2170000)*40.84%,0),IF(AND(K64&gt;1700000,K64&lt;2170000),VLOOKUP(1700000,源泉DB!$B$257:$K$257,L64+3)+ROUNDDOWN((K64-1700000)*40.84%,0),IF(AND(K64&gt;950000,K64&lt;1700000),VLOOKUP(950000,源泉DB!$B$256:$K$256,L64+3)+ROUNDDOWN((K64-950000)*33.693%,0),IF(AND(K64&gt;780000,K64&lt;950000),VLOOKUP(780000,源泉DB!$B$255:$K$255,L64+3)+ROUNDDOWN((K64-780000)*23.483%,0),IF(AND(K64&gt;740000,K64&lt;780000),VLOOKUP(740000,源泉DB!$B$254:$K$254,L64+3)+ROUNDDOWN((K64-740000)*20.42%,0),VLOOKUP(K64,源泉DB!$B$8:$K$299,L64+3))))))))),IF(F64="乙",IF(K64&gt;1700000,651900+(K64-1700000) *45.945%,IF(K64=1700000,651900,IF(AND(K64&gt;740000,K64&lt;1700000),259800+(K64-740000)*40.84%,IF(K64=740000,259800,IF(K64&lt;88000,ROUNDDOWN(K64*3.063%,9),VLOOKUP(K64,源泉DB!$B$8:$L$254,11)))))),"")),"")</f>
        <v/>
      </c>
      <c r="U64" s="165"/>
      <c r="V64" s="166"/>
      <c r="W64" s="166"/>
      <c r="X64" s="166"/>
      <c r="Y64" s="166"/>
      <c r="Z64" s="178">
        <f>ROUND(IFERROR(IF(($G64="加入"),VLOOKUP($I64,年金DB!$G$16:$P$65,6,TRUE),0),0)-0.1,0)</f>
        <v>0</v>
      </c>
      <c r="AA64" s="178">
        <f>ROUND(IFERROR(IF(AND($G64="加入",$D64&gt;=40,$D64&lt;=64),VLOOKUP($I64,年金DB!$G$16:$P$65,10,TRUE),0),0)-0.1,0)</f>
        <v>0</v>
      </c>
      <c r="AB64" s="178">
        <f>ROUND(IFERROR(IF(AND($G64="加入",$D64&lt;40),VLOOKUP($J64,年金DB!$G$16:$X$62,14,TRUE),IF(AND($G64="加入",$D64&gt;=40),VLOOKUP($J64,年金DB!$G$16:$X$62,14,TRUE),"0")),0)-0.1,0)</f>
        <v>0</v>
      </c>
      <c r="AC64" s="178">
        <f t="shared" si="6"/>
        <v>0</v>
      </c>
      <c r="AD64" s="21">
        <f t="shared" si="3"/>
        <v>0</v>
      </c>
      <c r="AE64" s="173">
        <f t="shared" si="4"/>
        <v>0</v>
      </c>
      <c r="AF64" s="14" t="str">
        <f t="shared" si="5"/>
        <v/>
      </c>
      <c r="AG64" s="14"/>
      <c r="AH64" s="14"/>
    </row>
    <row r="65" spans="1:34">
      <c r="A65" s="28"/>
      <c r="B65" s="180"/>
      <c r="C65" s="188"/>
      <c r="D65" s="161"/>
      <c r="E65" s="162"/>
      <c r="F65" s="162"/>
      <c r="G65" s="163"/>
      <c r="H65" s="285"/>
      <c r="I65" s="282"/>
      <c r="J65" s="16"/>
      <c r="K65" s="18">
        <f t="shared" si="0"/>
        <v>0</v>
      </c>
      <c r="L65" s="288">
        <v>0</v>
      </c>
      <c r="M65" s="291"/>
      <c r="N65" s="164"/>
      <c r="O65" s="164"/>
      <c r="P65" s="164"/>
      <c r="Q65" s="175">
        <f t="shared" si="7"/>
        <v>0</v>
      </c>
      <c r="R65" s="164"/>
      <c r="S65" s="197">
        <f t="shared" si="2"/>
        <v>0</v>
      </c>
      <c r="T65" s="201" t="str" cm="1">
        <f t="array" ref="T65">IFERROR(IF(F65="甲",IF(K65&gt;3500000,VLOOKUP(3500000,源泉DB!$B$261:$L$261,L65+3)+ROUNDDOWN((K65-3500000)*45.945%,0),IF(AND(K65&gt;2250000,K65&lt;3500000),VLOOKUP(2250000,源泉DB!$B$260:$K$260,L65+3)+ROUNDDOWN((K65-2250000)*40.84%,0),IF(AND(K65&gt;2210000,K65&lt;2250000),VLOOKUP(2210000,源泉DB!$B$259:$K$259,L65+3)+ROUNDDOWN((K65-2210000)*40.84%,0),IF(AND(K65&gt;2170000,K65&lt;2210000),VLOOKUP(2170000,源泉DB!$B$258:$K$258,L65+3)+ROUNDDOWN((K65-2170000)*40.84%,0),IF(AND(K65&gt;1700000,K65&lt;2170000),VLOOKUP(1700000,源泉DB!$B$257:$K$257,L65+3)+ROUNDDOWN((K65-1700000)*40.84%,0),IF(AND(K65&gt;950000,K65&lt;1700000),VLOOKUP(950000,源泉DB!$B$256:$K$256,L65+3)+ROUNDDOWN((K65-950000)*33.693%,0),IF(AND(K65&gt;780000,K65&lt;950000),VLOOKUP(780000,源泉DB!$B$255:$K$255,L65+3)+ROUNDDOWN((K65-780000)*23.483%,0),IF(AND(K65&gt;740000,K65&lt;780000),VLOOKUP(740000,源泉DB!$B$254:$K$254,L65+3)+ROUNDDOWN((K65-740000)*20.42%,0),VLOOKUP(K65,源泉DB!$B$8:$K$299,L65+3))))))))),IF(F65="乙",IF(K65&gt;1700000,651900+(K65-1700000) *45.945%,IF(K65=1700000,651900,IF(AND(K65&gt;740000,K65&lt;1700000),259800+(K65-740000)*40.84%,IF(K65=740000,259800,IF(K65&lt;88000,ROUNDDOWN(K65*3.063%,9),VLOOKUP(K65,源泉DB!$B$8:$L$254,11)))))),"")),"")</f>
        <v/>
      </c>
      <c r="U65" s="165"/>
      <c r="V65" s="166"/>
      <c r="W65" s="166"/>
      <c r="X65" s="166"/>
      <c r="Y65" s="166"/>
      <c r="Z65" s="178">
        <f>ROUND(IFERROR(IF(($G65="加入"),VLOOKUP($I65,年金DB!$G$16:$P$65,6,TRUE),0),0)-0.1,0)</f>
        <v>0</v>
      </c>
      <c r="AA65" s="178">
        <f>ROUND(IFERROR(IF(AND($G65="加入",$D65&gt;=40,$D65&lt;=64),VLOOKUP($I65,年金DB!$G$16:$P$65,10,TRUE),0),0)-0.1,0)</f>
        <v>0</v>
      </c>
      <c r="AB65" s="178">
        <f>ROUND(IFERROR(IF(AND($G65="加入",$D65&lt;40),VLOOKUP($J65,年金DB!$G$16:$X$62,14,TRUE),IF(AND($G65="加入",$D65&gt;=40),VLOOKUP($J65,年金DB!$G$16:$X$62,14,TRUE),"0")),0)-0.1,0)</f>
        <v>0</v>
      </c>
      <c r="AC65" s="178">
        <f t="shared" si="6"/>
        <v>0</v>
      </c>
      <c r="AD65" s="21">
        <f t="shared" si="3"/>
        <v>0</v>
      </c>
      <c r="AE65" s="173">
        <f t="shared" si="4"/>
        <v>0</v>
      </c>
      <c r="AF65" s="14" t="str">
        <f t="shared" si="5"/>
        <v/>
      </c>
      <c r="AG65" s="14"/>
      <c r="AH65" s="14"/>
    </row>
    <row r="66" spans="1:34">
      <c r="A66" s="28"/>
      <c r="B66" s="180"/>
      <c r="C66" s="188"/>
      <c r="D66" s="161"/>
      <c r="E66" s="162"/>
      <c r="F66" s="162"/>
      <c r="G66" s="163"/>
      <c r="H66" s="285"/>
      <c r="I66" s="282"/>
      <c r="J66" s="16"/>
      <c r="K66" s="18">
        <f t="shared" si="0"/>
        <v>0</v>
      </c>
      <c r="L66" s="288">
        <v>0</v>
      </c>
      <c r="M66" s="291"/>
      <c r="N66" s="164"/>
      <c r="O66" s="164"/>
      <c r="P66" s="164"/>
      <c r="Q66" s="175">
        <f t="shared" si="7"/>
        <v>0</v>
      </c>
      <c r="R66" s="164"/>
      <c r="S66" s="197">
        <f t="shared" si="2"/>
        <v>0</v>
      </c>
      <c r="T66" s="201" t="str" cm="1">
        <f t="array" ref="T66">IFERROR(IF(F66="甲",IF(K66&gt;3500000,VLOOKUP(3500000,源泉DB!$B$261:$L$261,L66+3)+ROUNDDOWN((K66-3500000)*45.945%,0),IF(AND(K66&gt;2250000,K66&lt;3500000),VLOOKUP(2250000,源泉DB!$B$260:$K$260,L66+3)+ROUNDDOWN((K66-2250000)*40.84%,0),IF(AND(K66&gt;2210000,K66&lt;2250000),VLOOKUP(2210000,源泉DB!$B$259:$K$259,L66+3)+ROUNDDOWN((K66-2210000)*40.84%,0),IF(AND(K66&gt;2170000,K66&lt;2210000),VLOOKUP(2170000,源泉DB!$B$258:$K$258,L66+3)+ROUNDDOWN((K66-2170000)*40.84%,0),IF(AND(K66&gt;1700000,K66&lt;2170000),VLOOKUP(1700000,源泉DB!$B$257:$K$257,L66+3)+ROUNDDOWN((K66-1700000)*40.84%,0),IF(AND(K66&gt;950000,K66&lt;1700000),VLOOKUP(950000,源泉DB!$B$256:$K$256,L66+3)+ROUNDDOWN((K66-950000)*33.693%,0),IF(AND(K66&gt;780000,K66&lt;950000),VLOOKUP(780000,源泉DB!$B$255:$K$255,L66+3)+ROUNDDOWN((K66-780000)*23.483%,0),IF(AND(K66&gt;740000,K66&lt;780000),VLOOKUP(740000,源泉DB!$B$254:$K$254,L66+3)+ROUNDDOWN((K66-740000)*20.42%,0),VLOOKUP(K66,源泉DB!$B$8:$K$299,L66+3))))))))),IF(F66="乙",IF(K66&gt;1700000,651900+(K66-1700000) *45.945%,IF(K66=1700000,651900,IF(AND(K66&gt;740000,K66&lt;1700000),259800+(K66-740000)*40.84%,IF(K66=740000,259800,IF(K66&lt;88000,ROUNDDOWN(K66*3.063%,9),VLOOKUP(K66,源泉DB!$B$8:$L$254,11)))))),"")),"")</f>
        <v/>
      </c>
      <c r="U66" s="165"/>
      <c r="V66" s="166"/>
      <c r="W66" s="166"/>
      <c r="X66" s="166"/>
      <c r="Y66" s="166"/>
      <c r="Z66" s="178">
        <f>ROUND(IFERROR(IF(($G66="加入"),VLOOKUP($I66,年金DB!$G$16:$P$65,6,TRUE),0),0)-0.1,0)</f>
        <v>0</v>
      </c>
      <c r="AA66" s="178">
        <f>ROUND(IFERROR(IF(AND($G66="加入",$D66&gt;=40,$D66&lt;=64),VLOOKUP($I66,年金DB!$G$16:$P$65,10,TRUE),0),0)-0.1,0)</f>
        <v>0</v>
      </c>
      <c r="AB66" s="178">
        <f>ROUND(IFERROR(IF(AND($G66="加入",$D66&lt;40),VLOOKUP($J66,年金DB!$G$16:$X$62,14,TRUE),IF(AND($G66="加入",$D66&gt;=40),VLOOKUP($J66,年金DB!$G$16:$X$62,14,TRUE),"0")),0)-0.1,0)</f>
        <v>0</v>
      </c>
      <c r="AC66" s="178">
        <f t="shared" si="6"/>
        <v>0</v>
      </c>
      <c r="AD66" s="21">
        <f t="shared" si="3"/>
        <v>0</v>
      </c>
      <c r="AE66" s="173">
        <f t="shared" si="4"/>
        <v>0</v>
      </c>
      <c r="AF66" s="14" t="str">
        <f t="shared" si="5"/>
        <v/>
      </c>
      <c r="AG66" s="14"/>
      <c r="AH66" s="14"/>
    </row>
    <row r="67" spans="1:34">
      <c r="A67" s="28"/>
      <c r="B67" s="180"/>
      <c r="C67" s="188"/>
      <c r="D67" s="161"/>
      <c r="E67" s="162"/>
      <c r="F67" s="162"/>
      <c r="G67" s="163"/>
      <c r="H67" s="285"/>
      <c r="I67" s="282"/>
      <c r="J67" s="16"/>
      <c r="K67" s="18">
        <f t="shared" si="0"/>
        <v>0</v>
      </c>
      <c r="L67" s="288">
        <v>0</v>
      </c>
      <c r="M67" s="291"/>
      <c r="N67" s="164"/>
      <c r="O67" s="164"/>
      <c r="P67" s="164"/>
      <c r="Q67" s="175">
        <f t="shared" si="7"/>
        <v>0</v>
      </c>
      <c r="R67" s="164"/>
      <c r="S67" s="197">
        <f t="shared" si="2"/>
        <v>0</v>
      </c>
      <c r="T67" s="201" t="str" cm="1">
        <f t="array" ref="T67">IFERROR(IF(F67="甲",IF(K67&gt;3500000,VLOOKUP(3500000,源泉DB!$B$261:$L$261,L67+3)+ROUNDDOWN((K67-3500000)*45.945%,0),IF(AND(K67&gt;2250000,K67&lt;3500000),VLOOKUP(2250000,源泉DB!$B$260:$K$260,L67+3)+ROUNDDOWN((K67-2250000)*40.84%,0),IF(AND(K67&gt;2210000,K67&lt;2250000),VLOOKUP(2210000,源泉DB!$B$259:$K$259,L67+3)+ROUNDDOWN((K67-2210000)*40.84%,0),IF(AND(K67&gt;2170000,K67&lt;2210000),VLOOKUP(2170000,源泉DB!$B$258:$K$258,L67+3)+ROUNDDOWN((K67-2170000)*40.84%,0),IF(AND(K67&gt;1700000,K67&lt;2170000),VLOOKUP(1700000,源泉DB!$B$257:$K$257,L67+3)+ROUNDDOWN((K67-1700000)*40.84%,0),IF(AND(K67&gt;950000,K67&lt;1700000),VLOOKUP(950000,源泉DB!$B$256:$K$256,L67+3)+ROUNDDOWN((K67-950000)*33.693%,0),IF(AND(K67&gt;780000,K67&lt;950000),VLOOKUP(780000,源泉DB!$B$255:$K$255,L67+3)+ROUNDDOWN((K67-780000)*23.483%,0),IF(AND(K67&gt;740000,K67&lt;780000),VLOOKUP(740000,源泉DB!$B$254:$K$254,L67+3)+ROUNDDOWN((K67-740000)*20.42%,0),VLOOKUP(K67,源泉DB!$B$8:$K$299,L67+3))))))))),IF(F67="乙",IF(K67&gt;1700000,651900+(K67-1700000) *45.945%,IF(K67=1700000,651900,IF(AND(K67&gt;740000,K67&lt;1700000),259800+(K67-740000)*40.84%,IF(K67=740000,259800,IF(K67&lt;88000,ROUNDDOWN(K67*3.063%,9),VLOOKUP(K67,源泉DB!$B$8:$L$254,11)))))),"")),"")</f>
        <v/>
      </c>
      <c r="U67" s="165"/>
      <c r="V67" s="166"/>
      <c r="W67" s="166"/>
      <c r="X67" s="166"/>
      <c r="Y67" s="166"/>
      <c r="Z67" s="178">
        <f>ROUND(IFERROR(IF(($G67="加入"),VLOOKUP($I67,年金DB!$G$16:$P$65,6,TRUE),0),0)-0.1,0)</f>
        <v>0</v>
      </c>
      <c r="AA67" s="178">
        <f>ROUND(IFERROR(IF(AND($G67="加入",$D67&gt;=40,$D67&lt;=64),VLOOKUP($I67,年金DB!$G$16:$P$65,10,TRUE),0),0)-0.1,0)</f>
        <v>0</v>
      </c>
      <c r="AB67" s="178">
        <f>ROUND(IFERROR(IF(AND($G67="加入",$D67&lt;40),VLOOKUP($J67,年金DB!$G$16:$X$62,14,TRUE),IF(AND($G67="加入",$D67&gt;=40),VLOOKUP($J67,年金DB!$G$16:$X$62,14,TRUE),"0")),0)-0.1,0)</f>
        <v>0</v>
      </c>
      <c r="AC67" s="178">
        <f t="shared" si="6"/>
        <v>0</v>
      </c>
      <c r="AD67" s="21">
        <f t="shared" si="3"/>
        <v>0</v>
      </c>
      <c r="AE67" s="173">
        <f t="shared" si="4"/>
        <v>0</v>
      </c>
      <c r="AF67" s="14" t="str">
        <f t="shared" si="5"/>
        <v/>
      </c>
      <c r="AG67" s="14"/>
      <c r="AH67" s="14"/>
    </row>
    <row r="68" spans="1:34">
      <c r="A68" s="28"/>
      <c r="B68" s="180"/>
      <c r="C68" s="188"/>
      <c r="D68" s="161"/>
      <c r="E68" s="162"/>
      <c r="F68" s="162"/>
      <c r="G68" s="163"/>
      <c r="H68" s="285"/>
      <c r="I68" s="282"/>
      <c r="J68" s="16"/>
      <c r="K68" s="18">
        <f t="shared" si="0"/>
        <v>0</v>
      </c>
      <c r="L68" s="288">
        <v>0</v>
      </c>
      <c r="M68" s="291"/>
      <c r="N68" s="164"/>
      <c r="O68" s="164"/>
      <c r="P68" s="164"/>
      <c r="Q68" s="175">
        <f t="shared" si="7"/>
        <v>0</v>
      </c>
      <c r="R68" s="164"/>
      <c r="S68" s="197">
        <f t="shared" si="2"/>
        <v>0</v>
      </c>
      <c r="T68" s="201" t="str" cm="1">
        <f t="array" ref="T68">IFERROR(IF(F68="甲",IF(K68&gt;3500000,VLOOKUP(3500000,源泉DB!$B$261:$L$261,L68+3)+ROUNDDOWN((K68-3500000)*45.945%,0),IF(AND(K68&gt;2250000,K68&lt;3500000),VLOOKUP(2250000,源泉DB!$B$260:$K$260,L68+3)+ROUNDDOWN((K68-2250000)*40.84%,0),IF(AND(K68&gt;2210000,K68&lt;2250000),VLOOKUP(2210000,源泉DB!$B$259:$K$259,L68+3)+ROUNDDOWN((K68-2210000)*40.84%,0),IF(AND(K68&gt;2170000,K68&lt;2210000),VLOOKUP(2170000,源泉DB!$B$258:$K$258,L68+3)+ROUNDDOWN((K68-2170000)*40.84%,0),IF(AND(K68&gt;1700000,K68&lt;2170000),VLOOKUP(1700000,源泉DB!$B$257:$K$257,L68+3)+ROUNDDOWN((K68-1700000)*40.84%,0),IF(AND(K68&gt;950000,K68&lt;1700000),VLOOKUP(950000,源泉DB!$B$256:$K$256,L68+3)+ROUNDDOWN((K68-950000)*33.693%,0),IF(AND(K68&gt;780000,K68&lt;950000),VLOOKUP(780000,源泉DB!$B$255:$K$255,L68+3)+ROUNDDOWN((K68-780000)*23.483%,0),IF(AND(K68&gt;740000,K68&lt;780000),VLOOKUP(740000,源泉DB!$B$254:$K$254,L68+3)+ROUNDDOWN((K68-740000)*20.42%,0),VLOOKUP(K68,源泉DB!$B$8:$K$299,L68+3))))))))),IF(F68="乙",IF(K68&gt;1700000,651900+(K68-1700000) *45.945%,IF(K68=1700000,651900,IF(AND(K68&gt;740000,K68&lt;1700000),259800+(K68-740000)*40.84%,IF(K68=740000,259800,IF(K68&lt;88000,ROUNDDOWN(K68*3.063%,9),VLOOKUP(K68,源泉DB!$B$8:$L$254,11)))))),"")),"")</f>
        <v/>
      </c>
      <c r="U68" s="165"/>
      <c r="V68" s="166"/>
      <c r="W68" s="166"/>
      <c r="X68" s="166"/>
      <c r="Y68" s="166"/>
      <c r="Z68" s="178">
        <f>ROUND(IFERROR(IF(($G68="加入"),VLOOKUP($I68,年金DB!$G$16:$P$65,6,TRUE),0),0)-0.1,0)</f>
        <v>0</v>
      </c>
      <c r="AA68" s="178">
        <f>ROUND(IFERROR(IF(AND($G68="加入",$D68&gt;=40,$D68&lt;=64),VLOOKUP($I68,年金DB!$G$16:$P$65,10,TRUE),0),0)-0.1,0)</f>
        <v>0</v>
      </c>
      <c r="AB68" s="178">
        <f>ROUND(IFERROR(IF(AND($G68="加入",$D68&lt;40),VLOOKUP($J68,年金DB!$G$16:$X$62,14,TRUE),IF(AND($G68="加入",$D68&gt;=40),VLOOKUP($J68,年金DB!$G$16:$X$62,14,TRUE),"0")),0)-0.1,0)</f>
        <v>0</v>
      </c>
      <c r="AC68" s="178">
        <f t="shared" si="6"/>
        <v>0</v>
      </c>
      <c r="AD68" s="21">
        <f t="shared" si="3"/>
        <v>0</v>
      </c>
      <c r="AE68" s="173">
        <f t="shared" si="4"/>
        <v>0</v>
      </c>
      <c r="AF68" s="14" t="str">
        <f t="shared" si="5"/>
        <v/>
      </c>
      <c r="AG68" s="14"/>
      <c r="AH68" s="14"/>
    </row>
    <row r="69" spans="1:34">
      <c r="A69" s="28"/>
      <c r="B69" s="180"/>
      <c r="C69" s="188"/>
      <c r="D69" s="161"/>
      <c r="E69" s="162"/>
      <c r="F69" s="162"/>
      <c r="G69" s="163"/>
      <c r="H69" s="285"/>
      <c r="I69" s="282"/>
      <c r="J69" s="16"/>
      <c r="K69" s="18">
        <f t="shared" si="0"/>
        <v>0</v>
      </c>
      <c r="L69" s="288">
        <v>0</v>
      </c>
      <c r="M69" s="291"/>
      <c r="N69" s="164"/>
      <c r="O69" s="164"/>
      <c r="P69" s="164"/>
      <c r="Q69" s="175">
        <f t="shared" si="7"/>
        <v>0</v>
      </c>
      <c r="R69" s="164"/>
      <c r="S69" s="197">
        <f t="shared" si="2"/>
        <v>0</v>
      </c>
      <c r="T69" s="201" t="str" cm="1">
        <f t="array" ref="T69">IFERROR(IF(F69="甲",IF(K69&gt;3500000,VLOOKUP(3500000,源泉DB!$B$261:$L$261,L69+3)+ROUNDDOWN((K69-3500000)*45.945%,0),IF(AND(K69&gt;2250000,K69&lt;3500000),VLOOKUP(2250000,源泉DB!$B$260:$K$260,L69+3)+ROUNDDOWN((K69-2250000)*40.84%,0),IF(AND(K69&gt;2210000,K69&lt;2250000),VLOOKUP(2210000,源泉DB!$B$259:$K$259,L69+3)+ROUNDDOWN((K69-2210000)*40.84%,0),IF(AND(K69&gt;2170000,K69&lt;2210000),VLOOKUP(2170000,源泉DB!$B$258:$K$258,L69+3)+ROUNDDOWN((K69-2170000)*40.84%,0),IF(AND(K69&gt;1700000,K69&lt;2170000),VLOOKUP(1700000,源泉DB!$B$257:$K$257,L69+3)+ROUNDDOWN((K69-1700000)*40.84%,0),IF(AND(K69&gt;950000,K69&lt;1700000),VLOOKUP(950000,源泉DB!$B$256:$K$256,L69+3)+ROUNDDOWN((K69-950000)*33.693%,0),IF(AND(K69&gt;780000,K69&lt;950000),VLOOKUP(780000,源泉DB!$B$255:$K$255,L69+3)+ROUNDDOWN((K69-780000)*23.483%,0),IF(AND(K69&gt;740000,K69&lt;780000),VLOOKUP(740000,源泉DB!$B$254:$K$254,L69+3)+ROUNDDOWN((K69-740000)*20.42%,0),VLOOKUP(K69,源泉DB!$B$8:$K$299,L69+3))))))))),IF(F69="乙",IF(K69&gt;1700000,651900+(K69-1700000) *45.945%,IF(K69=1700000,651900,IF(AND(K69&gt;740000,K69&lt;1700000),259800+(K69-740000)*40.84%,IF(K69=740000,259800,IF(K69&lt;88000,ROUNDDOWN(K69*3.063%,9),VLOOKUP(K69,源泉DB!$B$8:$L$254,11)))))),"")),"")</f>
        <v/>
      </c>
      <c r="U69" s="165"/>
      <c r="V69" s="166"/>
      <c r="W69" s="166"/>
      <c r="X69" s="166"/>
      <c r="Y69" s="166"/>
      <c r="Z69" s="178">
        <f>ROUND(IFERROR(IF(($G69="加入"),VLOOKUP($I69,年金DB!$G$16:$P$65,6,TRUE),0),0)-0.1,0)</f>
        <v>0</v>
      </c>
      <c r="AA69" s="178">
        <f>ROUND(IFERROR(IF(AND($G69="加入",$D69&gt;=40,$D69&lt;=64),VLOOKUP($I69,年金DB!$G$16:$P$65,10,TRUE),0),0)-0.1,0)</f>
        <v>0</v>
      </c>
      <c r="AB69" s="178">
        <f>ROUND(IFERROR(IF(AND($G69="加入",$D69&lt;40),VLOOKUP($J69,年金DB!$G$16:$X$62,14,TRUE),IF(AND($G69="加入",$D69&gt;=40),VLOOKUP($J69,年金DB!$G$16:$X$62,14,TRUE),"0")),0)-0.1,0)</f>
        <v>0</v>
      </c>
      <c r="AC69" s="178">
        <f t="shared" si="6"/>
        <v>0</v>
      </c>
      <c r="AD69" s="21">
        <f t="shared" si="3"/>
        <v>0</v>
      </c>
      <c r="AE69" s="173">
        <f t="shared" si="4"/>
        <v>0</v>
      </c>
      <c r="AF69" s="14" t="str">
        <f t="shared" si="5"/>
        <v/>
      </c>
      <c r="AG69" s="14"/>
      <c r="AH69" s="14"/>
    </row>
    <row r="70" spans="1:34">
      <c r="A70" s="28"/>
      <c r="B70" s="180"/>
      <c r="C70" s="188"/>
      <c r="D70" s="161"/>
      <c r="E70" s="162"/>
      <c r="F70" s="162"/>
      <c r="G70" s="163"/>
      <c r="H70" s="285"/>
      <c r="I70" s="282"/>
      <c r="J70" s="16"/>
      <c r="K70" s="18">
        <f t="shared" si="0"/>
        <v>0</v>
      </c>
      <c r="L70" s="288">
        <v>0</v>
      </c>
      <c r="M70" s="291"/>
      <c r="N70" s="164"/>
      <c r="O70" s="164"/>
      <c r="P70" s="164"/>
      <c r="Q70" s="175">
        <f t="shared" si="7"/>
        <v>0</v>
      </c>
      <c r="R70" s="164"/>
      <c r="S70" s="197">
        <f t="shared" si="2"/>
        <v>0</v>
      </c>
      <c r="T70" s="201" t="str" cm="1">
        <f t="array" ref="T70">IFERROR(IF(F70="甲",IF(K70&gt;3500000,VLOOKUP(3500000,源泉DB!$B$261:$L$261,L70+3)+ROUNDDOWN((K70-3500000)*45.945%,0),IF(AND(K70&gt;2250000,K70&lt;3500000),VLOOKUP(2250000,源泉DB!$B$260:$K$260,L70+3)+ROUNDDOWN((K70-2250000)*40.84%,0),IF(AND(K70&gt;2210000,K70&lt;2250000),VLOOKUP(2210000,源泉DB!$B$259:$K$259,L70+3)+ROUNDDOWN((K70-2210000)*40.84%,0),IF(AND(K70&gt;2170000,K70&lt;2210000),VLOOKUP(2170000,源泉DB!$B$258:$K$258,L70+3)+ROUNDDOWN((K70-2170000)*40.84%,0),IF(AND(K70&gt;1700000,K70&lt;2170000),VLOOKUP(1700000,源泉DB!$B$257:$K$257,L70+3)+ROUNDDOWN((K70-1700000)*40.84%,0),IF(AND(K70&gt;950000,K70&lt;1700000),VLOOKUP(950000,源泉DB!$B$256:$K$256,L70+3)+ROUNDDOWN((K70-950000)*33.693%,0),IF(AND(K70&gt;780000,K70&lt;950000),VLOOKUP(780000,源泉DB!$B$255:$K$255,L70+3)+ROUNDDOWN((K70-780000)*23.483%,0),IF(AND(K70&gt;740000,K70&lt;780000),VLOOKUP(740000,源泉DB!$B$254:$K$254,L70+3)+ROUNDDOWN((K70-740000)*20.42%,0),VLOOKUP(K70,源泉DB!$B$8:$K$299,L70+3))))))))),IF(F70="乙",IF(K70&gt;1700000,651900+(K70-1700000) *45.945%,IF(K70=1700000,651900,IF(AND(K70&gt;740000,K70&lt;1700000),259800+(K70-740000)*40.84%,IF(K70=740000,259800,IF(K70&lt;88000,ROUNDDOWN(K70*3.063%,9),VLOOKUP(K70,源泉DB!$B$8:$L$254,11)))))),"")),"")</f>
        <v/>
      </c>
      <c r="U70" s="165"/>
      <c r="V70" s="166"/>
      <c r="W70" s="166"/>
      <c r="X70" s="166"/>
      <c r="Y70" s="166"/>
      <c r="Z70" s="178">
        <f>ROUND(IFERROR(IF(($G70="加入"),VLOOKUP($I70,年金DB!$G$16:$P$65,6,TRUE),0),0)-0.1,0)</f>
        <v>0</v>
      </c>
      <c r="AA70" s="178">
        <f>ROUND(IFERROR(IF(AND($G70="加入",$D70&gt;=40,$D70&lt;=64),VLOOKUP($I70,年金DB!$G$16:$P$65,10,TRUE),0),0)-0.1,0)</f>
        <v>0</v>
      </c>
      <c r="AB70" s="178">
        <f>ROUND(IFERROR(IF(AND($G70="加入",$D70&lt;40),VLOOKUP($J70,年金DB!$G$16:$X$62,14,TRUE),IF(AND($G70="加入",$D70&gt;=40),VLOOKUP($J70,年金DB!$G$16:$X$62,14,TRUE),"0")),0)-0.1,0)</f>
        <v>0</v>
      </c>
      <c r="AC70" s="178">
        <f t="shared" si="6"/>
        <v>0</v>
      </c>
      <c r="AD70" s="21">
        <f t="shared" si="3"/>
        <v>0</v>
      </c>
      <c r="AE70" s="173">
        <f t="shared" si="4"/>
        <v>0</v>
      </c>
      <c r="AF70" s="14" t="str">
        <f t="shared" si="5"/>
        <v/>
      </c>
      <c r="AG70" s="14"/>
      <c r="AH70" s="14"/>
    </row>
    <row r="71" spans="1:34">
      <c r="A71" s="28"/>
      <c r="B71" s="180"/>
      <c r="C71" s="188"/>
      <c r="D71" s="161"/>
      <c r="E71" s="162"/>
      <c r="F71" s="162"/>
      <c r="G71" s="163"/>
      <c r="H71" s="285"/>
      <c r="I71" s="282"/>
      <c r="J71" s="16"/>
      <c r="K71" s="18">
        <f t="shared" ref="K71:K134" si="8">IF((Q71-Z71-AA71-AB71-AC71)&lt;0,0,Q71-Z71-AA71-AB71-AC71)</f>
        <v>0</v>
      </c>
      <c r="L71" s="288">
        <v>0</v>
      </c>
      <c r="M71" s="291"/>
      <c r="N71" s="164"/>
      <c r="O71" s="164"/>
      <c r="P71" s="164"/>
      <c r="Q71" s="175">
        <f t="shared" si="7"/>
        <v>0</v>
      </c>
      <c r="R71" s="164"/>
      <c r="S71" s="197">
        <f t="shared" ref="S71:S134" si="9">SUM(Q71:R71)</f>
        <v>0</v>
      </c>
      <c r="T71" s="201" t="str" cm="1">
        <f t="array" ref="T71">IFERROR(IF(F71="甲",IF(K71&gt;3500000,VLOOKUP(3500000,源泉DB!$B$261:$L$261,L71+3)+ROUNDDOWN((K71-3500000)*45.945%,0),IF(AND(K71&gt;2250000,K71&lt;3500000),VLOOKUP(2250000,源泉DB!$B$260:$K$260,L71+3)+ROUNDDOWN((K71-2250000)*40.84%,0),IF(AND(K71&gt;2210000,K71&lt;2250000),VLOOKUP(2210000,源泉DB!$B$259:$K$259,L71+3)+ROUNDDOWN((K71-2210000)*40.84%,0),IF(AND(K71&gt;2170000,K71&lt;2210000),VLOOKUP(2170000,源泉DB!$B$258:$K$258,L71+3)+ROUNDDOWN((K71-2170000)*40.84%,0),IF(AND(K71&gt;1700000,K71&lt;2170000),VLOOKUP(1700000,源泉DB!$B$257:$K$257,L71+3)+ROUNDDOWN((K71-1700000)*40.84%,0),IF(AND(K71&gt;950000,K71&lt;1700000),VLOOKUP(950000,源泉DB!$B$256:$K$256,L71+3)+ROUNDDOWN((K71-950000)*33.693%,0),IF(AND(K71&gt;780000,K71&lt;950000),VLOOKUP(780000,源泉DB!$B$255:$K$255,L71+3)+ROUNDDOWN((K71-780000)*23.483%,0),IF(AND(K71&gt;740000,K71&lt;780000),VLOOKUP(740000,源泉DB!$B$254:$K$254,L71+3)+ROUNDDOWN((K71-740000)*20.42%,0),VLOOKUP(K71,源泉DB!$B$8:$K$299,L71+3))))))))),IF(F71="乙",IF(K71&gt;1700000,651900+(K71-1700000) *45.945%,IF(K71=1700000,651900,IF(AND(K71&gt;740000,K71&lt;1700000),259800+(K71-740000)*40.84%,IF(K71=740000,259800,IF(K71&lt;88000,ROUNDDOWN(K71*3.063%,9),VLOOKUP(K71,源泉DB!$B$8:$L$254,11)))))),"")),"")</f>
        <v/>
      </c>
      <c r="U71" s="165"/>
      <c r="V71" s="166"/>
      <c r="W71" s="166"/>
      <c r="X71" s="166"/>
      <c r="Y71" s="166"/>
      <c r="Z71" s="178">
        <f>ROUND(IFERROR(IF(($G71="加入"),VLOOKUP($I71,年金DB!$G$16:$P$65,6,TRUE),0),0)-0.1,0)</f>
        <v>0</v>
      </c>
      <c r="AA71" s="178">
        <f>ROUND(IFERROR(IF(AND($G71="加入",$D71&gt;=40,$D71&lt;=64),VLOOKUP($I71,年金DB!$G$16:$P$65,10,TRUE),0),0)-0.1,0)</f>
        <v>0</v>
      </c>
      <c r="AB71" s="178">
        <f>ROUND(IFERROR(IF(AND($G71="加入",$D71&lt;40),VLOOKUP($J71,年金DB!$G$16:$X$62,14,TRUE),IF(AND($G71="加入",$D71&gt;=40),VLOOKUP($J71,年金DB!$G$16:$X$62,14,TRUE),"0")),0)-0.1,0)</f>
        <v>0</v>
      </c>
      <c r="AC71" s="178">
        <f t="shared" si="6"/>
        <v>0</v>
      </c>
      <c r="AD71" s="21">
        <f t="shared" ref="AD71:AD134" si="10">SUM(T71:AC71)</f>
        <v>0</v>
      </c>
      <c r="AE71" s="173">
        <f t="shared" ref="AE71:AE134" si="11">S71-AD71</f>
        <v>0</v>
      </c>
      <c r="AF71" s="14" t="str">
        <f t="shared" ref="AF71:AF134" si="12">IF(AE71&gt;0,"←同額をお振込みください","")</f>
        <v/>
      </c>
      <c r="AG71" s="14"/>
      <c r="AH71" s="14"/>
    </row>
    <row r="72" spans="1:34">
      <c r="A72" s="28"/>
      <c r="B72" s="180"/>
      <c r="C72" s="188"/>
      <c r="D72" s="161"/>
      <c r="E72" s="162"/>
      <c r="F72" s="162"/>
      <c r="G72" s="163"/>
      <c r="H72" s="285"/>
      <c r="I72" s="282"/>
      <c r="J72" s="16"/>
      <c r="K72" s="18">
        <f t="shared" si="8"/>
        <v>0</v>
      </c>
      <c r="L72" s="288">
        <v>0</v>
      </c>
      <c r="M72" s="291"/>
      <c r="N72" s="164"/>
      <c r="O72" s="164"/>
      <c r="P72" s="164"/>
      <c r="Q72" s="175">
        <f t="shared" si="7"/>
        <v>0</v>
      </c>
      <c r="R72" s="164"/>
      <c r="S72" s="197">
        <f t="shared" si="9"/>
        <v>0</v>
      </c>
      <c r="T72" s="201" t="str" cm="1">
        <f t="array" ref="T72">IFERROR(IF(F72="甲",IF(K72&gt;3500000,VLOOKUP(3500000,源泉DB!$B$261:$L$261,L72+3)+ROUNDDOWN((K72-3500000)*45.945%,0),IF(AND(K72&gt;2250000,K72&lt;3500000),VLOOKUP(2250000,源泉DB!$B$260:$K$260,L72+3)+ROUNDDOWN((K72-2250000)*40.84%,0),IF(AND(K72&gt;2210000,K72&lt;2250000),VLOOKUP(2210000,源泉DB!$B$259:$K$259,L72+3)+ROUNDDOWN((K72-2210000)*40.84%,0),IF(AND(K72&gt;2170000,K72&lt;2210000),VLOOKUP(2170000,源泉DB!$B$258:$K$258,L72+3)+ROUNDDOWN((K72-2170000)*40.84%,0),IF(AND(K72&gt;1700000,K72&lt;2170000),VLOOKUP(1700000,源泉DB!$B$257:$K$257,L72+3)+ROUNDDOWN((K72-1700000)*40.84%,0),IF(AND(K72&gt;950000,K72&lt;1700000),VLOOKUP(950000,源泉DB!$B$256:$K$256,L72+3)+ROUNDDOWN((K72-950000)*33.693%,0),IF(AND(K72&gt;780000,K72&lt;950000),VLOOKUP(780000,源泉DB!$B$255:$K$255,L72+3)+ROUNDDOWN((K72-780000)*23.483%,0),IF(AND(K72&gt;740000,K72&lt;780000),VLOOKUP(740000,源泉DB!$B$254:$K$254,L72+3)+ROUNDDOWN((K72-740000)*20.42%,0),VLOOKUP(K72,源泉DB!$B$8:$K$299,L72+3))))))))),IF(F72="乙",IF(K72&gt;1700000,651900+(K72-1700000) *45.945%,IF(K72=1700000,651900,IF(AND(K72&gt;740000,K72&lt;1700000),259800+(K72-740000)*40.84%,IF(K72=740000,259800,IF(K72&lt;88000,ROUNDDOWN(K72*3.063%,9),VLOOKUP(K72,源泉DB!$B$8:$L$254,11)))))),"")),"")</f>
        <v/>
      </c>
      <c r="U72" s="165"/>
      <c r="V72" s="166"/>
      <c r="W72" s="166"/>
      <c r="X72" s="166"/>
      <c r="Y72" s="166"/>
      <c r="Z72" s="178">
        <f>ROUND(IFERROR(IF(($G72="加入"),VLOOKUP($I72,年金DB!$G$16:$P$65,6,TRUE),0),0)-0.1,0)</f>
        <v>0</v>
      </c>
      <c r="AA72" s="178">
        <f>ROUND(IFERROR(IF(AND($G72="加入",$D72&gt;=40,$D72&lt;=64),VLOOKUP($I72,年金DB!$G$16:$P$65,10,TRUE),0),0)-0.1,0)</f>
        <v>0</v>
      </c>
      <c r="AB72" s="178">
        <f>ROUND(IFERROR(IF(AND($G72="加入",$D72&lt;40),VLOOKUP($J72,年金DB!$G$16:$X$62,14,TRUE),IF(AND($G72="加入",$D72&gt;=40),VLOOKUP($J72,年金DB!$G$16:$X$62,14,TRUE),"0")),0)-0.1,0)</f>
        <v>0</v>
      </c>
      <c r="AC72" s="178">
        <f t="shared" ref="AC72:AC135" si="13">IF(OR(H72="非加入",H72=""),0,ROUNDUP(IFERROR(IF(H72="加入",(Q72+R72)*3/1000,0),0)-0.5,0))</f>
        <v>0</v>
      </c>
      <c r="AD72" s="21">
        <f t="shared" si="10"/>
        <v>0</v>
      </c>
      <c r="AE72" s="173">
        <f t="shared" si="11"/>
        <v>0</v>
      </c>
      <c r="AF72" s="14" t="str">
        <f t="shared" si="12"/>
        <v/>
      </c>
      <c r="AG72" s="14"/>
      <c r="AH72" s="14"/>
    </row>
    <row r="73" spans="1:34">
      <c r="A73" s="28"/>
      <c r="B73" s="180"/>
      <c r="C73" s="188"/>
      <c r="D73" s="161"/>
      <c r="E73" s="162"/>
      <c r="F73" s="162"/>
      <c r="G73" s="163"/>
      <c r="H73" s="285"/>
      <c r="I73" s="282"/>
      <c r="J73" s="16"/>
      <c r="K73" s="18">
        <f t="shared" si="8"/>
        <v>0</v>
      </c>
      <c r="L73" s="288">
        <v>0</v>
      </c>
      <c r="M73" s="291"/>
      <c r="N73" s="164"/>
      <c r="O73" s="164"/>
      <c r="P73" s="164"/>
      <c r="Q73" s="175">
        <f t="shared" si="7"/>
        <v>0</v>
      </c>
      <c r="R73" s="164"/>
      <c r="S73" s="197">
        <f t="shared" si="9"/>
        <v>0</v>
      </c>
      <c r="T73" s="201" t="str" cm="1">
        <f t="array" ref="T73">IFERROR(IF(F73="甲",IF(K73&gt;3500000,VLOOKUP(3500000,源泉DB!$B$261:$L$261,L73+3)+ROUNDDOWN((K73-3500000)*45.945%,0),IF(AND(K73&gt;2250000,K73&lt;3500000),VLOOKUP(2250000,源泉DB!$B$260:$K$260,L73+3)+ROUNDDOWN((K73-2250000)*40.84%,0),IF(AND(K73&gt;2210000,K73&lt;2250000),VLOOKUP(2210000,源泉DB!$B$259:$K$259,L73+3)+ROUNDDOWN((K73-2210000)*40.84%,0),IF(AND(K73&gt;2170000,K73&lt;2210000),VLOOKUP(2170000,源泉DB!$B$258:$K$258,L73+3)+ROUNDDOWN((K73-2170000)*40.84%,0),IF(AND(K73&gt;1700000,K73&lt;2170000),VLOOKUP(1700000,源泉DB!$B$257:$K$257,L73+3)+ROUNDDOWN((K73-1700000)*40.84%,0),IF(AND(K73&gt;950000,K73&lt;1700000),VLOOKUP(950000,源泉DB!$B$256:$K$256,L73+3)+ROUNDDOWN((K73-950000)*33.693%,0),IF(AND(K73&gt;780000,K73&lt;950000),VLOOKUP(780000,源泉DB!$B$255:$K$255,L73+3)+ROUNDDOWN((K73-780000)*23.483%,0),IF(AND(K73&gt;740000,K73&lt;780000),VLOOKUP(740000,源泉DB!$B$254:$K$254,L73+3)+ROUNDDOWN((K73-740000)*20.42%,0),VLOOKUP(K73,源泉DB!$B$8:$K$299,L73+3))))))))),IF(F73="乙",IF(K73&gt;1700000,651900+(K73-1700000) *45.945%,IF(K73=1700000,651900,IF(AND(K73&gt;740000,K73&lt;1700000),259800+(K73-740000)*40.84%,IF(K73=740000,259800,IF(K73&lt;88000,ROUNDDOWN(K73*3.063%,9),VLOOKUP(K73,源泉DB!$B$8:$L$254,11)))))),"")),"")</f>
        <v/>
      </c>
      <c r="U73" s="165"/>
      <c r="V73" s="166"/>
      <c r="W73" s="166"/>
      <c r="X73" s="166"/>
      <c r="Y73" s="166"/>
      <c r="Z73" s="178">
        <f>ROUND(IFERROR(IF(($G73="加入"),VLOOKUP($I73,年金DB!$G$16:$P$65,6,TRUE),0),0)-0.1,0)</f>
        <v>0</v>
      </c>
      <c r="AA73" s="178">
        <f>ROUND(IFERROR(IF(AND($G73="加入",$D73&gt;=40,$D73&lt;=64),VLOOKUP($I73,年金DB!$G$16:$P$65,10,TRUE),0),0)-0.1,0)</f>
        <v>0</v>
      </c>
      <c r="AB73" s="178">
        <f>ROUND(IFERROR(IF(AND($G73="加入",$D73&lt;40),VLOOKUP($J73,年金DB!$G$16:$X$62,14,TRUE),IF(AND($G73="加入",$D73&gt;=40),VLOOKUP($J73,年金DB!$G$16:$X$62,14,TRUE),"0")),0)-0.1,0)</f>
        <v>0</v>
      </c>
      <c r="AC73" s="178">
        <f t="shared" si="13"/>
        <v>0</v>
      </c>
      <c r="AD73" s="21">
        <f t="shared" si="10"/>
        <v>0</v>
      </c>
      <c r="AE73" s="173">
        <f t="shared" si="11"/>
        <v>0</v>
      </c>
      <c r="AF73" s="14" t="str">
        <f t="shared" si="12"/>
        <v/>
      </c>
      <c r="AG73" s="14"/>
      <c r="AH73" s="14"/>
    </row>
    <row r="74" spans="1:34">
      <c r="A74" s="28"/>
      <c r="B74" s="180"/>
      <c r="C74" s="188"/>
      <c r="D74" s="161"/>
      <c r="E74" s="162"/>
      <c r="F74" s="162"/>
      <c r="G74" s="163"/>
      <c r="H74" s="285"/>
      <c r="I74" s="282"/>
      <c r="J74" s="16"/>
      <c r="K74" s="18">
        <f t="shared" si="8"/>
        <v>0</v>
      </c>
      <c r="L74" s="288">
        <v>0</v>
      </c>
      <c r="M74" s="291"/>
      <c r="N74" s="164"/>
      <c r="O74" s="164"/>
      <c r="P74" s="164"/>
      <c r="Q74" s="175">
        <f t="shared" si="7"/>
        <v>0</v>
      </c>
      <c r="R74" s="164"/>
      <c r="S74" s="197">
        <f t="shared" si="9"/>
        <v>0</v>
      </c>
      <c r="T74" s="201" t="str" cm="1">
        <f t="array" ref="T74">IFERROR(IF(F74="甲",IF(K74&gt;3500000,VLOOKUP(3500000,源泉DB!$B$261:$L$261,L74+3)+ROUNDDOWN((K74-3500000)*45.945%,0),IF(AND(K74&gt;2250000,K74&lt;3500000),VLOOKUP(2250000,源泉DB!$B$260:$K$260,L74+3)+ROUNDDOWN((K74-2250000)*40.84%,0),IF(AND(K74&gt;2210000,K74&lt;2250000),VLOOKUP(2210000,源泉DB!$B$259:$K$259,L74+3)+ROUNDDOWN((K74-2210000)*40.84%,0),IF(AND(K74&gt;2170000,K74&lt;2210000),VLOOKUP(2170000,源泉DB!$B$258:$K$258,L74+3)+ROUNDDOWN((K74-2170000)*40.84%,0),IF(AND(K74&gt;1700000,K74&lt;2170000),VLOOKUP(1700000,源泉DB!$B$257:$K$257,L74+3)+ROUNDDOWN((K74-1700000)*40.84%,0),IF(AND(K74&gt;950000,K74&lt;1700000),VLOOKUP(950000,源泉DB!$B$256:$K$256,L74+3)+ROUNDDOWN((K74-950000)*33.693%,0),IF(AND(K74&gt;780000,K74&lt;950000),VLOOKUP(780000,源泉DB!$B$255:$K$255,L74+3)+ROUNDDOWN((K74-780000)*23.483%,0),IF(AND(K74&gt;740000,K74&lt;780000),VLOOKUP(740000,源泉DB!$B$254:$K$254,L74+3)+ROUNDDOWN((K74-740000)*20.42%,0),VLOOKUP(K74,源泉DB!$B$8:$K$299,L74+3))))))))),IF(F74="乙",IF(K74&gt;1700000,651900+(K74-1700000) *45.945%,IF(K74=1700000,651900,IF(AND(K74&gt;740000,K74&lt;1700000),259800+(K74-740000)*40.84%,IF(K74=740000,259800,IF(K74&lt;88000,ROUNDDOWN(K74*3.063%,9),VLOOKUP(K74,源泉DB!$B$8:$L$254,11)))))),"")),"")</f>
        <v/>
      </c>
      <c r="U74" s="165"/>
      <c r="V74" s="166"/>
      <c r="W74" s="166"/>
      <c r="X74" s="166"/>
      <c r="Y74" s="166"/>
      <c r="Z74" s="178">
        <f>ROUND(IFERROR(IF(($G74="加入"),VLOOKUP($I74,年金DB!$G$16:$P$65,6,TRUE),0),0)-0.1,0)</f>
        <v>0</v>
      </c>
      <c r="AA74" s="178">
        <f>ROUND(IFERROR(IF(AND($G74="加入",$D74&gt;=40,$D74&lt;=64),VLOOKUP($I74,年金DB!$G$16:$P$65,10,TRUE),0),0)-0.1,0)</f>
        <v>0</v>
      </c>
      <c r="AB74" s="178">
        <f>ROUND(IFERROR(IF(AND($G74="加入",$D74&lt;40),VLOOKUP($J74,年金DB!$G$16:$X$62,14,TRUE),IF(AND($G74="加入",$D74&gt;=40),VLOOKUP($J74,年金DB!$G$16:$X$62,14,TRUE),"0")),0)-0.1,0)</f>
        <v>0</v>
      </c>
      <c r="AC74" s="178">
        <f t="shared" si="13"/>
        <v>0</v>
      </c>
      <c r="AD74" s="21">
        <f t="shared" si="10"/>
        <v>0</v>
      </c>
      <c r="AE74" s="173">
        <f t="shared" si="11"/>
        <v>0</v>
      </c>
      <c r="AF74" s="14" t="str">
        <f t="shared" si="12"/>
        <v/>
      </c>
      <c r="AG74" s="14"/>
      <c r="AH74" s="14"/>
    </row>
    <row r="75" spans="1:34">
      <c r="A75" s="28"/>
      <c r="B75" s="180"/>
      <c r="C75" s="188"/>
      <c r="D75" s="161"/>
      <c r="E75" s="162"/>
      <c r="F75" s="162"/>
      <c r="G75" s="163"/>
      <c r="H75" s="285"/>
      <c r="I75" s="282"/>
      <c r="J75" s="16"/>
      <c r="K75" s="18">
        <f t="shared" si="8"/>
        <v>0</v>
      </c>
      <c r="L75" s="288">
        <v>0</v>
      </c>
      <c r="M75" s="291"/>
      <c r="N75" s="164"/>
      <c r="O75" s="164"/>
      <c r="P75" s="164"/>
      <c r="Q75" s="175">
        <f t="shared" si="7"/>
        <v>0</v>
      </c>
      <c r="R75" s="164"/>
      <c r="S75" s="197">
        <f t="shared" si="9"/>
        <v>0</v>
      </c>
      <c r="T75" s="201" t="str" cm="1">
        <f t="array" ref="T75">IFERROR(IF(F75="甲",IF(K75&gt;3500000,VLOOKUP(3500000,源泉DB!$B$261:$L$261,L75+3)+ROUNDDOWN((K75-3500000)*45.945%,0),IF(AND(K75&gt;2250000,K75&lt;3500000),VLOOKUP(2250000,源泉DB!$B$260:$K$260,L75+3)+ROUNDDOWN((K75-2250000)*40.84%,0),IF(AND(K75&gt;2210000,K75&lt;2250000),VLOOKUP(2210000,源泉DB!$B$259:$K$259,L75+3)+ROUNDDOWN((K75-2210000)*40.84%,0),IF(AND(K75&gt;2170000,K75&lt;2210000),VLOOKUP(2170000,源泉DB!$B$258:$K$258,L75+3)+ROUNDDOWN((K75-2170000)*40.84%,0),IF(AND(K75&gt;1700000,K75&lt;2170000),VLOOKUP(1700000,源泉DB!$B$257:$K$257,L75+3)+ROUNDDOWN((K75-1700000)*40.84%,0),IF(AND(K75&gt;950000,K75&lt;1700000),VLOOKUP(950000,源泉DB!$B$256:$K$256,L75+3)+ROUNDDOWN((K75-950000)*33.693%,0),IF(AND(K75&gt;780000,K75&lt;950000),VLOOKUP(780000,源泉DB!$B$255:$K$255,L75+3)+ROUNDDOWN((K75-780000)*23.483%,0),IF(AND(K75&gt;740000,K75&lt;780000),VLOOKUP(740000,源泉DB!$B$254:$K$254,L75+3)+ROUNDDOWN((K75-740000)*20.42%,0),VLOOKUP(K75,源泉DB!$B$8:$K$299,L75+3))))))))),IF(F75="乙",IF(K75&gt;1700000,651900+(K75-1700000) *45.945%,IF(K75=1700000,651900,IF(AND(K75&gt;740000,K75&lt;1700000),259800+(K75-740000)*40.84%,IF(K75=740000,259800,IF(K75&lt;88000,ROUNDDOWN(K75*3.063%,9),VLOOKUP(K75,源泉DB!$B$8:$L$254,11)))))),"")),"")</f>
        <v/>
      </c>
      <c r="U75" s="165"/>
      <c r="V75" s="166"/>
      <c r="W75" s="166"/>
      <c r="X75" s="166"/>
      <c r="Y75" s="166"/>
      <c r="Z75" s="178">
        <f>ROUND(IFERROR(IF(($G75="加入"),VLOOKUP($I75,年金DB!$G$16:$P$65,6,TRUE),0),0)-0.1,0)</f>
        <v>0</v>
      </c>
      <c r="AA75" s="178">
        <f>ROUND(IFERROR(IF(AND($G75="加入",$D75&gt;=40,$D75&lt;=64),VLOOKUP($I75,年金DB!$G$16:$P$65,10,TRUE),0),0)-0.1,0)</f>
        <v>0</v>
      </c>
      <c r="AB75" s="178">
        <f>ROUND(IFERROR(IF(AND($G75="加入",$D75&lt;40),VLOOKUP($J75,年金DB!$G$16:$X$62,14,TRUE),IF(AND($G75="加入",$D75&gt;=40),VLOOKUP($J75,年金DB!$G$16:$X$62,14,TRUE),"0")),0)-0.1,0)</f>
        <v>0</v>
      </c>
      <c r="AC75" s="178">
        <f t="shared" si="13"/>
        <v>0</v>
      </c>
      <c r="AD75" s="21">
        <f t="shared" si="10"/>
        <v>0</v>
      </c>
      <c r="AE75" s="173">
        <f t="shared" si="11"/>
        <v>0</v>
      </c>
      <c r="AF75" s="14" t="str">
        <f t="shared" si="12"/>
        <v/>
      </c>
      <c r="AG75" s="14"/>
      <c r="AH75" s="14"/>
    </row>
    <row r="76" spans="1:34">
      <c r="A76" s="28"/>
      <c r="B76" s="180"/>
      <c r="C76" s="188"/>
      <c r="D76" s="161"/>
      <c r="E76" s="162"/>
      <c r="F76" s="162"/>
      <c r="G76" s="163"/>
      <c r="H76" s="285"/>
      <c r="I76" s="282"/>
      <c r="J76" s="16"/>
      <c r="K76" s="18">
        <f t="shared" si="8"/>
        <v>0</v>
      </c>
      <c r="L76" s="288">
        <v>0</v>
      </c>
      <c r="M76" s="291"/>
      <c r="N76" s="164"/>
      <c r="O76" s="164"/>
      <c r="P76" s="164"/>
      <c r="Q76" s="175">
        <f t="shared" ref="Q76:Q139" si="14">SUM(M76:P76)</f>
        <v>0</v>
      </c>
      <c r="R76" s="164"/>
      <c r="S76" s="197">
        <f t="shared" si="9"/>
        <v>0</v>
      </c>
      <c r="T76" s="201" t="str" cm="1">
        <f t="array" ref="T76">IFERROR(IF(F76="甲",IF(K76&gt;3500000,VLOOKUP(3500000,源泉DB!$B$261:$L$261,L76+3)+ROUNDDOWN((K76-3500000)*45.945%,0),IF(AND(K76&gt;2250000,K76&lt;3500000),VLOOKUP(2250000,源泉DB!$B$260:$K$260,L76+3)+ROUNDDOWN((K76-2250000)*40.84%,0),IF(AND(K76&gt;2210000,K76&lt;2250000),VLOOKUP(2210000,源泉DB!$B$259:$K$259,L76+3)+ROUNDDOWN((K76-2210000)*40.84%,0),IF(AND(K76&gt;2170000,K76&lt;2210000),VLOOKUP(2170000,源泉DB!$B$258:$K$258,L76+3)+ROUNDDOWN((K76-2170000)*40.84%,0),IF(AND(K76&gt;1700000,K76&lt;2170000),VLOOKUP(1700000,源泉DB!$B$257:$K$257,L76+3)+ROUNDDOWN((K76-1700000)*40.84%,0),IF(AND(K76&gt;950000,K76&lt;1700000),VLOOKUP(950000,源泉DB!$B$256:$K$256,L76+3)+ROUNDDOWN((K76-950000)*33.693%,0),IF(AND(K76&gt;780000,K76&lt;950000),VLOOKUP(780000,源泉DB!$B$255:$K$255,L76+3)+ROUNDDOWN((K76-780000)*23.483%,0),IF(AND(K76&gt;740000,K76&lt;780000),VLOOKUP(740000,源泉DB!$B$254:$K$254,L76+3)+ROUNDDOWN((K76-740000)*20.42%,0),VLOOKUP(K76,源泉DB!$B$8:$K$299,L76+3))))))))),IF(F76="乙",IF(K76&gt;1700000,651900+(K76-1700000) *45.945%,IF(K76=1700000,651900,IF(AND(K76&gt;740000,K76&lt;1700000),259800+(K76-740000)*40.84%,IF(K76=740000,259800,IF(K76&lt;88000,ROUNDDOWN(K76*3.063%,9),VLOOKUP(K76,源泉DB!$B$8:$L$254,11)))))),"")),"")</f>
        <v/>
      </c>
      <c r="U76" s="165"/>
      <c r="V76" s="166"/>
      <c r="W76" s="166"/>
      <c r="X76" s="166"/>
      <c r="Y76" s="166"/>
      <c r="Z76" s="178">
        <f>ROUND(IFERROR(IF(($G76="加入"),VLOOKUP($I76,年金DB!$G$16:$P$65,6,TRUE),0),0)-0.1,0)</f>
        <v>0</v>
      </c>
      <c r="AA76" s="178">
        <f>ROUND(IFERROR(IF(AND($G76="加入",$D76&gt;=40,$D76&lt;=64),VLOOKUP($I76,年金DB!$G$16:$P$65,10,TRUE),0),0)-0.1,0)</f>
        <v>0</v>
      </c>
      <c r="AB76" s="178">
        <f>ROUND(IFERROR(IF(AND($G76="加入",$D76&lt;40),VLOOKUP($J76,年金DB!$G$16:$X$62,14,TRUE),IF(AND($G76="加入",$D76&gt;=40),VLOOKUP($J76,年金DB!$G$16:$X$62,14,TRUE),"0")),0)-0.1,0)</f>
        <v>0</v>
      </c>
      <c r="AC76" s="178">
        <f t="shared" si="13"/>
        <v>0</v>
      </c>
      <c r="AD76" s="21">
        <f t="shared" si="10"/>
        <v>0</v>
      </c>
      <c r="AE76" s="173">
        <f t="shared" si="11"/>
        <v>0</v>
      </c>
      <c r="AF76" s="14" t="str">
        <f t="shared" si="12"/>
        <v/>
      </c>
      <c r="AG76" s="14"/>
      <c r="AH76" s="14"/>
    </row>
    <row r="77" spans="1:34">
      <c r="A77" s="28"/>
      <c r="B77" s="180"/>
      <c r="C77" s="188"/>
      <c r="D77" s="161"/>
      <c r="E77" s="162"/>
      <c r="F77" s="162"/>
      <c r="G77" s="163"/>
      <c r="H77" s="285"/>
      <c r="I77" s="282"/>
      <c r="J77" s="16"/>
      <c r="K77" s="18">
        <f t="shared" si="8"/>
        <v>0</v>
      </c>
      <c r="L77" s="288">
        <v>0</v>
      </c>
      <c r="M77" s="291"/>
      <c r="N77" s="164"/>
      <c r="O77" s="164"/>
      <c r="P77" s="164"/>
      <c r="Q77" s="175">
        <f t="shared" si="14"/>
        <v>0</v>
      </c>
      <c r="R77" s="164"/>
      <c r="S77" s="197">
        <f t="shared" si="9"/>
        <v>0</v>
      </c>
      <c r="T77" s="201" t="str" cm="1">
        <f t="array" ref="T77">IFERROR(IF(F77="甲",IF(K77&gt;3500000,VLOOKUP(3500000,源泉DB!$B$261:$L$261,L77+3)+ROUNDDOWN((K77-3500000)*45.945%,0),IF(AND(K77&gt;2250000,K77&lt;3500000),VLOOKUP(2250000,源泉DB!$B$260:$K$260,L77+3)+ROUNDDOWN((K77-2250000)*40.84%,0),IF(AND(K77&gt;2210000,K77&lt;2250000),VLOOKUP(2210000,源泉DB!$B$259:$K$259,L77+3)+ROUNDDOWN((K77-2210000)*40.84%,0),IF(AND(K77&gt;2170000,K77&lt;2210000),VLOOKUP(2170000,源泉DB!$B$258:$K$258,L77+3)+ROUNDDOWN((K77-2170000)*40.84%,0),IF(AND(K77&gt;1700000,K77&lt;2170000),VLOOKUP(1700000,源泉DB!$B$257:$K$257,L77+3)+ROUNDDOWN((K77-1700000)*40.84%,0),IF(AND(K77&gt;950000,K77&lt;1700000),VLOOKUP(950000,源泉DB!$B$256:$K$256,L77+3)+ROUNDDOWN((K77-950000)*33.693%,0),IF(AND(K77&gt;780000,K77&lt;950000),VLOOKUP(780000,源泉DB!$B$255:$K$255,L77+3)+ROUNDDOWN((K77-780000)*23.483%,0),IF(AND(K77&gt;740000,K77&lt;780000),VLOOKUP(740000,源泉DB!$B$254:$K$254,L77+3)+ROUNDDOWN((K77-740000)*20.42%,0),VLOOKUP(K77,源泉DB!$B$8:$K$299,L77+3))))))))),IF(F77="乙",IF(K77&gt;1700000,651900+(K77-1700000) *45.945%,IF(K77=1700000,651900,IF(AND(K77&gt;740000,K77&lt;1700000),259800+(K77-740000)*40.84%,IF(K77=740000,259800,IF(K77&lt;88000,ROUNDDOWN(K77*3.063%,9),VLOOKUP(K77,源泉DB!$B$8:$L$254,11)))))),"")),"")</f>
        <v/>
      </c>
      <c r="U77" s="165"/>
      <c r="V77" s="166"/>
      <c r="W77" s="166"/>
      <c r="X77" s="166"/>
      <c r="Y77" s="166"/>
      <c r="Z77" s="178">
        <f>ROUND(IFERROR(IF(($G77="加入"),VLOOKUP($I77,年金DB!$G$16:$P$65,6,TRUE),0),0)-0.1,0)</f>
        <v>0</v>
      </c>
      <c r="AA77" s="178">
        <f>ROUND(IFERROR(IF(AND($G77="加入",$D77&gt;=40,$D77&lt;=64),VLOOKUP($I77,年金DB!$G$16:$P$65,10,TRUE),0),0)-0.1,0)</f>
        <v>0</v>
      </c>
      <c r="AB77" s="178">
        <f>ROUND(IFERROR(IF(AND($G77="加入",$D77&lt;40),VLOOKUP($J77,年金DB!$G$16:$X$62,14,TRUE),IF(AND($G77="加入",$D77&gt;=40),VLOOKUP($J77,年金DB!$G$16:$X$62,14,TRUE),"0")),0)-0.1,0)</f>
        <v>0</v>
      </c>
      <c r="AC77" s="178">
        <f t="shared" si="13"/>
        <v>0</v>
      </c>
      <c r="AD77" s="21">
        <f t="shared" si="10"/>
        <v>0</v>
      </c>
      <c r="AE77" s="173">
        <f t="shared" si="11"/>
        <v>0</v>
      </c>
      <c r="AF77" s="14" t="str">
        <f t="shared" si="12"/>
        <v/>
      </c>
      <c r="AG77" s="14"/>
      <c r="AH77" s="14"/>
    </row>
    <row r="78" spans="1:34">
      <c r="A78" s="28"/>
      <c r="B78" s="180"/>
      <c r="C78" s="188"/>
      <c r="D78" s="161"/>
      <c r="E78" s="162"/>
      <c r="F78" s="162"/>
      <c r="G78" s="163"/>
      <c r="H78" s="285"/>
      <c r="I78" s="282"/>
      <c r="J78" s="16"/>
      <c r="K78" s="18">
        <f t="shared" si="8"/>
        <v>0</v>
      </c>
      <c r="L78" s="288">
        <v>0</v>
      </c>
      <c r="M78" s="291"/>
      <c r="N78" s="164"/>
      <c r="O78" s="164"/>
      <c r="P78" s="164"/>
      <c r="Q78" s="175">
        <f t="shared" si="14"/>
        <v>0</v>
      </c>
      <c r="R78" s="164"/>
      <c r="S78" s="197">
        <f t="shared" si="9"/>
        <v>0</v>
      </c>
      <c r="T78" s="201" t="str" cm="1">
        <f t="array" ref="T78">IFERROR(IF(F78="甲",IF(K78&gt;3500000,VLOOKUP(3500000,源泉DB!$B$261:$L$261,L78+3)+ROUNDDOWN((K78-3500000)*45.945%,0),IF(AND(K78&gt;2250000,K78&lt;3500000),VLOOKUP(2250000,源泉DB!$B$260:$K$260,L78+3)+ROUNDDOWN((K78-2250000)*40.84%,0),IF(AND(K78&gt;2210000,K78&lt;2250000),VLOOKUP(2210000,源泉DB!$B$259:$K$259,L78+3)+ROUNDDOWN((K78-2210000)*40.84%,0),IF(AND(K78&gt;2170000,K78&lt;2210000),VLOOKUP(2170000,源泉DB!$B$258:$K$258,L78+3)+ROUNDDOWN((K78-2170000)*40.84%,0),IF(AND(K78&gt;1700000,K78&lt;2170000),VLOOKUP(1700000,源泉DB!$B$257:$K$257,L78+3)+ROUNDDOWN((K78-1700000)*40.84%,0),IF(AND(K78&gt;950000,K78&lt;1700000),VLOOKUP(950000,源泉DB!$B$256:$K$256,L78+3)+ROUNDDOWN((K78-950000)*33.693%,0),IF(AND(K78&gt;780000,K78&lt;950000),VLOOKUP(780000,源泉DB!$B$255:$K$255,L78+3)+ROUNDDOWN((K78-780000)*23.483%,0),IF(AND(K78&gt;740000,K78&lt;780000),VLOOKUP(740000,源泉DB!$B$254:$K$254,L78+3)+ROUNDDOWN((K78-740000)*20.42%,0),VLOOKUP(K78,源泉DB!$B$8:$K$299,L78+3))))))))),IF(F78="乙",IF(K78&gt;1700000,651900+(K78-1700000) *45.945%,IF(K78=1700000,651900,IF(AND(K78&gt;740000,K78&lt;1700000),259800+(K78-740000)*40.84%,IF(K78=740000,259800,IF(K78&lt;88000,ROUNDDOWN(K78*3.063%,9),VLOOKUP(K78,源泉DB!$B$8:$L$254,11)))))),"")),"")</f>
        <v/>
      </c>
      <c r="U78" s="165"/>
      <c r="V78" s="166"/>
      <c r="W78" s="166"/>
      <c r="X78" s="166"/>
      <c r="Y78" s="166"/>
      <c r="Z78" s="178">
        <f>ROUND(IFERROR(IF(($G78="加入"),VLOOKUP($I78,年金DB!$G$16:$P$65,6,TRUE),0),0)-0.1,0)</f>
        <v>0</v>
      </c>
      <c r="AA78" s="178">
        <f>ROUND(IFERROR(IF(AND($G78="加入",$D78&gt;=40,$D78&lt;=64),VLOOKUP($I78,年金DB!$G$16:$P$65,10,TRUE),0),0)-0.1,0)</f>
        <v>0</v>
      </c>
      <c r="AB78" s="178">
        <f>ROUND(IFERROR(IF(AND($G78="加入",$D78&lt;40),VLOOKUP($J78,年金DB!$G$16:$X$62,14,TRUE),IF(AND($G78="加入",$D78&gt;=40),VLOOKUP($J78,年金DB!$G$16:$X$62,14,TRUE),"0")),0)-0.1,0)</f>
        <v>0</v>
      </c>
      <c r="AC78" s="178">
        <f t="shared" si="13"/>
        <v>0</v>
      </c>
      <c r="AD78" s="21">
        <f t="shared" si="10"/>
        <v>0</v>
      </c>
      <c r="AE78" s="173">
        <f t="shared" si="11"/>
        <v>0</v>
      </c>
      <c r="AF78" s="14" t="str">
        <f t="shared" si="12"/>
        <v/>
      </c>
      <c r="AG78" s="14"/>
      <c r="AH78" s="14"/>
    </row>
    <row r="79" spans="1:34">
      <c r="A79" s="28"/>
      <c r="B79" s="180"/>
      <c r="C79" s="188"/>
      <c r="D79" s="161"/>
      <c r="E79" s="162"/>
      <c r="F79" s="162"/>
      <c r="G79" s="163"/>
      <c r="H79" s="285"/>
      <c r="I79" s="282"/>
      <c r="J79" s="16"/>
      <c r="K79" s="18">
        <f t="shared" si="8"/>
        <v>0</v>
      </c>
      <c r="L79" s="288">
        <v>0</v>
      </c>
      <c r="M79" s="291"/>
      <c r="N79" s="164"/>
      <c r="O79" s="164"/>
      <c r="P79" s="164"/>
      <c r="Q79" s="175">
        <f t="shared" si="14"/>
        <v>0</v>
      </c>
      <c r="R79" s="164"/>
      <c r="S79" s="197">
        <f t="shared" si="9"/>
        <v>0</v>
      </c>
      <c r="T79" s="201" t="str" cm="1">
        <f t="array" ref="T79">IFERROR(IF(F79="甲",IF(K79&gt;3500000,VLOOKUP(3500000,源泉DB!$B$261:$L$261,L79+3)+ROUNDDOWN((K79-3500000)*45.945%,0),IF(AND(K79&gt;2250000,K79&lt;3500000),VLOOKUP(2250000,源泉DB!$B$260:$K$260,L79+3)+ROUNDDOWN((K79-2250000)*40.84%,0),IF(AND(K79&gt;2210000,K79&lt;2250000),VLOOKUP(2210000,源泉DB!$B$259:$K$259,L79+3)+ROUNDDOWN((K79-2210000)*40.84%,0),IF(AND(K79&gt;2170000,K79&lt;2210000),VLOOKUP(2170000,源泉DB!$B$258:$K$258,L79+3)+ROUNDDOWN((K79-2170000)*40.84%,0),IF(AND(K79&gt;1700000,K79&lt;2170000),VLOOKUP(1700000,源泉DB!$B$257:$K$257,L79+3)+ROUNDDOWN((K79-1700000)*40.84%,0),IF(AND(K79&gt;950000,K79&lt;1700000),VLOOKUP(950000,源泉DB!$B$256:$K$256,L79+3)+ROUNDDOWN((K79-950000)*33.693%,0),IF(AND(K79&gt;780000,K79&lt;950000),VLOOKUP(780000,源泉DB!$B$255:$K$255,L79+3)+ROUNDDOWN((K79-780000)*23.483%,0),IF(AND(K79&gt;740000,K79&lt;780000),VLOOKUP(740000,源泉DB!$B$254:$K$254,L79+3)+ROUNDDOWN((K79-740000)*20.42%,0),VLOOKUP(K79,源泉DB!$B$8:$K$299,L79+3))))))))),IF(F79="乙",IF(K79&gt;1700000,651900+(K79-1700000) *45.945%,IF(K79=1700000,651900,IF(AND(K79&gt;740000,K79&lt;1700000),259800+(K79-740000)*40.84%,IF(K79=740000,259800,IF(K79&lt;88000,ROUNDDOWN(K79*3.063%,9),VLOOKUP(K79,源泉DB!$B$8:$L$254,11)))))),"")),"")</f>
        <v/>
      </c>
      <c r="U79" s="165"/>
      <c r="V79" s="166"/>
      <c r="W79" s="166"/>
      <c r="X79" s="166"/>
      <c r="Y79" s="166"/>
      <c r="Z79" s="178">
        <f>ROUND(IFERROR(IF(($G79="加入"),VLOOKUP($I79,年金DB!$G$16:$P$65,6,TRUE),0),0)-0.1,0)</f>
        <v>0</v>
      </c>
      <c r="AA79" s="178">
        <f>ROUND(IFERROR(IF(AND($G79="加入",$D79&gt;=40,$D79&lt;=64),VLOOKUP($I79,年金DB!$G$16:$P$65,10,TRUE),0),0)-0.1,0)</f>
        <v>0</v>
      </c>
      <c r="AB79" s="178">
        <f>ROUND(IFERROR(IF(AND($G79="加入",$D79&lt;40),VLOOKUP($J79,年金DB!$G$16:$X$62,14,TRUE),IF(AND($G79="加入",$D79&gt;=40),VLOOKUP($J79,年金DB!$G$16:$X$62,14,TRUE),"0")),0)-0.1,0)</f>
        <v>0</v>
      </c>
      <c r="AC79" s="178">
        <f t="shared" si="13"/>
        <v>0</v>
      </c>
      <c r="AD79" s="21">
        <f t="shared" si="10"/>
        <v>0</v>
      </c>
      <c r="AE79" s="173">
        <f t="shared" si="11"/>
        <v>0</v>
      </c>
      <c r="AF79" s="14" t="str">
        <f t="shared" si="12"/>
        <v/>
      </c>
      <c r="AG79" s="14"/>
      <c r="AH79" s="14"/>
    </row>
    <row r="80" spans="1:34">
      <c r="A80" s="28"/>
      <c r="B80" s="180"/>
      <c r="C80" s="188"/>
      <c r="D80" s="161"/>
      <c r="E80" s="162"/>
      <c r="F80" s="162"/>
      <c r="G80" s="163"/>
      <c r="H80" s="285"/>
      <c r="I80" s="282"/>
      <c r="J80" s="16"/>
      <c r="K80" s="18">
        <f t="shared" si="8"/>
        <v>0</v>
      </c>
      <c r="L80" s="288">
        <v>0</v>
      </c>
      <c r="M80" s="291"/>
      <c r="N80" s="164"/>
      <c r="O80" s="164"/>
      <c r="P80" s="164"/>
      <c r="Q80" s="175">
        <f t="shared" si="14"/>
        <v>0</v>
      </c>
      <c r="R80" s="164"/>
      <c r="S80" s="197">
        <f t="shared" si="9"/>
        <v>0</v>
      </c>
      <c r="T80" s="201" t="str" cm="1">
        <f t="array" ref="T80">IFERROR(IF(F80="甲",IF(K80&gt;3500000,VLOOKUP(3500000,源泉DB!$B$261:$L$261,L80+3)+ROUNDDOWN((K80-3500000)*45.945%,0),IF(AND(K80&gt;2250000,K80&lt;3500000),VLOOKUP(2250000,源泉DB!$B$260:$K$260,L80+3)+ROUNDDOWN((K80-2250000)*40.84%,0),IF(AND(K80&gt;2210000,K80&lt;2250000),VLOOKUP(2210000,源泉DB!$B$259:$K$259,L80+3)+ROUNDDOWN((K80-2210000)*40.84%,0),IF(AND(K80&gt;2170000,K80&lt;2210000),VLOOKUP(2170000,源泉DB!$B$258:$K$258,L80+3)+ROUNDDOWN((K80-2170000)*40.84%,0),IF(AND(K80&gt;1700000,K80&lt;2170000),VLOOKUP(1700000,源泉DB!$B$257:$K$257,L80+3)+ROUNDDOWN((K80-1700000)*40.84%,0),IF(AND(K80&gt;950000,K80&lt;1700000),VLOOKUP(950000,源泉DB!$B$256:$K$256,L80+3)+ROUNDDOWN((K80-950000)*33.693%,0),IF(AND(K80&gt;780000,K80&lt;950000),VLOOKUP(780000,源泉DB!$B$255:$K$255,L80+3)+ROUNDDOWN((K80-780000)*23.483%,0),IF(AND(K80&gt;740000,K80&lt;780000),VLOOKUP(740000,源泉DB!$B$254:$K$254,L80+3)+ROUNDDOWN((K80-740000)*20.42%,0),VLOOKUP(K80,源泉DB!$B$8:$K$299,L80+3))))))))),IF(F80="乙",IF(K80&gt;1700000,651900+(K80-1700000) *45.945%,IF(K80=1700000,651900,IF(AND(K80&gt;740000,K80&lt;1700000),259800+(K80-740000)*40.84%,IF(K80=740000,259800,IF(K80&lt;88000,ROUNDDOWN(K80*3.063%,9),VLOOKUP(K80,源泉DB!$B$8:$L$254,11)))))),"")),"")</f>
        <v/>
      </c>
      <c r="U80" s="165"/>
      <c r="V80" s="166"/>
      <c r="W80" s="166"/>
      <c r="X80" s="166"/>
      <c r="Y80" s="166"/>
      <c r="Z80" s="178">
        <f>ROUND(IFERROR(IF(($G80="加入"),VLOOKUP($I80,年金DB!$G$16:$P$65,6,TRUE),0),0)-0.1,0)</f>
        <v>0</v>
      </c>
      <c r="AA80" s="178">
        <f>ROUND(IFERROR(IF(AND($G80="加入",$D80&gt;=40,$D80&lt;=64),VLOOKUP($I80,年金DB!$G$16:$P$65,10,TRUE),0),0)-0.1,0)</f>
        <v>0</v>
      </c>
      <c r="AB80" s="178">
        <f>ROUND(IFERROR(IF(AND($G80="加入",$D80&lt;40),VLOOKUP($J80,年金DB!$G$16:$X$62,14,TRUE),IF(AND($G80="加入",$D80&gt;=40),VLOOKUP($J80,年金DB!$G$16:$X$62,14,TRUE),"0")),0)-0.1,0)</f>
        <v>0</v>
      </c>
      <c r="AC80" s="178">
        <f t="shared" si="13"/>
        <v>0</v>
      </c>
      <c r="AD80" s="21">
        <f t="shared" si="10"/>
        <v>0</v>
      </c>
      <c r="AE80" s="173">
        <f t="shared" si="11"/>
        <v>0</v>
      </c>
      <c r="AF80" s="14" t="str">
        <f t="shared" si="12"/>
        <v/>
      </c>
      <c r="AG80" s="14"/>
      <c r="AH80" s="14"/>
    </row>
    <row r="81" spans="1:34">
      <c r="A81" s="28"/>
      <c r="B81" s="180"/>
      <c r="C81" s="188"/>
      <c r="D81" s="161"/>
      <c r="E81" s="162"/>
      <c r="F81" s="162"/>
      <c r="G81" s="163"/>
      <c r="H81" s="285"/>
      <c r="I81" s="282"/>
      <c r="J81" s="16"/>
      <c r="K81" s="18">
        <f t="shared" si="8"/>
        <v>0</v>
      </c>
      <c r="L81" s="288">
        <v>0</v>
      </c>
      <c r="M81" s="291"/>
      <c r="N81" s="164"/>
      <c r="O81" s="164"/>
      <c r="P81" s="164"/>
      <c r="Q81" s="175">
        <f t="shared" si="14"/>
        <v>0</v>
      </c>
      <c r="R81" s="164"/>
      <c r="S81" s="197">
        <f t="shared" si="9"/>
        <v>0</v>
      </c>
      <c r="T81" s="201" t="str" cm="1">
        <f t="array" ref="T81">IFERROR(IF(F81="甲",IF(K81&gt;3500000,VLOOKUP(3500000,源泉DB!$B$261:$L$261,L81+3)+ROUNDDOWN((K81-3500000)*45.945%,0),IF(AND(K81&gt;2250000,K81&lt;3500000),VLOOKUP(2250000,源泉DB!$B$260:$K$260,L81+3)+ROUNDDOWN((K81-2250000)*40.84%,0),IF(AND(K81&gt;2210000,K81&lt;2250000),VLOOKUP(2210000,源泉DB!$B$259:$K$259,L81+3)+ROUNDDOWN((K81-2210000)*40.84%,0),IF(AND(K81&gt;2170000,K81&lt;2210000),VLOOKUP(2170000,源泉DB!$B$258:$K$258,L81+3)+ROUNDDOWN((K81-2170000)*40.84%,0),IF(AND(K81&gt;1700000,K81&lt;2170000),VLOOKUP(1700000,源泉DB!$B$257:$K$257,L81+3)+ROUNDDOWN((K81-1700000)*40.84%,0),IF(AND(K81&gt;950000,K81&lt;1700000),VLOOKUP(950000,源泉DB!$B$256:$K$256,L81+3)+ROUNDDOWN((K81-950000)*33.693%,0),IF(AND(K81&gt;780000,K81&lt;950000),VLOOKUP(780000,源泉DB!$B$255:$K$255,L81+3)+ROUNDDOWN((K81-780000)*23.483%,0),IF(AND(K81&gt;740000,K81&lt;780000),VLOOKUP(740000,源泉DB!$B$254:$K$254,L81+3)+ROUNDDOWN((K81-740000)*20.42%,0),VLOOKUP(K81,源泉DB!$B$8:$K$299,L81+3))))))))),IF(F81="乙",IF(K81&gt;1700000,651900+(K81-1700000) *45.945%,IF(K81=1700000,651900,IF(AND(K81&gt;740000,K81&lt;1700000),259800+(K81-740000)*40.84%,IF(K81=740000,259800,IF(K81&lt;88000,ROUNDDOWN(K81*3.063%,9),VLOOKUP(K81,源泉DB!$B$8:$L$254,11)))))),"")),"")</f>
        <v/>
      </c>
      <c r="U81" s="165"/>
      <c r="V81" s="166"/>
      <c r="W81" s="166"/>
      <c r="X81" s="166"/>
      <c r="Y81" s="166"/>
      <c r="Z81" s="178">
        <f>ROUND(IFERROR(IF(($G81="加入"),VLOOKUP($I81,年金DB!$G$16:$P$65,6,TRUE),0),0)-0.1,0)</f>
        <v>0</v>
      </c>
      <c r="AA81" s="178">
        <f>ROUND(IFERROR(IF(AND($G81="加入",$D81&gt;=40,$D81&lt;=64),VLOOKUP($I81,年金DB!$G$16:$P$65,10,TRUE),0),0)-0.1,0)</f>
        <v>0</v>
      </c>
      <c r="AB81" s="178">
        <f>ROUND(IFERROR(IF(AND($G81="加入",$D81&lt;40),VLOOKUP($J81,年金DB!$G$16:$X$62,14,TRUE),IF(AND($G81="加入",$D81&gt;=40),VLOOKUP($J81,年金DB!$G$16:$X$62,14,TRUE),"0")),0)-0.1,0)</f>
        <v>0</v>
      </c>
      <c r="AC81" s="178">
        <f t="shared" si="13"/>
        <v>0</v>
      </c>
      <c r="AD81" s="21">
        <f t="shared" si="10"/>
        <v>0</v>
      </c>
      <c r="AE81" s="173">
        <f t="shared" si="11"/>
        <v>0</v>
      </c>
      <c r="AF81" s="14" t="str">
        <f t="shared" si="12"/>
        <v/>
      </c>
      <c r="AG81" s="14"/>
      <c r="AH81" s="14"/>
    </row>
    <row r="82" spans="1:34">
      <c r="A82" s="28"/>
      <c r="B82" s="180"/>
      <c r="C82" s="188"/>
      <c r="D82" s="161"/>
      <c r="E82" s="162"/>
      <c r="F82" s="162"/>
      <c r="G82" s="163"/>
      <c r="H82" s="285"/>
      <c r="I82" s="282"/>
      <c r="J82" s="16"/>
      <c r="K82" s="18">
        <f t="shared" si="8"/>
        <v>0</v>
      </c>
      <c r="L82" s="288">
        <v>0</v>
      </c>
      <c r="M82" s="291"/>
      <c r="N82" s="164"/>
      <c r="O82" s="164"/>
      <c r="P82" s="164"/>
      <c r="Q82" s="175">
        <f t="shared" si="14"/>
        <v>0</v>
      </c>
      <c r="R82" s="164"/>
      <c r="S82" s="197">
        <f t="shared" si="9"/>
        <v>0</v>
      </c>
      <c r="T82" s="201" t="str" cm="1">
        <f t="array" ref="T82">IFERROR(IF(F82="甲",IF(K82&gt;3500000,VLOOKUP(3500000,源泉DB!$B$261:$L$261,L82+3)+ROUNDDOWN((K82-3500000)*45.945%,0),IF(AND(K82&gt;2250000,K82&lt;3500000),VLOOKUP(2250000,源泉DB!$B$260:$K$260,L82+3)+ROUNDDOWN((K82-2250000)*40.84%,0),IF(AND(K82&gt;2210000,K82&lt;2250000),VLOOKUP(2210000,源泉DB!$B$259:$K$259,L82+3)+ROUNDDOWN((K82-2210000)*40.84%,0),IF(AND(K82&gt;2170000,K82&lt;2210000),VLOOKUP(2170000,源泉DB!$B$258:$K$258,L82+3)+ROUNDDOWN((K82-2170000)*40.84%,0),IF(AND(K82&gt;1700000,K82&lt;2170000),VLOOKUP(1700000,源泉DB!$B$257:$K$257,L82+3)+ROUNDDOWN((K82-1700000)*40.84%,0),IF(AND(K82&gt;950000,K82&lt;1700000),VLOOKUP(950000,源泉DB!$B$256:$K$256,L82+3)+ROUNDDOWN((K82-950000)*33.693%,0),IF(AND(K82&gt;780000,K82&lt;950000),VLOOKUP(780000,源泉DB!$B$255:$K$255,L82+3)+ROUNDDOWN((K82-780000)*23.483%,0),IF(AND(K82&gt;740000,K82&lt;780000),VLOOKUP(740000,源泉DB!$B$254:$K$254,L82+3)+ROUNDDOWN((K82-740000)*20.42%,0),VLOOKUP(K82,源泉DB!$B$8:$K$299,L82+3))))))))),IF(F82="乙",IF(K82&gt;1700000,651900+(K82-1700000) *45.945%,IF(K82=1700000,651900,IF(AND(K82&gt;740000,K82&lt;1700000),259800+(K82-740000)*40.84%,IF(K82=740000,259800,IF(K82&lt;88000,ROUNDDOWN(K82*3.063%,9),VLOOKUP(K82,源泉DB!$B$8:$L$254,11)))))),"")),"")</f>
        <v/>
      </c>
      <c r="U82" s="165"/>
      <c r="V82" s="166"/>
      <c r="W82" s="166"/>
      <c r="X82" s="166"/>
      <c r="Y82" s="166"/>
      <c r="Z82" s="178">
        <f>ROUND(IFERROR(IF(($G82="加入"),VLOOKUP($I82,年金DB!$G$16:$P$65,6,TRUE),0),0)-0.1,0)</f>
        <v>0</v>
      </c>
      <c r="AA82" s="178">
        <f>ROUND(IFERROR(IF(AND($G82="加入",$D82&gt;=40,$D82&lt;=64),VLOOKUP($I82,年金DB!$G$16:$P$65,10,TRUE),0),0)-0.1,0)</f>
        <v>0</v>
      </c>
      <c r="AB82" s="178">
        <f>ROUND(IFERROR(IF(AND($G82="加入",$D82&lt;40),VLOOKUP($J82,年金DB!$G$16:$X$62,14,TRUE),IF(AND($G82="加入",$D82&gt;=40),VLOOKUP($J82,年金DB!$G$16:$X$62,14,TRUE),"0")),0)-0.1,0)</f>
        <v>0</v>
      </c>
      <c r="AC82" s="178">
        <f t="shared" si="13"/>
        <v>0</v>
      </c>
      <c r="AD82" s="21">
        <f t="shared" si="10"/>
        <v>0</v>
      </c>
      <c r="AE82" s="173">
        <f t="shared" si="11"/>
        <v>0</v>
      </c>
      <c r="AF82" s="14" t="str">
        <f t="shared" si="12"/>
        <v/>
      </c>
      <c r="AG82" s="14"/>
      <c r="AH82" s="14"/>
    </row>
    <row r="83" spans="1:34">
      <c r="A83" s="28"/>
      <c r="B83" s="180"/>
      <c r="C83" s="188"/>
      <c r="D83" s="161"/>
      <c r="E83" s="162"/>
      <c r="F83" s="162"/>
      <c r="G83" s="163"/>
      <c r="H83" s="285"/>
      <c r="I83" s="282"/>
      <c r="J83" s="16"/>
      <c r="K83" s="18">
        <f t="shared" si="8"/>
        <v>0</v>
      </c>
      <c r="L83" s="288">
        <v>0</v>
      </c>
      <c r="M83" s="291"/>
      <c r="N83" s="164"/>
      <c r="O83" s="164"/>
      <c r="P83" s="164"/>
      <c r="Q83" s="175">
        <f t="shared" si="14"/>
        <v>0</v>
      </c>
      <c r="R83" s="164"/>
      <c r="S83" s="197">
        <f t="shared" si="9"/>
        <v>0</v>
      </c>
      <c r="T83" s="201" t="str" cm="1">
        <f t="array" ref="T83">IFERROR(IF(F83="甲",IF(K83&gt;3500000,VLOOKUP(3500000,源泉DB!$B$261:$L$261,L83+3)+ROUNDDOWN((K83-3500000)*45.945%,0),IF(AND(K83&gt;2250000,K83&lt;3500000),VLOOKUP(2250000,源泉DB!$B$260:$K$260,L83+3)+ROUNDDOWN((K83-2250000)*40.84%,0),IF(AND(K83&gt;2210000,K83&lt;2250000),VLOOKUP(2210000,源泉DB!$B$259:$K$259,L83+3)+ROUNDDOWN((K83-2210000)*40.84%,0),IF(AND(K83&gt;2170000,K83&lt;2210000),VLOOKUP(2170000,源泉DB!$B$258:$K$258,L83+3)+ROUNDDOWN((K83-2170000)*40.84%,0),IF(AND(K83&gt;1700000,K83&lt;2170000),VLOOKUP(1700000,源泉DB!$B$257:$K$257,L83+3)+ROUNDDOWN((K83-1700000)*40.84%,0),IF(AND(K83&gt;950000,K83&lt;1700000),VLOOKUP(950000,源泉DB!$B$256:$K$256,L83+3)+ROUNDDOWN((K83-950000)*33.693%,0),IF(AND(K83&gt;780000,K83&lt;950000),VLOOKUP(780000,源泉DB!$B$255:$K$255,L83+3)+ROUNDDOWN((K83-780000)*23.483%,0),IF(AND(K83&gt;740000,K83&lt;780000),VLOOKUP(740000,源泉DB!$B$254:$K$254,L83+3)+ROUNDDOWN((K83-740000)*20.42%,0),VLOOKUP(K83,源泉DB!$B$8:$K$299,L83+3))))))))),IF(F83="乙",IF(K83&gt;1700000,651900+(K83-1700000) *45.945%,IF(K83=1700000,651900,IF(AND(K83&gt;740000,K83&lt;1700000),259800+(K83-740000)*40.84%,IF(K83=740000,259800,IF(K83&lt;88000,ROUNDDOWN(K83*3.063%,9),VLOOKUP(K83,源泉DB!$B$8:$L$254,11)))))),"")),"")</f>
        <v/>
      </c>
      <c r="U83" s="165"/>
      <c r="V83" s="166"/>
      <c r="W83" s="166"/>
      <c r="X83" s="166"/>
      <c r="Y83" s="166"/>
      <c r="Z83" s="178">
        <f>ROUND(IFERROR(IF(($G83="加入"),VLOOKUP($I83,年金DB!$G$16:$P$65,6,TRUE),0),0)-0.1,0)</f>
        <v>0</v>
      </c>
      <c r="AA83" s="178">
        <f>ROUND(IFERROR(IF(AND($G83="加入",$D83&gt;=40,$D83&lt;=64),VLOOKUP($I83,年金DB!$G$16:$P$65,10,TRUE),0),0)-0.1,0)</f>
        <v>0</v>
      </c>
      <c r="AB83" s="178">
        <f>ROUND(IFERROR(IF(AND($G83="加入",$D83&lt;40),VLOOKUP($J83,年金DB!$G$16:$X$62,14,TRUE),IF(AND($G83="加入",$D83&gt;=40),VLOOKUP($J83,年金DB!$G$16:$X$62,14,TRUE),"0")),0)-0.1,0)</f>
        <v>0</v>
      </c>
      <c r="AC83" s="178">
        <f t="shared" si="13"/>
        <v>0</v>
      </c>
      <c r="AD83" s="21">
        <f t="shared" si="10"/>
        <v>0</v>
      </c>
      <c r="AE83" s="173">
        <f t="shared" si="11"/>
        <v>0</v>
      </c>
      <c r="AF83" s="14" t="str">
        <f t="shared" si="12"/>
        <v/>
      </c>
      <c r="AG83" s="14"/>
      <c r="AH83" s="14"/>
    </row>
    <row r="84" spans="1:34">
      <c r="A84" s="28"/>
      <c r="B84" s="180"/>
      <c r="C84" s="188"/>
      <c r="D84" s="161"/>
      <c r="E84" s="162"/>
      <c r="F84" s="162"/>
      <c r="G84" s="163"/>
      <c r="H84" s="285"/>
      <c r="I84" s="282"/>
      <c r="J84" s="16"/>
      <c r="K84" s="18">
        <f t="shared" si="8"/>
        <v>0</v>
      </c>
      <c r="L84" s="288">
        <v>0</v>
      </c>
      <c r="M84" s="291"/>
      <c r="N84" s="164"/>
      <c r="O84" s="164"/>
      <c r="P84" s="164"/>
      <c r="Q84" s="175">
        <f t="shared" si="14"/>
        <v>0</v>
      </c>
      <c r="R84" s="164"/>
      <c r="S84" s="197">
        <f t="shared" si="9"/>
        <v>0</v>
      </c>
      <c r="T84" s="201" t="str" cm="1">
        <f t="array" ref="T84">IFERROR(IF(F84="甲",IF(K84&gt;3500000,VLOOKUP(3500000,源泉DB!$B$261:$L$261,L84+3)+ROUNDDOWN((K84-3500000)*45.945%,0),IF(AND(K84&gt;2250000,K84&lt;3500000),VLOOKUP(2250000,源泉DB!$B$260:$K$260,L84+3)+ROUNDDOWN((K84-2250000)*40.84%,0),IF(AND(K84&gt;2210000,K84&lt;2250000),VLOOKUP(2210000,源泉DB!$B$259:$K$259,L84+3)+ROUNDDOWN((K84-2210000)*40.84%,0),IF(AND(K84&gt;2170000,K84&lt;2210000),VLOOKUP(2170000,源泉DB!$B$258:$K$258,L84+3)+ROUNDDOWN((K84-2170000)*40.84%,0),IF(AND(K84&gt;1700000,K84&lt;2170000),VLOOKUP(1700000,源泉DB!$B$257:$K$257,L84+3)+ROUNDDOWN((K84-1700000)*40.84%,0),IF(AND(K84&gt;950000,K84&lt;1700000),VLOOKUP(950000,源泉DB!$B$256:$K$256,L84+3)+ROUNDDOWN((K84-950000)*33.693%,0),IF(AND(K84&gt;780000,K84&lt;950000),VLOOKUP(780000,源泉DB!$B$255:$K$255,L84+3)+ROUNDDOWN((K84-780000)*23.483%,0),IF(AND(K84&gt;740000,K84&lt;780000),VLOOKUP(740000,源泉DB!$B$254:$K$254,L84+3)+ROUNDDOWN((K84-740000)*20.42%,0),VLOOKUP(K84,源泉DB!$B$8:$K$299,L84+3))))))))),IF(F84="乙",IF(K84&gt;1700000,651900+(K84-1700000) *45.945%,IF(K84=1700000,651900,IF(AND(K84&gt;740000,K84&lt;1700000),259800+(K84-740000)*40.84%,IF(K84=740000,259800,IF(K84&lt;88000,ROUNDDOWN(K84*3.063%,9),VLOOKUP(K84,源泉DB!$B$8:$L$254,11)))))),"")),"")</f>
        <v/>
      </c>
      <c r="U84" s="165"/>
      <c r="V84" s="166"/>
      <c r="W84" s="166"/>
      <c r="X84" s="166"/>
      <c r="Y84" s="166"/>
      <c r="Z84" s="178">
        <f>ROUND(IFERROR(IF(($G84="加入"),VLOOKUP($I84,年金DB!$G$16:$P$65,6,TRUE),0),0)-0.1,0)</f>
        <v>0</v>
      </c>
      <c r="AA84" s="178">
        <f>ROUND(IFERROR(IF(AND($G84="加入",$D84&gt;=40,$D84&lt;=64),VLOOKUP($I84,年金DB!$G$16:$P$65,10,TRUE),0),0)-0.1,0)</f>
        <v>0</v>
      </c>
      <c r="AB84" s="178">
        <f>ROUND(IFERROR(IF(AND($G84="加入",$D84&lt;40),VLOOKUP($J84,年金DB!$G$16:$X$62,14,TRUE),IF(AND($G84="加入",$D84&gt;=40),VLOOKUP($J84,年金DB!$G$16:$X$62,14,TRUE),"0")),0)-0.1,0)</f>
        <v>0</v>
      </c>
      <c r="AC84" s="178">
        <f t="shared" si="13"/>
        <v>0</v>
      </c>
      <c r="AD84" s="21">
        <f t="shared" si="10"/>
        <v>0</v>
      </c>
      <c r="AE84" s="173">
        <f t="shared" si="11"/>
        <v>0</v>
      </c>
      <c r="AF84" s="14" t="str">
        <f t="shared" si="12"/>
        <v/>
      </c>
      <c r="AG84" s="14"/>
      <c r="AH84" s="14"/>
    </row>
    <row r="85" spans="1:34">
      <c r="A85" s="28"/>
      <c r="B85" s="180"/>
      <c r="C85" s="188"/>
      <c r="D85" s="161"/>
      <c r="E85" s="162"/>
      <c r="F85" s="162"/>
      <c r="G85" s="163"/>
      <c r="H85" s="285"/>
      <c r="I85" s="282"/>
      <c r="J85" s="16"/>
      <c r="K85" s="18">
        <f t="shared" si="8"/>
        <v>0</v>
      </c>
      <c r="L85" s="288">
        <v>0</v>
      </c>
      <c r="M85" s="291"/>
      <c r="N85" s="164"/>
      <c r="O85" s="164"/>
      <c r="P85" s="164"/>
      <c r="Q85" s="175">
        <f t="shared" si="14"/>
        <v>0</v>
      </c>
      <c r="R85" s="164"/>
      <c r="S85" s="197">
        <f t="shared" si="9"/>
        <v>0</v>
      </c>
      <c r="T85" s="201" t="str" cm="1">
        <f t="array" ref="T85">IFERROR(IF(F85="甲",IF(K85&gt;3500000,VLOOKUP(3500000,源泉DB!$B$261:$L$261,L85+3)+ROUNDDOWN((K85-3500000)*45.945%,0),IF(AND(K85&gt;2250000,K85&lt;3500000),VLOOKUP(2250000,源泉DB!$B$260:$K$260,L85+3)+ROUNDDOWN((K85-2250000)*40.84%,0),IF(AND(K85&gt;2210000,K85&lt;2250000),VLOOKUP(2210000,源泉DB!$B$259:$K$259,L85+3)+ROUNDDOWN((K85-2210000)*40.84%,0),IF(AND(K85&gt;2170000,K85&lt;2210000),VLOOKUP(2170000,源泉DB!$B$258:$K$258,L85+3)+ROUNDDOWN((K85-2170000)*40.84%,0),IF(AND(K85&gt;1700000,K85&lt;2170000),VLOOKUP(1700000,源泉DB!$B$257:$K$257,L85+3)+ROUNDDOWN((K85-1700000)*40.84%,0),IF(AND(K85&gt;950000,K85&lt;1700000),VLOOKUP(950000,源泉DB!$B$256:$K$256,L85+3)+ROUNDDOWN((K85-950000)*33.693%,0),IF(AND(K85&gt;780000,K85&lt;950000),VLOOKUP(780000,源泉DB!$B$255:$K$255,L85+3)+ROUNDDOWN((K85-780000)*23.483%,0),IF(AND(K85&gt;740000,K85&lt;780000),VLOOKUP(740000,源泉DB!$B$254:$K$254,L85+3)+ROUNDDOWN((K85-740000)*20.42%,0),VLOOKUP(K85,源泉DB!$B$8:$K$299,L85+3))))))))),IF(F85="乙",IF(K85&gt;1700000,651900+(K85-1700000) *45.945%,IF(K85=1700000,651900,IF(AND(K85&gt;740000,K85&lt;1700000),259800+(K85-740000)*40.84%,IF(K85=740000,259800,IF(K85&lt;88000,ROUNDDOWN(K85*3.063%,9),VLOOKUP(K85,源泉DB!$B$8:$L$254,11)))))),"")),"")</f>
        <v/>
      </c>
      <c r="U85" s="165"/>
      <c r="V85" s="166"/>
      <c r="W85" s="166"/>
      <c r="X85" s="166"/>
      <c r="Y85" s="166"/>
      <c r="Z85" s="178">
        <f>ROUND(IFERROR(IF(($G85="加入"),VLOOKUP($I85,年金DB!$G$16:$P$65,6,TRUE),0),0)-0.1,0)</f>
        <v>0</v>
      </c>
      <c r="AA85" s="178">
        <f>ROUND(IFERROR(IF(AND($G85="加入",$D85&gt;=40,$D85&lt;=64),VLOOKUP($I85,年金DB!$G$16:$P$65,10,TRUE),0),0)-0.1,0)</f>
        <v>0</v>
      </c>
      <c r="AB85" s="178">
        <f>ROUND(IFERROR(IF(AND($G85="加入",$D85&lt;40),VLOOKUP($J85,年金DB!$G$16:$X$62,14,TRUE),IF(AND($G85="加入",$D85&gt;=40),VLOOKUP($J85,年金DB!$G$16:$X$62,14,TRUE),"0")),0)-0.1,0)</f>
        <v>0</v>
      </c>
      <c r="AC85" s="178">
        <f t="shared" si="13"/>
        <v>0</v>
      </c>
      <c r="AD85" s="21">
        <f t="shared" si="10"/>
        <v>0</v>
      </c>
      <c r="AE85" s="173">
        <f t="shared" si="11"/>
        <v>0</v>
      </c>
      <c r="AF85" s="14" t="str">
        <f t="shared" si="12"/>
        <v/>
      </c>
      <c r="AG85" s="14"/>
      <c r="AH85" s="14"/>
    </row>
    <row r="86" spans="1:34">
      <c r="A86" s="28"/>
      <c r="B86" s="180"/>
      <c r="C86" s="188"/>
      <c r="D86" s="161"/>
      <c r="E86" s="162"/>
      <c r="F86" s="162"/>
      <c r="G86" s="163"/>
      <c r="H86" s="285"/>
      <c r="I86" s="282"/>
      <c r="J86" s="16"/>
      <c r="K86" s="18">
        <f t="shared" si="8"/>
        <v>0</v>
      </c>
      <c r="L86" s="288">
        <v>0</v>
      </c>
      <c r="M86" s="291"/>
      <c r="N86" s="164"/>
      <c r="O86" s="164"/>
      <c r="P86" s="164"/>
      <c r="Q86" s="175">
        <f t="shared" si="14"/>
        <v>0</v>
      </c>
      <c r="R86" s="164"/>
      <c r="S86" s="197">
        <f t="shared" si="9"/>
        <v>0</v>
      </c>
      <c r="T86" s="201" t="str" cm="1">
        <f t="array" ref="T86">IFERROR(IF(F86="甲",IF(K86&gt;3500000,VLOOKUP(3500000,源泉DB!$B$261:$L$261,L86+3)+ROUNDDOWN((K86-3500000)*45.945%,0),IF(AND(K86&gt;2250000,K86&lt;3500000),VLOOKUP(2250000,源泉DB!$B$260:$K$260,L86+3)+ROUNDDOWN((K86-2250000)*40.84%,0),IF(AND(K86&gt;2210000,K86&lt;2250000),VLOOKUP(2210000,源泉DB!$B$259:$K$259,L86+3)+ROUNDDOWN((K86-2210000)*40.84%,0),IF(AND(K86&gt;2170000,K86&lt;2210000),VLOOKUP(2170000,源泉DB!$B$258:$K$258,L86+3)+ROUNDDOWN((K86-2170000)*40.84%,0),IF(AND(K86&gt;1700000,K86&lt;2170000),VLOOKUP(1700000,源泉DB!$B$257:$K$257,L86+3)+ROUNDDOWN((K86-1700000)*40.84%,0),IF(AND(K86&gt;950000,K86&lt;1700000),VLOOKUP(950000,源泉DB!$B$256:$K$256,L86+3)+ROUNDDOWN((K86-950000)*33.693%,0),IF(AND(K86&gt;780000,K86&lt;950000),VLOOKUP(780000,源泉DB!$B$255:$K$255,L86+3)+ROUNDDOWN((K86-780000)*23.483%,0),IF(AND(K86&gt;740000,K86&lt;780000),VLOOKUP(740000,源泉DB!$B$254:$K$254,L86+3)+ROUNDDOWN((K86-740000)*20.42%,0),VLOOKUP(K86,源泉DB!$B$8:$K$299,L86+3))))))))),IF(F86="乙",IF(K86&gt;1700000,651900+(K86-1700000) *45.945%,IF(K86=1700000,651900,IF(AND(K86&gt;740000,K86&lt;1700000),259800+(K86-740000)*40.84%,IF(K86=740000,259800,IF(K86&lt;88000,ROUNDDOWN(K86*3.063%,9),VLOOKUP(K86,源泉DB!$B$8:$L$254,11)))))),"")),"")</f>
        <v/>
      </c>
      <c r="U86" s="165"/>
      <c r="V86" s="166"/>
      <c r="W86" s="166"/>
      <c r="X86" s="166"/>
      <c r="Y86" s="166"/>
      <c r="Z86" s="178">
        <f>ROUND(IFERROR(IF(($G86="加入"),VLOOKUP($I86,年金DB!$G$16:$P$65,6,TRUE),0),0)-0.1,0)</f>
        <v>0</v>
      </c>
      <c r="AA86" s="178">
        <f>ROUND(IFERROR(IF(AND($G86="加入",$D86&gt;=40,$D86&lt;=64),VLOOKUP($I86,年金DB!$G$16:$P$65,10,TRUE),0),0)-0.1,0)</f>
        <v>0</v>
      </c>
      <c r="AB86" s="178">
        <f>ROUND(IFERROR(IF(AND($G86="加入",$D86&lt;40),VLOOKUP($J86,年金DB!$G$16:$X$62,14,TRUE),IF(AND($G86="加入",$D86&gt;=40),VLOOKUP($J86,年金DB!$G$16:$X$62,14,TRUE),"0")),0)-0.1,0)</f>
        <v>0</v>
      </c>
      <c r="AC86" s="178">
        <f t="shared" si="13"/>
        <v>0</v>
      </c>
      <c r="AD86" s="21">
        <f t="shared" si="10"/>
        <v>0</v>
      </c>
      <c r="AE86" s="173">
        <f t="shared" si="11"/>
        <v>0</v>
      </c>
      <c r="AF86" s="14" t="str">
        <f t="shared" si="12"/>
        <v/>
      </c>
      <c r="AG86" s="14"/>
      <c r="AH86" s="14"/>
    </row>
    <row r="87" spans="1:34">
      <c r="A87" s="28"/>
      <c r="B87" s="180"/>
      <c r="C87" s="188"/>
      <c r="D87" s="161"/>
      <c r="E87" s="162"/>
      <c r="F87" s="162"/>
      <c r="G87" s="163"/>
      <c r="H87" s="285"/>
      <c r="I87" s="282"/>
      <c r="J87" s="16"/>
      <c r="K87" s="18">
        <f t="shared" si="8"/>
        <v>0</v>
      </c>
      <c r="L87" s="288">
        <v>0</v>
      </c>
      <c r="M87" s="291"/>
      <c r="N87" s="164"/>
      <c r="O87" s="164"/>
      <c r="P87" s="164"/>
      <c r="Q87" s="175">
        <f t="shared" si="14"/>
        <v>0</v>
      </c>
      <c r="R87" s="164"/>
      <c r="S87" s="197">
        <f t="shared" si="9"/>
        <v>0</v>
      </c>
      <c r="T87" s="201" t="str" cm="1">
        <f t="array" ref="T87">IFERROR(IF(F87="甲",IF(K87&gt;3500000,VLOOKUP(3500000,源泉DB!$B$261:$L$261,L87+3)+ROUNDDOWN((K87-3500000)*45.945%,0),IF(AND(K87&gt;2250000,K87&lt;3500000),VLOOKUP(2250000,源泉DB!$B$260:$K$260,L87+3)+ROUNDDOWN((K87-2250000)*40.84%,0),IF(AND(K87&gt;2210000,K87&lt;2250000),VLOOKUP(2210000,源泉DB!$B$259:$K$259,L87+3)+ROUNDDOWN((K87-2210000)*40.84%,0),IF(AND(K87&gt;2170000,K87&lt;2210000),VLOOKUP(2170000,源泉DB!$B$258:$K$258,L87+3)+ROUNDDOWN((K87-2170000)*40.84%,0),IF(AND(K87&gt;1700000,K87&lt;2170000),VLOOKUP(1700000,源泉DB!$B$257:$K$257,L87+3)+ROUNDDOWN((K87-1700000)*40.84%,0),IF(AND(K87&gt;950000,K87&lt;1700000),VLOOKUP(950000,源泉DB!$B$256:$K$256,L87+3)+ROUNDDOWN((K87-950000)*33.693%,0),IF(AND(K87&gt;780000,K87&lt;950000),VLOOKUP(780000,源泉DB!$B$255:$K$255,L87+3)+ROUNDDOWN((K87-780000)*23.483%,0),IF(AND(K87&gt;740000,K87&lt;780000),VLOOKUP(740000,源泉DB!$B$254:$K$254,L87+3)+ROUNDDOWN((K87-740000)*20.42%,0),VLOOKUP(K87,源泉DB!$B$8:$K$299,L87+3))))))))),IF(F87="乙",IF(K87&gt;1700000,651900+(K87-1700000) *45.945%,IF(K87=1700000,651900,IF(AND(K87&gt;740000,K87&lt;1700000),259800+(K87-740000)*40.84%,IF(K87=740000,259800,IF(K87&lt;88000,ROUNDDOWN(K87*3.063%,9),VLOOKUP(K87,源泉DB!$B$8:$L$254,11)))))),"")),"")</f>
        <v/>
      </c>
      <c r="U87" s="165"/>
      <c r="V87" s="166"/>
      <c r="W87" s="166"/>
      <c r="X87" s="166"/>
      <c r="Y87" s="166"/>
      <c r="Z87" s="178">
        <f>ROUND(IFERROR(IF(($G87="加入"),VLOOKUP($I87,年金DB!$G$16:$P$65,6,TRUE),0),0)-0.1,0)</f>
        <v>0</v>
      </c>
      <c r="AA87" s="178">
        <f>ROUND(IFERROR(IF(AND($G87="加入",$D87&gt;=40,$D87&lt;=64),VLOOKUP($I87,年金DB!$G$16:$P$65,10,TRUE),0),0)-0.1,0)</f>
        <v>0</v>
      </c>
      <c r="AB87" s="178">
        <f>ROUND(IFERROR(IF(AND($G87="加入",$D87&lt;40),VLOOKUP($J87,年金DB!$G$16:$X$62,14,TRUE),IF(AND($G87="加入",$D87&gt;=40),VLOOKUP($J87,年金DB!$G$16:$X$62,14,TRUE),"0")),0)-0.1,0)</f>
        <v>0</v>
      </c>
      <c r="AC87" s="178">
        <f t="shared" si="13"/>
        <v>0</v>
      </c>
      <c r="AD87" s="21">
        <f t="shared" si="10"/>
        <v>0</v>
      </c>
      <c r="AE87" s="173">
        <f t="shared" si="11"/>
        <v>0</v>
      </c>
      <c r="AF87" s="14" t="str">
        <f t="shared" si="12"/>
        <v/>
      </c>
      <c r="AG87" s="14"/>
      <c r="AH87" s="14"/>
    </row>
    <row r="88" spans="1:34">
      <c r="A88" s="28"/>
      <c r="B88" s="180"/>
      <c r="C88" s="188"/>
      <c r="D88" s="161"/>
      <c r="E88" s="162"/>
      <c r="F88" s="162"/>
      <c r="G88" s="163"/>
      <c r="H88" s="285"/>
      <c r="I88" s="282"/>
      <c r="J88" s="16"/>
      <c r="K88" s="18">
        <f t="shared" si="8"/>
        <v>0</v>
      </c>
      <c r="L88" s="288">
        <v>0</v>
      </c>
      <c r="M88" s="291"/>
      <c r="N88" s="164"/>
      <c r="O88" s="164"/>
      <c r="P88" s="164"/>
      <c r="Q88" s="175">
        <f t="shared" si="14"/>
        <v>0</v>
      </c>
      <c r="R88" s="164"/>
      <c r="S88" s="197">
        <f t="shared" si="9"/>
        <v>0</v>
      </c>
      <c r="T88" s="201" t="str" cm="1">
        <f t="array" ref="T88">IFERROR(IF(F88="甲",IF(K88&gt;3500000,VLOOKUP(3500000,源泉DB!$B$261:$L$261,L88+3)+ROUNDDOWN((K88-3500000)*45.945%,0),IF(AND(K88&gt;2250000,K88&lt;3500000),VLOOKUP(2250000,源泉DB!$B$260:$K$260,L88+3)+ROUNDDOWN((K88-2250000)*40.84%,0),IF(AND(K88&gt;2210000,K88&lt;2250000),VLOOKUP(2210000,源泉DB!$B$259:$K$259,L88+3)+ROUNDDOWN((K88-2210000)*40.84%,0),IF(AND(K88&gt;2170000,K88&lt;2210000),VLOOKUP(2170000,源泉DB!$B$258:$K$258,L88+3)+ROUNDDOWN((K88-2170000)*40.84%,0),IF(AND(K88&gt;1700000,K88&lt;2170000),VLOOKUP(1700000,源泉DB!$B$257:$K$257,L88+3)+ROUNDDOWN((K88-1700000)*40.84%,0),IF(AND(K88&gt;950000,K88&lt;1700000),VLOOKUP(950000,源泉DB!$B$256:$K$256,L88+3)+ROUNDDOWN((K88-950000)*33.693%,0),IF(AND(K88&gt;780000,K88&lt;950000),VLOOKUP(780000,源泉DB!$B$255:$K$255,L88+3)+ROUNDDOWN((K88-780000)*23.483%,0),IF(AND(K88&gt;740000,K88&lt;780000),VLOOKUP(740000,源泉DB!$B$254:$K$254,L88+3)+ROUNDDOWN((K88-740000)*20.42%,0),VLOOKUP(K88,源泉DB!$B$8:$K$299,L88+3))))))))),IF(F88="乙",IF(K88&gt;1700000,651900+(K88-1700000) *45.945%,IF(K88=1700000,651900,IF(AND(K88&gt;740000,K88&lt;1700000),259800+(K88-740000)*40.84%,IF(K88=740000,259800,IF(K88&lt;88000,ROUNDDOWN(K88*3.063%,9),VLOOKUP(K88,源泉DB!$B$8:$L$254,11)))))),"")),"")</f>
        <v/>
      </c>
      <c r="U88" s="165"/>
      <c r="V88" s="166"/>
      <c r="W88" s="166"/>
      <c r="X88" s="166"/>
      <c r="Y88" s="166"/>
      <c r="Z88" s="178">
        <f>ROUND(IFERROR(IF(($G88="加入"),VLOOKUP($I88,年金DB!$G$16:$P$65,6,TRUE),0),0)-0.1,0)</f>
        <v>0</v>
      </c>
      <c r="AA88" s="178">
        <f>ROUND(IFERROR(IF(AND($G88="加入",$D88&gt;=40,$D88&lt;=64),VLOOKUP($I88,年金DB!$G$16:$P$65,10,TRUE),0),0)-0.1,0)</f>
        <v>0</v>
      </c>
      <c r="AB88" s="178">
        <f>ROUND(IFERROR(IF(AND($G88="加入",$D88&lt;40),VLOOKUP($J88,年金DB!$G$16:$X$62,14,TRUE),IF(AND($G88="加入",$D88&gt;=40),VLOOKUP($J88,年金DB!$G$16:$X$62,14,TRUE),"0")),0)-0.1,0)</f>
        <v>0</v>
      </c>
      <c r="AC88" s="178">
        <f t="shared" si="13"/>
        <v>0</v>
      </c>
      <c r="AD88" s="21">
        <f t="shared" si="10"/>
        <v>0</v>
      </c>
      <c r="AE88" s="173">
        <f t="shared" si="11"/>
        <v>0</v>
      </c>
      <c r="AF88" s="14" t="str">
        <f t="shared" si="12"/>
        <v/>
      </c>
      <c r="AG88" s="14"/>
      <c r="AH88" s="14"/>
    </row>
    <row r="89" spans="1:34">
      <c r="A89" s="28"/>
      <c r="B89" s="180"/>
      <c r="C89" s="188"/>
      <c r="D89" s="161"/>
      <c r="E89" s="162"/>
      <c r="F89" s="162"/>
      <c r="G89" s="163"/>
      <c r="H89" s="285"/>
      <c r="I89" s="282"/>
      <c r="J89" s="16"/>
      <c r="K89" s="18">
        <f t="shared" si="8"/>
        <v>0</v>
      </c>
      <c r="L89" s="288">
        <v>0</v>
      </c>
      <c r="M89" s="291"/>
      <c r="N89" s="164"/>
      <c r="O89" s="164"/>
      <c r="P89" s="164"/>
      <c r="Q89" s="175">
        <f t="shared" si="14"/>
        <v>0</v>
      </c>
      <c r="R89" s="164"/>
      <c r="S89" s="197">
        <f t="shared" si="9"/>
        <v>0</v>
      </c>
      <c r="T89" s="201" t="str" cm="1">
        <f t="array" ref="T89">IFERROR(IF(F89="甲",IF(K89&gt;3500000,VLOOKUP(3500000,源泉DB!$B$261:$L$261,L89+3)+ROUNDDOWN((K89-3500000)*45.945%,0),IF(AND(K89&gt;2250000,K89&lt;3500000),VLOOKUP(2250000,源泉DB!$B$260:$K$260,L89+3)+ROUNDDOWN((K89-2250000)*40.84%,0),IF(AND(K89&gt;2210000,K89&lt;2250000),VLOOKUP(2210000,源泉DB!$B$259:$K$259,L89+3)+ROUNDDOWN((K89-2210000)*40.84%,0),IF(AND(K89&gt;2170000,K89&lt;2210000),VLOOKUP(2170000,源泉DB!$B$258:$K$258,L89+3)+ROUNDDOWN((K89-2170000)*40.84%,0),IF(AND(K89&gt;1700000,K89&lt;2170000),VLOOKUP(1700000,源泉DB!$B$257:$K$257,L89+3)+ROUNDDOWN((K89-1700000)*40.84%,0),IF(AND(K89&gt;950000,K89&lt;1700000),VLOOKUP(950000,源泉DB!$B$256:$K$256,L89+3)+ROUNDDOWN((K89-950000)*33.693%,0),IF(AND(K89&gt;780000,K89&lt;950000),VLOOKUP(780000,源泉DB!$B$255:$K$255,L89+3)+ROUNDDOWN((K89-780000)*23.483%,0),IF(AND(K89&gt;740000,K89&lt;780000),VLOOKUP(740000,源泉DB!$B$254:$K$254,L89+3)+ROUNDDOWN((K89-740000)*20.42%,0),VLOOKUP(K89,源泉DB!$B$8:$K$299,L89+3))))))))),IF(F89="乙",IF(K89&gt;1700000,651900+(K89-1700000) *45.945%,IF(K89=1700000,651900,IF(AND(K89&gt;740000,K89&lt;1700000),259800+(K89-740000)*40.84%,IF(K89=740000,259800,IF(K89&lt;88000,ROUNDDOWN(K89*3.063%,9),VLOOKUP(K89,源泉DB!$B$8:$L$254,11)))))),"")),"")</f>
        <v/>
      </c>
      <c r="U89" s="165"/>
      <c r="V89" s="166"/>
      <c r="W89" s="166"/>
      <c r="X89" s="166"/>
      <c r="Y89" s="166"/>
      <c r="Z89" s="178">
        <f>ROUND(IFERROR(IF(($G89="加入"),VLOOKUP($I89,年金DB!$G$16:$P$65,6,TRUE),0),0)-0.1,0)</f>
        <v>0</v>
      </c>
      <c r="AA89" s="178">
        <f>ROUND(IFERROR(IF(AND($G89="加入",$D89&gt;=40,$D89&lt;=64),VLOOKUP($I89,年金DB!$G$16:$P$65,10,TRUE),0),0)-0.1,0)</f>
        <v>0</v>
      </c>
      <c r="AB89" s="178">
        <f>ROUND(IFERROR(IF(AND($G89="加入",$D89&lt;40),VLOOKUP($J89,年金DB!$G$16:$X$62,14,TRUE),IF(AND($G89="加入",$D89&gt;=40),VLOOKUP($J89,年金DB!$G$16:$X$62,14,TRUE),"0")),0)-0.1,0)</f>
        <v>0</v>
      </c>
      <c r="AC89" s="178">
        <f t="shared" si="13"/>
        <v>0</v>
      </c>
      <c r="AD89" s="21">
        <f t="shared" si="10"/>
        <v>0</v>
      </c>
      <c r="AE89" s="173">
        <f t="shared" si="11"/>
        <v>0</v>
      </c>
      <c r="AF89" s="14" t="str">
        <f t="shared" si="12"/>
        <v/>
      </c>
      <c r="AG89" s="14"/>
      <c r="AH89" s="14"/>
    </row>
    <row r="90" spans="1:34">
      <c r="A90" s="28"/>
      <c r="B90" s="180"/>
      <c r="C90" s="188"/>
      <c r="D90" s="161"/>
      <c r="E90" s="162"/>
      <c r="F90" s="162"/>
      <c r="G90" s="163"/>
      <c r="H90" s="285"/>
      <c r="I90" s="282"/>
      <c r="J90" s="16"/>
      <c r="K90" s="18">
        <f t="shared" si="8"/>
        <v>0</v>
      </c>
      <c r="L90" s="288">
        <v>0</v>
      </c>
      <c r="M90" s="291"/>
      <c r="N90" s="164"/>
      <c r="O90" s="164"/>
      <c r="P90" s="164"/>
      <c r="Q90" s="175">
        <f t="shared" si="14"/>
        <v>0</v>
      </c>
      <c r="R90" s="164"/>
      <c r="S90" s="197">
        <f t="shared" si="9"/>
        <v>0</v>
      </c>
      <c r="T90" s="201" t="str" cm="1">
        <f t="array" ref="T90">IFERROR(IF(F90="甲",IF(K90&gt;3500000,VLOOKUP(3500000,源泉DB!$B$261:$L$261,L90+3)+ROUNDDOWN((K90-3500000)*45.945%,0),IF(AND(K90&gt;2250000,K90&lt;3500000),VLOOKUP(2250000,源泉DB!$B$260:$K$260,L90+3)+ROUNDDOWN((K90-2250000)*40.84%,0),IF(AND(K90&gt;2210000,K90&lt;2250000),VLOOKUP(2210000,源泉DB!$B$259:$K$259,L90+3)+ROUNDDOWN((K90-2210000)*40.84%,0),IF(AND(K90&gt;2170000,K90&lt;2210000),VLOOKUP(2170000,源泉DB!$B$258:$K$258,L90+3)+ROUNDDOWN((K90-2170000)*40.84%,0),IF(AND(K90&gt;1700000,K90&lt;2170000),VLOOKUP(1700000,源泉DB!$B$257:$K$257,L90+3)+ROUNDDOWN((K90-1700000)*40.84%,0),IF(AND(K90&gt;950000,K90&lt;1700000),VLOOKUP(950000,源泉DB!$B$256:$K$256,L90+3)+ROUNDDOWN((K90-950000)*33.693%,0),IF(AND(K90&gt;780000,K90&lt;950000),VLOOKUP(780000,源泉DB!$B$255:$K$255,L90+3)+ROUNDDOWN((K90-780000)*23.483%,0),IF(AND(K90&gt;740000,K90&lt;780000),VLOOKUP(740000,源泉DB!$B$254:$K$254,L90+3)+ROUNDDOWN((K90-740000)*20.42%,0),VLOOKUP(K90,源泉DB!$B$8:$K$299,L90+3))))))))),IF(F90="乙",IF(K90&gt;1700000,651900+(K90-1700000) *45.945%,IF(K90=1700000,651900,IF(AND(K90&gt;740000,K90&lt;1700000),259800+(K90-740000)*40.84%,IF(K90=740000,259800,IF(K90&lt;88000,ROUNDDOWN(K90*3.063%,9),VLOOKUP(K90,源泉DB!$B$8:$L$254,11)))))),"")),"")</f>
        <v/>
      </c>
      <c r="U90" s="165"/>
      <c r="V90" s="166"/>
      <c r="W90" s="166"/>
      <c r="X90" s="166"/>
      <c r="Y90" s="166"/>
      <c r="Z90" s="178">
        <f>ROUND(IFERROR(IF(($G90="加入"),VLOOKUP($I90,年金DB!$G$16:$P$65,6,TRUE),0),0)-0.1,0)</f>
        <v>0</v>
      </c>
      <c r="AA90" s="178">
        <f>ROUND(IFERROR(IF(AND($G90="加入",$D90&gt;=40,$D90&lt;=64),VLOOKUP($I90,年金DB!$G$16:$P$65,10,TRUE),0),0)-0.1,0)</f>
        <v>0</v>
      </c>
      <c r="AB90" s="178">
        <f>ROUND(IFERROR(IF(AND($G90="加入",$D90&lt;40),VLOOKUP($J90,年金DB!$G$16:$X$62,14,TRUE),IF(AND($G90="加入",$D90&gt;=40),VLOOKUP($J90,年金DB!$G$16:$X$62,14,TRUE),"0")),0)-0.1,0)</f>
        <v>0</v>
      </c>
      <c r="AC90" s="178">
        <f t="shared" si="13"/>
        <v>0</v>
      </c>
      <c r="AD90" s="21">
        <f t="shared" si="10"/>
        <v>0</v>
      </c>
      <c r="AE90" s="173">
        <f t="shared" si="11"/>
        <v>0</v>
      </c>
      <c r="AF90" s="14" t="str">
        <f t="shared" si="12"/>
        <v/>
      </c>
      <c r="AG90" s="14"/>
      <c r="AH90" s="14"/>
    </row>
    <row r="91" spans="1:34">
      <c r="A91" s="28"/>
      <c r="B91" s="180"/>
      <c r="C91" s="188"/>
      <c r="D91" s="161"/>
      <c r="E91" s="162"/>
      <c r="F91" s="162"/>
      <c r="G91" s="163"/>
      <c r="H91" s="285"/>
      <c r="I91" s="282"/>
      <c r="J91" s="16"/>
      <c r="K91" s="18">
        <f t="shared" si="8"/>
        <v>0</v>
      </c>
      <c r="L91" s="288">
        <v>0</v>
      </c>
      <c r="M91" s="291"/>
      <c r="N91" s="164"/>
      <c r="O91" s="164"/>
      <c r="P91" s="164"/>
      <c r="Q91" s="175">
        <f t="shared" si="14"/>
        <v>0</v>
      </c>
      <c r="R91" s="164"/>
      <c r="S91" s="197">
        <f t="shared" si="9"/>
        <v>0</v>
      </c>
      <c r="T91" s="201" t="str" cm="1">
        <f t="array" ref="T91">IFERROR(IF(F91="甲",IF(K91&gt;3500000,VLOOKUP(3500000,源泉DB!$B$261:$L$261,L91+3)+ROUNDDOWN((K91-3500000)*45.945%,0),IF(AND(K91&gt;2250000,K91&lt;3500000),VLOOKUP(2250000,源泉DB!$B$260:$K$260,L91+3)+ROUNDDOWN((K91-2250000)*40.84%,0),IF(AND(K91&gt;2210000,K91&lt;2250000),VLOOKUP(2210000,源泉DB!$B$259:$K$259,L91+3)+ROUNDDOWN((K91-2210000)*40.84%,0),IF(AND(K91&gt;2170000,K91&lt;2210000),VLOOKUP(2170000,源泉DB!$B$258:$K$258,L91+3)+ROUNDDOWN((K91-2170000)*40.84%,0),IF(AND(K91&gt;1700000,K91&lt;2170000),VLOOKUP(1700000,源泉DB!$B$257:$K$257,L91+3)+ROUNDDOWN((K91-1700000)*40.84%,0),IF(AND(K91&gt;950000,K91&lt;1700000),VLOOKUP(950000,源泉DB!$B$256:$K$256,L91+3)+ROUNDDOWN((K91-950000)*33.693%,0),IF(AND(K91&gt;780000,K91&lt;950000),VLOOKUP(780000,源泉DB!$B$255:$K$255,L91+3)+ROUNDDOWN((K91-780000)*23.483%,0),IF(AND(K91&gt;740000,K91&lt;780000),VLOOKUP(740000,源泉DB!$B$254:$K$254,L91+3)+ROUNDDOWN((K91-740000)*20.42%,0),VLOOKUP(K91,源泉DB!$B$8:$K$299,L91+3))))))))),IF(F91="乙",IF(K91&gt;1700000,651900+(K91-1700000) *45.945%,IF(K91=1700000,651900,IF(AND(K91&gt;740000,K91&lt;1700000),259800+(K91-740000)*40.84%,IF(K91=740000,259800,IF(K91&lt;88000,ROUNDDOWN(K91*3.063%,9),VLOOKUP(K91,源泉DB!$B$8:$L$254,11)))))),"")),"")</f>
        <v/>
      </c>
      <c r="U91" s="165"/>
      <c r="V91" s="166"/>
      <c r="W91" s="166"/>
      <c r="X91" s="166"/>
      <c r="Y91" s="166"/>
      <c r="Z91" s="178">
        <f>ROUND(IFERROR(IF(($G91="加入"),VLOOKUP($I91,年金DB!$G$16:$P$65,6,TRUE),0),0)-0.1,0)</f>
        <v>0</v>
      </c>
      <c r="AA91" s="178">
        <f>ROUND(IFERROR(IF(AND($G91="加入",$D91&gt;=40,$D91&lt;=64),VLOOKUP($I91,年金DB!$G$16:$P$65,10,TRUE),0),0)-0.1,0)</f>
        <v>0</v>
      </c>
      <c r="AB91" s="178">
        <f>ROUND(IFERROR(IF(AND($G91="加入",$D91&lt;40),VLOOKUP($J91,年金DB!$G$16:$X$62,14,TRUE),IF(AND($G91="加入",$D91&gt;=40),VLOOKUP($J91,年金DB!$G$16:$X$62,14,TRUE),"0")),0)-0.1,0)</f>
        <v>0</v>
      </c>
      <c r="AC91" s="178">
        <f t="shared" si="13"/>
        <v>0</v>
      </c>
      <c r="AD91" s="21">
        <f t="shared" si="10"/>
        <v>0</v>
      </c>
      <c r="AE91" s="173">
        <f t="shared" si="11"/>
        <v>0</v>
      </c>
      <c r="AF91" s="14" t="str">
        <f t="shared" si="12"/>
        <v/>
      </c>
      <c r="AG91" s="14"/>
      <c r="AH91" s="14"/>
    </row>
    <row r="92" spans="1:34">
      <c r="A92" s="28"/>
      <c r="B92" s="180"/>
      <c r="C92" s="188"/>
      <c r="D92" s="161"/>
      <c r="E92" s="162"/>
      <c r="F92" s="162"/>
      <c r="G92" s="163"/>
      <c r="H92" s="285"/>
      <c r="I92" s="282"/>
      <c r="J92" s="16"/>
      <c r="K92" s="18">
        <f t="shared" si="8"/>
        <v>0</v>
      </c>
      <c r="L92" s="288">
        <v>0</v>
      </c>
      <c r="M92" s="291"/>
      <c r="N92" s="164"/>
      <c r="O92" s="164"/>
      <c r="P92" s="164"/>
      <c r="Q92" s="175">
        <f t="shared" si="14"/>
        <v>0</v>
      </c>
      <c r="R92" s="164"/>
      <c r="S92" s="197">
        <f t="shared" si="9"/>
        <v>0</v>
      </c>
      <c r="T92" s="201" t="str" cm="1">
        <f t="array" ref="T92">IFERROR(IF(F92="甲",IF(K92&gt;3500000,VLOOKUP(3500000,源泉DB!$B$261:$L$261,L92+3)+ROUNDDOWN((K92-3500000)*45.945%,0),IF(AND(K92&gt;2250000,K92&lt;3500000),VLOOKUP(2250000,源泉DB!$B$260:$K$260,L92+3)+ROUNDDOWN((K92-2250000)*40.84%,0),IF(AND(K92&gt;2210000,K92&lt;2250000),VLOOKUP(2210000,源泉DB!$B$259:$K$259,L92+3)+ROUNDDOWN((K92-2210000)*40.84%,0),IF(AND(K92&gt;2170000,K92&lt;2210000),VLOOKUP(2170000,源泉DB!$B$258:$K$258,L92+3)+ROUNDDOWN((K92-2170000)*40.84%,0),IF(AND(K92&gt;1700000,K92&lt;2170000),VLOOKUP(1700000,源泉DB!$B$257:$K$257,L92+3)+ROUNDDOWN((K92-1700000)*40.84%,0),IF(AND(K92&gt;950000,K92&lt;1700000),VLOOKUP(950000,源泉DB!$B$256:$K$256,L92+3)+ROUNDDOWN((K92-950000)*33.693%,0),IF(AND(K92&gt;780000,K92&lt;950000),VLOOKUP(780000,源泉DB!$B$255:$K$255,L92+3)+ROUNDDOWN((K92-780000)*23.483%,0),IF(AND(K92&gt;740000,K92&lt;780000),VLOOKUP(740000,源泉DB!$B$254:$K$254,L92+3)+ROUNDDOWN((K92-740000)*20.42%,0),VLOOKUP(K92,源泉DB!$B$8:$K$299,L92+3))))))))),IF(F92="乙",IF(K92&gt;1700000,651900+(K92-1700000) *45.945%,IF(K92=1700000,651900,IF(AND(K92&gt;740000,K92&lt;1700000),259800+(K92-740000)*40.84%,IF(K92=740000,259800,IF(K92&lt;88000,ROUNDDOWN(K92*3.063%,9),VLOOKUP(K92,源泉DB!$B$8:$L$254,11)))))),"")),"")</f>
        <v/>
      </c>
      <c r="U92" s="165"/>
      <c r="V92" s="166"/>
      <c r="W92" s="166"/>
      <c r="X92" s="166"/>
      <c r="Y92" s="166"/>
      <c r="Z92" s="178">
        <f>ROUND(IFERROR(IF(($G92="加入"),VLOOKUP($I92,年金DB!$G$16:$P$65,6,TRUE),0),0)-0.1,0)</f>
        <v>0</v>
      </c>
      <c r="AA92" s="178">
        <f>ROUND(IFERROR(IF(AND($G92="加入",$D92&gt;=40,$D92&lt;=64),VLOOKUP($I92,年金DB!$G$16:$P$65,10,TRUE),0),0)-0.1,0)</f>
        <v>0</v>
      </c>
      <c r="AB92" s="178">
        <f>ROUND(IFERROR(IF(AND($G92="加入",$D92&lt;40),VLOOKUP($J92,年金DB!$G$16:$X$62,14,TRUE),IF(AND($G92="加入",$D92&gt;=40),VLOOKUP($J92,年金DB!$G$16:$X$62,14,TRUE),"0")),0)-0.1,0)</f>
        <v>0</v>
      </c>
      <c r="AC92" s="178">
        <f t="shared" si="13"/>
        <v>0</v>
      </c>
      <c r="AD92" s="21">
        <f t="shared" si="10"/>
        <v>0</v>
      </c>
      <c r="AE92" s="173">
        <f t="shared" si="11"/>
        <v>0</v>
      </c>
      <c r="AF92" s="14" t="str">
        <f t="shared" si="12"/>
        <v/>
      </c>
      <c r="AG92" s="14"/>
      <c r="AH92" s="14"/>
    </row>
    <row r="93" spans="1:34">
      <c r="A93" s="28"/>
      <c r="B93" s="180"/>
      <c r="C93" s="188"/>
      <c r="D93" s="161"/>
      <c r="E93" s="162"/>
      <c r="F93" s="162"/>
      <c r="G93" s="163"/>
      <c r="H93" s="285"/>
      <c r="I93" s="282"/>
      <c r="J93" s="16"/>
      <c r="K93" s="18">
        <f t="shared" si="8"/>
        <v>0</v>
      </c>
      <c r="L93" s="288">
        <v>0</v>
      </c>
      <c r="M93" s="291"/>
      <c r="N93" s="164"/>
      <c r="O93" s="164"/>
      <c r="P93" s="164"/>
      <c r="Q93" s="175">
        <f t="shared" si="14"/>
        <v>0</v>
      </c>
      <c r="R93" s="164"/>
      <c r="S93" s="197">
        <f t="shared" si="9"/>
        <v>0</v>
      </c>
      <c r="T93" s="201" t="str" cm="1">
        <f t="array" ref="T93">IFERROR(IF(F93="甲",IF(K93&gt;3500000,VLOOKUP(3500000,源泉DB!$B$261:$L$261,L93+3)+ROUNDDOWN((K93-3500000)*45.945%,0),IF(AND(K93&gt;2250000,K93&lt;3500000),VLOOKUP(2250000,源泉DB!$B$260:$K$260,L93+3)+ROUNDDOWN((K93-2250000)*40.84%,0),IF(AND(K93&gt;2210000,K93&lt;2250000),VLOOKUP(2210000,源泉DB!$B$259:$K$259,L93+3)+ROUNDDOWN((K93-2210000)*40.84%,0),IF(AND(K93&gt;2170000,K93&lt;2210000),VLOOKUP(2170000,源泉DB!$B$258:$K$258,L93+3)+ROUNDDOWN((K93-2170000)*40.84%,0),IF(AND(K93&gt;1700000,K93&lt;2170000),VLOOKUP(1700000,源泉DB!$B$257:$K$257,L93+3)+ROUNDDOWN((K93-1700000)*40.84%,0),IF(AND(K93&gt;950000,K93&lt;1700000),VLOOKUP(950000,源泉DB!$B$256:$K$256,L93+3)+ROUNDDOWN((K93-950000)*33.693%,0),IF(AND(K93&gt;780000,K93&lt;950000),VLOOKUP(780000,源泉DB!$B$255:$K$255,L93+3)+ROUNDDOWN((K93-780000)*23.483%,0),IF(AND(K93&gt;740000,K93&lt;780000),VLOOKUP(740000,源泉DB!$B$254:$K$254,L93+3)+ROUNDDOWN((K93-740000)*20.42%,0),VLOOKUP(K93,源泉DB!$B$8:$K$299,L93+3))))))))),IF(F93="乙",IF(K93&gt;1700000,651900+(K93-1700000) *45.945%,IF(K93=1700000,651900,IF(AND(K93&gt;740000,K93&lt;1700000),259800+(K93-740000)*40.84%,IF(K93=740000,259800,IF(K93&lt;88000,ROUNDDOWN(K93*3.063%,9),VLOOKUP(K93,源泉DB!$B$8:$L$254,11)))))),"")),"")</f>
        <v/>
      </c>
      <c r="U93" s="165"/>
      <c r="V93" s="166"/>
      <c r="W93" s="166"/>
      <c r="X93" s="166"/>
      <c r="Y93" s="166"/>
      <c r="Z93" s="178">
        <f>ROUND(IFERROR(IF(($G93="加入"),VLOOKUP($I93,年金DB!$G$16:$P$65,6,TRUE),0),0)-0.1,0)</f>
        <v>0</v>
      </c>
      <c r="AA93" s="178">
        <f>ROUND(IFERROR(IF(AND($G93="加入",$D93&gt;=40,$D93&lt;=64),VLOOKUP($I93,年金DB!$G$16:$P$65,10,TRUE),0),0)-0.1,0)</f>
        <v>0</v>
      </c>
      <c r="AB93" s="178">
        <f>ROUND(IFERROR(IF(AND($G93="加入",$D93&lt;40),VLOOKUP($J93,年金DB!$G$16:$X$62,14,TRUE),IF(AND($G93="加入",$D93&gt;=40),VLOOKUP($J93,年金DB!$G$16:$X$62,14,TRUE),"0")),0)-0.1,0)</f>
        <v>0</v>
      </c>
      <c r="AC93" s="178">
        <f t="shared" si="13"/>
        <v>0</v>
      </c>
      <c r="AD93" s="21">
        <f t="shared" si="10"/>
        <v>0</v>
      </c>
      <c r="AE93" s="173">
        <f t="shared" si="11"/>
        <v>0</v>
      </c>
      <c r="AF93" s="14" t="str">
        <f t="shared" si="12"/>
        <v/>
      </c>
      <c r="AG93" s="14"/>
      <c r="AH93" s="14"/>
    </row>
    <row r="94" spans="1:34">
      <c r="A94" s="28"/>
      <c r="B94" s="180"/>
      <c r="C94" s="188"/>
      <c r="D94" s="161"/>
      <c r="E94" s="162"/>
      <c r="F94" s="162"/>
      <c r="G94" s="163"/>
      <c r="H94" s="285"/>
      <c r="I94" s="282"/>
      <c r="J94" s="16"/>
      <c r="K94" s="18">
        <f t="shared" si="8"/>
        <v>0</v>
      </c>
      <c r="L94" s="288">
        <v>0</v>
      </c>
      <c r="M94" s="291"/>
      <c r="N94" s="164"/>
      <c r="O94" s="164"/>
      <c r="P94" s="164"/>
      <c r="Q94" s="175">
        <f t="shared" si="14"/>
        <v>0</v>
      </c>
      <c r="R94" s="164"/>
      <c r="S94" s="197">
        <f t="shared" si="9"/>
        <v>0</v>
      </c>
      <c r="T94" s="201" t="str" cm="1">
        <f t="array" ref="T94">IFERROR(IF(F94="甲",IF(K94&gt;3500000,VLOOKUP(3500000,源泉DB!$B$261:$L$261,L94+3)+ROUNDDOWN((K94-3500000)*45.945%,0),IF(AND(K94&gt;2250000,K94&lt;3500000),VLOOKUP(2250000,源泉DB!$B$260:$K$260,L94+3)+ROUNDDOWN((K94-2250000)*40.84%,0),IF(AND(K94&gt;2210000,K94&lt;2250000),VLOOKUP(2210000,源泉DB!$B$259:$K$259,L94+3)+ROUNDDOWN((K94-2210000)*40.84%,0),IF(AND(K94&gt;2170000,K94&lt;2210000),VLOOKUP(2170000,源泉DB!$B$258:$K$258,L94+3)+ROUNDDOWN((K94-2170000)*40.84%,0),IF(AND(K94&gt;1700000,K94&lt;2170000),VLOOKUP(1700000,源泉DB!$B$257:$K$257,L94+3)+ROUNDDOWN((K94-1700000)*40.84%,0),IF(AND(K94&gt;950000,K94&lt;1700000),VLOOKUP(950000,源泉DB!$B$256:$K$256,L94+3)+ROUNDDOWN((K94-950000)*33.693%,0),IF(AND(K94&gt;780000,K94&lt;950000),VLOOKUP(780000,源泉DB!$B$255:$K$255,L94+3)+ROUNDDOWN((K94-780000)*23.483%,0),IF(AND(K94&gt;740000,K94&lt;780000),VLOOKUP(740000,源泉DB!$B$254:$K$254,L94+3)+ROUNDDOWN((K94-740000)*20.42%,0),VLOOKUP(K94,源泉DB!$B$8:$K$299,L94+3))))))))),IF(F94="乙",IF(K94&gt;1700000,651900+(K94-1700000) *45.945%,IF(K94=1700000,651900,IF(AND(K94&gt;740000,K94&lt;1700000),259800+(K94-740000)*40.84%,IF(K94=740000,259800,IF(K94&lt;88000,ROUNDDOWN(K94*3.063%,9),VLOOKUP(K94,源泉DB!$B$8:$L$254,11)))))),"")),"")</f>
        <v/>
      </c>
      <c r="U94" s="165"/>
      <c r="V94" s="166"/>
      <c r="W94" s="166"/>
      <c r="X94" s="166"/>
      <c r="Y94" s="166"/>
      <c r="Z94" s="178">
        <f>ROUND(IFERROR(IF(($G94="加入"),VLOOKUP($I94,年金DB!$G$16:$P$65,6,TRUE),0),0)-0.1,0)</f>
        <v>0</v>
      </c>
      <c r="AA94" s="178">
        <f>ROUND(IFERROR(IF(AND($G94="加入",$D94&gt;=40,$D94&lt;=64),VLOOKUP($I94,年金DB!$G$16:$P$65,10,TRUE),0),0)-0.1,0)</f>
        <v>0</v>
      </c>
      <c r="AB94" s="178">
        <f>ROUND(IFERROR(IF(AND($G94="加入",$D94&lt;40),VLOOKUP($J94,年金DB!$G$16:$X$62,14,TRUE),IF(AND($G94="加入",$D94&gt;=40),VLOOKUP($J94,年金DB!$G$16:$X$62,14,TRUE),"0")),0)-0.1,0)</f>
        <v>0</v>
      </c>
      <c r="AC94" s="178">
        <f t="shared" si="13"/>
        <v>0</v>
      </c>
      <c r="AD94" s="21">
        <f t="shared" si="10"/>
        <v>0</v>
      </c>
      <c r="AE94" s="173">
        <f t="shared" si="11"/>
        <v>0</v>
      </c>
      <c r="AF94" s="14" t="str">
        <f t="shared" si="12"/>
        <v/>
      </c>
      <c r="AG94" s="14"/>
      <c r="AH94" s="14"/>
    </row>
    <row r="95" spans="1:34">
      <c r="A95" s="28"/>
      <c r="B95" s="180"/>
      <c r="C95" s="188"/>
      <c r="D95" s="161"/>
      <c r="E95" s="162"/>
      <c r="F95" s="162"/>
      <c r="G95" s="163"/>
      <c r="H95" s="285"/>
      <c r="I95" s="282"/>
      <c r="J95" s="16"/>
      <c r="K95" s="18">
        <f t="shared" si="8"/>
        <v>0</v>
      </c>
      <c r="L95" s="288">
        <v>0</v>
      </c>
      <c r="M95" s="291"/>
      <c r="N95" s="164"/>
      <c r="O95" s="164"/>
      <c r="P95" s="164"/>
      <c r="Q95" s="175">
        <f t="shared" si="14"/>
        <v>0</v>
      </c>
      <c r="R95" s="164"/>
      <c r="S95" s="197">
        <f t="shared" si="9"/>
        <v>0</v>
      </c>
      <c r="T95" s="201" t="str" cm="1">
        <f t="array" ref="T95">IFERROR(IF(F95="甲",IF(K95&gt;3500000,VLOOKUP(3500000,源泉DB!$B$261:$L$261,L95+3)+ROUNDDOWN((K95-3500000)*45.945%,0),IF(AND(K95&gt;2250000,K95&lt;3500000),VLOOKUP(2250000,源泉DB!$B$260:$K$260,L95+3)+ROUNDDOWN((K95-2250000)*40.84%,0),IF(AND(K95&gt;2210000,K95&lt;2250000),VLOOKUP(2210000,源泉DB!$B$259:$K$259,L95+3)+ROUNDDOWN((K95-2210000)*40.84%,0),IF(AND(K95&gt;2170000,K95&lt;2210000),VLOOKUP(2170000,源泉DB!$B$258:$K$258,L95+3)+ROUNDDOWN((K95-2170000)*40.84%,0),IF(AND(K95&gt;1700000,K95&lt;2170000),VLOOKUP(1700000,源泉DB!$B$257:$K$257,L95+3)+ROUNDDOWN((K95-1700000)*40.84%,0),IF(AND(K95&gt;950000,K95&lt;1700000),VLOOKUP(950000,源泉DB!$B$256:$K$256,L95+3)+ROUNDDOWN((K95-950000)*33.693%,0),IF(AND(K95&gt;780000,K95&lt;950000),VLOOKUP(780000,源泉DB!$B$255:$K$255,L95+3)+ROUNDDOWN((K95-780000)*23.483%,0),IF(AND(K95&gt;740000,K95&lt;780000),VLOOKUP(740000,源泉DB!$B$254:$K$254,L95+3)+ROUNDDOWN((K95-740000)*20.42%,0),VLOOKUP(K95,源泉DB!$B$8:$K$299,L95+3))))))))),IF(F95="乙",IF(K95&gt;1700000,651900+(K95-1700000) *45.945%,IF(K95=1700000,651900,IF(AND(K95&gt;740000,K95&lt;1700000),259800+(K95-740000)*40.84%,IF(K95=740000,259800,IF(K95&lt;88000,ROUNDDOWN(K95*3.063%,9),VLOOKUP(K95,源泉DB!$B$8:$L$254,11)))))),"")),"")</f>
        <v/>
      </c>
      <c r="U95" s="165"/>
      <c r="V95" s="166"/>
      <c r="W95" s="166"/>
      <c r="X95" s="166"/>
      <c r="Y95" s="166"/>
      <c r="Z95" s="178">
        <f>ROUND(IFERROR(IF(($G95="加入"),VLOOKUP($I95,年金DB!$G$16:$P$65,6,TRUE),0),0)-0.1,0)</f>
        <v>0</v>
      </c>
      <c r="AA95" s="178">
        <f>ROUND(IFERROR(IF(AND($G95="加入",$D95&gt;=40,$D95&lt;=64),VLOOKUP($I95,年金DB!$G$16:$P$65,10,TRUE),0),0)-0.1,0)</f>
        <v>0</v>
      </c>
      <c r="AB95" s="178">
        <f>ROUND(IFERROR(IF(AND($G95="加入",$D95&lt;40),VLOOKUP($J95,年金DB!$G$16:$X$62,14,TRUE),IF(AND($G95="加入",$D95&gt;=40),VLOOKUP($J95,年金DB!$G$16:$X$62,14,TRUE),"0")),0)-0.1,0)</f>
        <v>0</v>
      </c>
      <c r="AC95" s="178">
        <f t="shared" si="13"/>
        <v>0</v>
      </c>
      <c r="AD95" s="21">
        <f t="shared" si="10"/>
        <v>0</v>
      </c>
      <c r="AE95" s="173">
        <f t="shared" si="11"/>
        <v>0</v>
      </c>
      <c r="AF95" s="14" t="str">
        <f t="shared" si="12"/>
        <v/>
      </c>
      <c r="AG95" s="14"/>
      <c r="AH95" s="14"/>
    </row>
    <row r="96" spans="1:34">
      <c r="A96" s="28"/>
      <c r="B96" s="180"/>
      <c r="C96" s="188"/>
      <c r="D96" s="161"/>
      <c r="E96" s="162"/>
      <c r="F96" s="162"/>
      <c r="G96" s="163"/>
      <c r="H96" s="285"/>
      <c r="I96" s="282"/>
      <c r="J96" s="16"/>
      <c r="K96" s="18">
        <f t="shared" si="8"/>
        <v>0</v>
      </c>
      <c r="L96" s="288">
        <v>0</v>
      </c>
      <c r="M96" s="291"/>
      <c r="N96" s="164"/>
      <c r="O96" s="164"/>
      <c r="P96" s="164"/>
      <c r="Q96" s="175">
        <f t="shared" si="14"/>
        <v>0</v>
      </c>
      <c r="R96" s="164"/>
      <c r="S96" s="197">
        <f t="shared" si="9"/>
        <v>0</v>
      </c>
      <c r="T96" s="201" t="str" cm="1">
        <f t="array" ref="T96">IFERROR(IF(F96="甲",IF(K96&gt;3500000,VLOOKUP(3500000,源泉DB!$B$261:$L$261,L96+3)+ROUNDDOWN((K96-3500000)*45.945%,0),IF(AND(K96&gt;2250000,K96&lt;3500000),VLOOKUP(2250000,源泉DB!$B$260:$K$260,L96+3)+ROUNDDOWN((K96-2250000)*40.84%,0),IF(AND(K96&gt;2210000,K96&lt;2250000),VLOOKUP(2210000,源泉DB!$B$259:$K$259,L96+3)+ROUNDDOWN((K96-2210000)*40.84%,0),IF(AND(K96&gt;2170000,K96&lt;2210000),VLOOKUP(2170000,源泉DB!$B$258:$K$258,L96+3)+ROUNDDOWN((K96-2170000)*40.84%,0),IF(AND(K96&gt;1700000,K96&lt;2170000),VLOOKUP(1700000,源泉DB!$B$257:$K$257,L96+3)+ROUNDDOWN((K96-1700000)*40.84%,0),IF(AND(K96&gt;950000,K96&lt;1700000),VLOOKUP(950000,源泉DB!$B$256:$K$256,L96+3)+ROUNDDOWN((K96-950000)*33.693%,0),IF(AND(K96&gt;780000,K96&lt;950000),VLOOKUP(780000,源泉DB!$B$255:$K$255,L96+3)+ROUNDDOWN((K96-780000)*23.483%,0),IF(AND(K96&gt;740000,K96&lt;780000),VLOOKUP(740000,源泉DB!$B$254:$K$254,L96+3)+ROUNDDOWN((K96-740000)*20.42%,0),VLOOKUP(K96,源泉DB!$B$8:$K$299,L96+3))))))))),IF(F96="乙",IF(K96&gt;1700000,651900+(K96-1700000) *45.945%,IF(K96=1700000,651900,IF(AND(K96&gt;740000,K96&lt;1700000),259800+(K96-740000)*40.84%,IF(K96=740000,259800,IF(K96&lt;88000,ROUNDDOWN(K96*3.063%,9),VLOOKUP(K96,源泉DB!$B$8:$L$254,11)))))),"")),"")</f>
        <v/>
      </c>
      <c r="U96" s="165"/>
      <c r="V96" s="166"/>
      <c r="W96" s="166"/>
      <c r="X96" s="166"/>
      <c r="Y96" s="166"/>
      <c r="Z96" s="178">
        <f>ROUND(IFERROR(IF(($G96="加入"),VLOOKUP($I96,年金DB!$G$16:$P$65,6,TRUE),0),0)-0.1,0)</f>
        <v>0</v>
      </c>
      <c r="AA96" s="178">
        <f>ROUND(IFERROR(IF(AND($G96="加入",$D96&gt;=40,$D96&lt;=64),VLOOKUP($I96,年金DB!$G$16:$P$65,10,TRUE),0),0)-0.1,0)</f>
        <v>0</v>
      </c>
      <c r="AB96" s="178">
        <f>ROUND(IFERROR(IF(AND($G96="加入",$D96&lt;40),VLOOKUP($J96,年金DB!$G$16:$X$62,14,TRUE),IF(AND($G96="加入",$D96&gt;=40),VLOOKUP($J96,年金DB!$G$16:$X$62,14,TRUE),"0")),0)-0.1,0)</f>
        <v>0</v>
      </c>
      <c r="AC96" s="178">
        <f t="shared" si="13"/>
        <v>0</v>
      </c>
      <c r="AD96" s="21">
        <f t="shared" si="10"/>
        <v>0</v>
      </c>
      <c r="AE96" s="173">
        <f t="shared" si="11"/>
        <v>0</v>
      </c>
      <c r="AF96" s="14" t="str">
        <f t="shared" si="12"/>
        <v/>
      </c>
      <c r="AG96" s="14"/>
      <c r="AH96" s="14"/>
    </row>
    <row r="97" spans="1:34">
      <c r="A97" s="28"/>
      <c r="B97" s="180"/>
      <c r="C97" s="188"/>
      <c r="D97" s="161"/>
      <c r="E97" s="162"/>
      <c r="F97" s="162"/>
      <c r="G97" s="163"/>
      <c r="H97" s="285"/>
      <c r="I97" s="282"/>
      <c r="J97" s="16"/>
      <c r="K97" s="18">
        <f t="shared" si="8"/>
        <v>0</v>
      </c>
      <c r="L97" s="288">
        <v>0</v>
      </c>
      <c r="M97" s="291"/>
      <c r="N97" s="164"/>
      <c r="O97" s="164"/>
      <c r="P97" s="164"/>
      <c r="Q97" s="175">
        <f t="shared" si="14"/>
        <v>0</v>
      </c>
      <c r="R97" s="164"/>
      <c r="S97" s="197">
        <f t="shared" si="9"/>
        <v>0</v>
      </c>
      <c r="T97" s="201" t="str" cm="1">
        <f t="array" ref="T97">IFERROR(IF(F97="甲",IF(K97&gt;3500000,VLOOKUP(3500000,源泉DB!$B$261:$L$261,L97+3)+ROUNDDOWN((K97-3500000)*45.945%,0),IF(AND(K97&gt;2250000,K97&lt;3500000),VLOOKUP(2250000,源泉DB!$B$260:$K$260,L97+3)+ROUNDDOWN((K97-2250000)*40.84%,0),IF(AND(K97&gt;2210000,K97&lt;2250000),VLOOKUP(2210000,源泉DB!$B$259:$K$259,L97+3)+ROUNDDOWN((K97-2210000)*40.84%,0),IF(AND(K97&gt;2170000,K97&lt;2210000),VLOOKUP(2170000,源泉DB!$B$258:$K$258,L97+3)+ROUNDDOWN((K97-2170000)*40.84%,0),IF(AND(K97&gt;1700000,K97&lt;2170000),VLOOKUP(1700000,源泉DB!$B$257:$K$257,L97+3)+ROUNDDOWN((K97-1700000)*40.84%,0),IF(AND(K97&gt;950000,K97&lt;1700000),VLOOKUP(950000,源泉DB!$B$256:$K$256,L97+3)+ROUNDDOWN((K97-950000)*33.693%,0),IF(AND(K97&gt;780000,K97&lt;950000),VLOOKUP(780000,源泉DB!$B$255:$K$255,L97+3)+ROUNDDOWN((K97-780000)*23.483%,0),IF(AND(K97&gt;740000,K97&lt;780000),VLOOKUP(740000,源泉DB!$B$254:$K$254,L97+3)+ROUNDDOWN((K97-740000)*20.42%,0),VLOOKUP(K97,源泉DB!$B$8:$K$299,L97+3))))))))),IF(F97="乙",IF(K97&gt;1700000,651900+(K97-1700000) *45.945%,IF(K97=1700000,651900,IF(AND(K97&gt;740000,K97&lt;1700000),259800+(K97-740000)*40.84%,IF(K97=740000,259800,IF(K97&lt;88000,ROUNDDOWN(K97*3.063%,9),VLOOKUP(K97,源泉DB!$B$8:$L$254,11)))))),"")),"")</f>
        <v/>
      </c>
      <c r="U97" s="165"/>
      <c r="V97" s="166"/>
      <c r="W97" s="166"/>
      <c r="X97" s="166"/>
      <c r="Y97" s="166"/>
      <c r="Z97" s="178">
        <f>ROUND(IFERROR(IF(($G97="加入"),VLOOKUP($I97,年金DB!$G$16:$P$65,6,TRUE),0),0)-0.1,0)</f>
        <v>0</v>
      </c>
      <c r="AA97" s="178">
        <f>ROUND(IFERROR(IF(AND($G97="加入",$D97&gt;=40,$D97&lt;=64),VLOOKUP($I97,年金DB!$G$16:$P$65,10,TRUE),0),0)-0.1,0)</f>
        <v>0</v>
      </c>
      <c r="AB97" s="178">
        <f>ROUND(IFERROR(IF(AND($G97="加入",$D97&lt;40),VLOOKUP($J97,年金DB!$G$16:$X$62,14,TRUE),IF(AND($G97="加入",$D97&gt;=40),VLOOKUP($J97,年金DB!$G$16:$X$62,14,TRUE),"0")),0)-0.1,0)</f>
        <v>0</v>
      </c>
      <c r="AC97" s="178">
        <f t="shared" si="13"/>
        <v>0</v>
      </c>
      <c r="AD97" s="21">
        <f t="shared" si="10"/>
        <v>0</v>
      </c>
      <c r="AE97" s="173">
        <f t="shared" si="11"/>
        <v>0</v>
      </c>
      <c r="AF97" s="14" t="str">
        <f t="shared" si="12"/>
        <v/>
      </c>
      <c r="AG97" s="14"/>
      <c r="AH97" s="14"/>
    </row>
    <row r="98" spans="1:34">
      <c r="A98" s="28"/>
      <c r="B98" s="180"/>
      <c r="C98" s="188"/>
      <c r="D98" s="161"/>
      <c r="E98" s="162"/>
      <c r="F98" s="162"/>
      <c r="G98" s="163"/>
      <c r="H98" s="285"/>
      <c r="I98" s="282"/>
      <c r="J98" s="16"/>
      <c r="K98" s="18">
        <f t="shared" si="8"/>
        <v>0</v>
      </c>
      <c r="L98" s="288">
        <v>0</v>
      </c>
      <c r="M98" s="291"/>
      <c r="N98" s="164"/>
      <c r="O98" s="164"/>
      <c r="P98" s="164"/>
      <c r="Q98" s="175">
        <f t="shared" si="14"/>
        <v>0</v>
      </c>
      <c r="R98" s="164"/>
      <c r="S98" s="197">
        <f t="shared" si="9"/>
        <v>0</v>
      </c>
      <c r="T98" s="201" t="str" cm="1">
        <f t="array" ref="T98">IFERROR(IF(F98="甲",IF(K98&gt;3500000,VLOOKUP(3500000,源泉DB!$B$261:$L$261,L98+3)+ROUNDDOWN((K98-3500000)*45.945%,0),IF(AND(K98&gt;2250000,K98&lt;3500000),VLOOKUP(2250000,源泉DB!$B$260:$K$260,L98+3)+ROUNDDOWN((K98-2250000)*40.84%,0),IF(AND(K98&gt;2210000,K98&lt;2250000),VLOOKUP(2210000,源泉DB!$B$259:$K$259,L98+3)+ROUNDDOWN((K98-2210000)*40.84%,0),IF(AND(K98&gt;2170000,K98&lt;2210000),VLOOKUP(2170000,源泉DB!$B$258:$K$258,L98+3)+ROUNDDOWN((K98-2170000)*40.84%,0),IF(AND(K98&gt;1700000,K98&lt;2170000),VLOOKUP(1700000,源泉DB!$B$257:$K$257,L98+3)+ROUNDDOWN((K98-1700000)*40.84%,0),IF(AND(K98&gt;950000,K98&lt;1700000),VLOOKUP(950000,源泉DB!$B$256:$K$256,L98+3)+ROUNDDOWN((K98-950000)*33.693%,0),IF(AND(K98&gt;780000,K98&lt;950000),VLOOKUP(780000,源泉DB!$B$255:$K$255,L98+3)+ROUNDDOWN((K98-780000)*23.483%,0),IF(AND(K98&gt;740000,K98&lt;780000),VLOOKUP(740000,源泉DB!$B$254:$K$254,L98+3)+ROUNDDOWN((K98-740000)*20.42%,0),VLOOKUP(K98,源泉DB!$B$8:$K$299,L98+3))))))))),IF(F98="乙",IF(K98&gt;1700000,651900+(K98-1700000) *45.945%,IF(K98=1700000,651900,IF(AND(K98&gt;740000,K98&lt;1700000),259800+(K98-740000)*40.84%,IF(K98=740000,259800,IF(K98&lt;88000,ROUNDDOWN(K98*3.063%,9),VLOOKUP(K98,源泉DB!$B$8:$L$254,11)))))),"")),"")</f>
        <v/>
      </c>
      <c r="U98" s="165"/>
      <c r="V98" s="166"/>
      <c r="W98" s="166"/>
      <c r="X98" s="166"/>
      <c r="Y98" s="166"/>
      <c r="Z98" s="178">
        <f>ROUND(IFERROR(IF(($G98="加入"),VLOOKUP($I98,年金DB!$G$16:$P$65,6,TRUE),0),0)-0.1,0)</f>
        <v>0</v>
      </c>
      <c r="AA98" s="178">
        <f>ROUND(IFERROR(IF(AND($G98="加入",$D98&gt;=40,$D98&lt;=64),VLOOKUP($I98,年金DB!$G$16:$P$65,10,TRUE),0),0)-0.1,0)</f>
        <v>0</v>
      </c>
      <c r="AB98" s="178">
        <f>ROUND(IFERROR(IF(AND($G98="加入",$D98&lt;40),VLOOKUP($J98,年金DB!$G$16:$X$62,14,TRUE),IF(AND($G98="加入",$D98&gt;=40),VLOOKUP($J98,年金DB!$G$16:$X$62,14,TRUE),"0")),0)-0.1,0)</f>
        <v>0</v>
      </c>
      <c r="AC98" s="178">
        <f t="shared" si="13"/>
        <v>0</v>
      </c>
      <c r="AD98" s="21">
        <f t="shared" si="10"/>
        <v>0</v>
      </c>
      <c r="AE98" s="173">
        <f t="shared" si="11"/>
        <v>0</v>
      </c>
      <c r="AF98" s="14" t="str">
        <f t="shared" si="12"/>
        <v/>
      </c>
      <c r="AG98" s="14"/>
      <c r="AH98" s="14"/>
    </row>
    <row r="99" spans="1:34">
      <c r="A99" s="28"/>
      <c r="B99" s="180"/>
      <c r="C99" s="188"/>
      <c r="D99" s="161"/>
      <c r="E99" s="162"/>
      <c r="F99" s="162"/>
      <c r="G99" s="163"/>
      <c r="H99" s="285"/>
      <c r="I99" s="282"/>
      <c r="J99" s="16"/>
      <c r="K99" s="18">
        <f t="shared" si="8"/>
        <v>0</v>
      </c>
      <c r="L99" s="288">
        <v>0</v>
      </c>
      <c r="M99" s="291"/>
      <c r="N99" s="164"/>
      <c r="O99" s="164"/>
      <c r="P99" s="164"/>
      <c r="Q99" s="175">
        <f t="shared" si="14"/>
        <v>0</v>
      </c>
      <c r="R99" s="164"/>
      <c r="S99" s="197">
        <f t="shared" si="9"/>
        <v>0</v>
      </c>
      <c r="T99" s="201" t="str" cm="1">
        <f t="array" ref="T99">IFERROR(IF(F99="甲",IF(K99&gt;3500000,VLOOKUP(3500000,源泉DB!$B$261:$L$261,L99+3)+ROUNDDOWN((K99-3500000)*45.945%,0),IF(AND(K99&gt;2250000,K99&lt;3500000),VLOOKUP(2250000,源泉DB!$B$260:$K$260,L99+3)+ROUNDDOWN((K99-2250000)*40.84%,0),IF(AND(K99&gt;2210000,K99&lt;2250000),VLOOKUP(2210000,源泉DB!$B$259:$K$259,L99+3)+ROUNDDOWN((K99-2210000)*40.84%,0),IF(AND(K99&gt;2170000,K99&lt;2210000),VLOOKUP(2170000,源泉DB!$B$258:$K$258,L99+3)+ROUNDDOWN((K99-2170000)*40.84%,0),IF(AND(K99&gt;1700000,K99&lt;2170000),VLOOKUP(1700000,源泉DB!$B$257:$K$257,L99+3)+ROUNDDOWN((K99-1700000)*40.84%,0),IF(AND(K99&gt;950000,K99&lt;1700000),VLOOKUP(950000,源泉DB!$B$256:$K$256,L99+3)+ROUNDDOWN((K99-950000)*33.693%,0),IF(AND(K99&gt;780000,K99&lt;950000),VLOOKUP(780000,源泉DB!$B$255:$K$255,L99+3)+ROUNDDOWN((K99-780000)*23.483%,0),IF(AND(K99&gt;740000,K99&lt;780000),VLOOKUP(740000,源泉DB!$B$254:$K$254,L99+3)+ROUNDDOWN((K99-740000)*20.42%,0),VLOOKUP(K99,源泉DB!$B$8:$K$299,L99+3))))))))),IF(F99="乙",IF(K99&gt;1700000,651900+(K99-1700000) *45.945%,IF(K99=1700000,651900,IF(AND(K99&gt;740000,K99&lt;1700000),259800+(K99-740000)*40.84%,IF(K99=740000,259800,IF(K99&lt;88000,ROUNDDOWN(K99*3.063%,9),VLOOKUP(K99,源泉DB!$B$8:$L$254,11)))))),"")),"")</f>
        <v/>
      </c>
      <c r="U99" s="165"/>
      <c r="V99" s="166"/>
      <c r="W99" s="166"/>
      <c r="X99" s="166"/>
      <c r="Y99" s="166"/>
      <c r="Z99" s="178">
        <f>ROUND(IFERROR(IF(($G99="加入"),VLOOKUP($I99,年金DB!$G$16:$P$65,6,TRUE),0),0)-0.1,0)</f>
        <v>0</v>
      </c>
      <c r="AA99" s="178">
        <f>ROUND(IFERROR(IF(AND($G99="加入",$D99&gt;=40,$D99&lt;=64),VLOOKUP($I99,年金DB!$G$16:$P$65,10,TRUE),0),0)-0.1,0)</f>
        <v>0</v>
      </c>
      <c r="AB99" s="178">
        <f>ROUND(IFERROR(IF(AND($G99="加入",$D99&lt;40),VLOOKUP($J99,年金DB!$G$16:$X$62,14,TRUE),IF(AND($G99="加入",$D99&gt;=40),VLOOKUP($J99,年金DB!$G$16:$X$62,14,TRUE),"0")),0)-0.1,0)</f>
        <v>0</v>
      </c>
      <c r="AC99" s="178">
        <f t="shared" si="13"/>
        <v>0</v>
      </c>
      <c r="AD99" s="21">
        <f t="shared" si="10"/>
        <v>0</v>
      </c>
      <c r="AE99" s="173">
        <f t="shared" si="11"/>
        <v>0</v>
      </c>
      <c r="AF99" s="14" t="str">
        <f t="shared" si="12"/>
        <v/>
      </c>
      <c r="AG99" s="14"/>
      <c r="AH99" s="14"/>
    </row>
    <row r="100" spans="1:34">
      <c r="A100" s="28"/>
      <c r="B100" s="180"/>
      <c r="C100" s="188"/>
      <c r="D100" s="161"/>
      <c r="E100" s="162"/>
      <c r="F100" s="162"/>
      <c r="G100" s="163"/>
      <c r="H100" s="285"/>
      <c r="I100" s="282"/>
      <c r="J100" s="16"/>
      <c r="K100" s="18">
        <f t="shared" si="8"/>
        <v>0</v>
      </c>
      <c r="L100" s="288">
        <v>0</v>
      </c>
      <c r="M100" s="291"/>
      <c r="N100" s="164"/>
      <c r="O100" s="164"/>
      <c r="P100" s="164"/>
      <c r="Q100" s="175">
        <f t="shared" si="14"/>
        <v>0</v>
      </c>
      <c r="R100" s="164"/>
      <c r="S100" s="197">
        <f t="shared" si="9"/>
        <v>0</v>
      </c>
      <c r="T100" s="201" t="str" cm="1">
        <f t="array" ref="T100">IFERROR(IF(F100="甲",IF(K100&gt;3500000,VLOOKUP(3500000,源泉DB!$B$261:$L$261,L100+3)+ROUNDDOWN((K100-3500000)*45.945%,0),IF(AND(K100&gt;2250000,K100&lt;3500000),VLOOKUP(2250000,源泉DB!$B$260:$K$260,L100+3)+ROUNDDOWN((K100-2250000)*40.84%,0),IF(AND(K100&gt;2210000,K100&lt;2250000),VLOOKUP(2210000,源泉DB!$B$259:$K$259,L100+3)+ROUNDDOWN((K100-2210000)*40.84%,0),IF(AND(K100&gt;2170000,K100&lt;2210000),VLOOKUP(2170000,源泉DB!$B$258:$K$258,L100+3)+ROUNDDOWN((K100-2170000)*40.84%,0),IF(AND(K100&gt;1700000,K100&lt;2170000),VLOOKUP(1700000,源泉DB!$B$257:$K$257,L100+3)+ROUNDDOWN((K100-1700000)*40.84%,0),IF(AND(K100&gt;950000,K100&lt;1700000),VLOOKUP(950000,源泉DB!$B$256:$K$256,L100+3)+ROUNDDOWN((K100-950000)*33.693%,0),IF(AND(K100&gt;780000,K100&lt;950000),VLOOKUP(780000,源泉DB!$B$255:$K$255,L100+3)+ROUNDDOWN((K100-780000)*23.483%,0),IF(AND(K100&gt;740000,K100&lt;780000),VLOOKUP(740000,源泉DB!$B$254:$K$254,L100+3)+ROUNDDOWN((K100-740000)*20.42%,0),VLOOKUP(K100,源泉DB!$B$8:$K$299,L100+3))))))))),IF(F100="乙",IF(K100&gt;1700000,651900+(K100-1700000) *45.945%,IF(K100=1700000,651900,IF(AND(K100&gt;740000,K100&lt;1700000),259800+(K100-740000)*40.84%,IF(K100=740000,259800,IF(K100&lt;88000,ROUNDDOWN(K100*3.063%,9),VLOOKUP(K100,源泉DB!$B$8:$L$254,11)))))),"")),"")</f>
        <v/>
      </c>
      <c r="U100" s="165"/>
      <c r="V100" s="166"/>
      <c r="W100" s="166"/>
      <c r="X100" s="166"/>
      <c r="Y100" s="166"/>
      <c r="Z100" s="178">
        <f>ROUND(IFERROR(IF(($G100="加入"),VLOOKUP($I100,年金DB!$G$16:$P$65,6,TRUE),0),0)-0.1,0)</f>
        <v>0</v>
      </c>
      <c r="AA100" s="178">
        <f>ROUND(IFERROR(IF(AND($G100="加入",$D100&gt;=40,$D100&lt;=64),VLOOKUP($I100,年金DB!$G$16:$P$65,10,TRUE),0),0)-0.1,0)</f>
        <v>0</v>
      </c>
      <c r="AB100" s="178">
        <f>ROUND(IFERROR(IF(AND($G100="加入",$D100&lt;40),VLOOKUP($J100,年金DB!$G$16:$X$62,14,TRUE),IF(AND($G100="加入",$D100&gt;=40),VLOOKUP($J100,年金DB!$G$16:$X$62,14,TRUE),"0")),0)-0.1,0)</f>
        <v>0</v>
      </c>
      <c r="AC100" s="178">
        <f t="shared" si="13"/>
        <v>0</v>
      </c>
      <c r="AD100" s="21">
        <f t="shared" si="10"/>
        <v>0</v>
      </c>
      <c r="AE100" s="173">
        <f t="shared" si="11"/>
        <v>0</v>
      </c>
      <c r="AF100" s="14" t="str">
        <f t="shared" si="12"/>
        <v/>
      </c>
      <c r="AG100" s="14"/>
      <c r="AH100" s="14"/>
    </row>
    <row r="101" spans="1:34">
      <c r="A101" s="28"/>
      <c r="B101" s="180"/>
      <c r="C101" s="188"/>
      <c r="D101" s="161"/>
      <c r="E101" s="162"/>
      <c r="F101" s="162"/>
      <c r="G101" s="163"/>
      <c r="H101" s="285"/>
      <c r="I101" s="282"/>
      <c r="J101" s="16"/>
      <c r="K101" s="18">
        <f t="shared" si="8"/>
        <v>0</v>
      </c>
      <c r="L101" s="288">
        <v>0</v>
      </c>
      <c r="M101" s="291"/>
      <c r="N101" s="164"/>
      <c r="O101" s="164"/>
      <c r="P101" s="164"/>
      <c r="Q101" s="175">
        <f t="shared" si="14"/>
        <v>0</v>
      </c>
      <c r="R101" s="164"/>
      <c r="S101" s="197">
        <f t="shared" si="9"/>
        <v>0</v>
      </c>
      <c r="T101" s="201" t="str" cm="1">
        <f t="array" ref="T101">IFERROR(IF(F101="甲",IF(K101&gt;3500000,VLOOKUP(3500000,源泉DB!$B$261:$L$261,L101+3)+ROUNDDOWN((K101-3500000)*45.945%,0),IF(AND(K101&gt;2250000,K101&lt;3500000),VLOOKUP(2250000,源泉DB!$B$260:$K$260,L101+3)+ROUNDDOWN((K101-2250000)*40.84%,0),IF(AND(K101&gt;2210000,K101&lt;2250000),VLOOKUP(2210000,源泉DB!$B$259:$K$259,L101+3)+ROUNDDOWN((K101-2210000)*40.84%,0),IF(AND(K101&gt;2170000,K101&lt;2210000),VLOOKUP(2170000,源泉DB!$B$258:$K$258,L101+3)+ROUNDDOWN((K101-2170000)*40.84%,0),IF(AND(K101&gt;1700000,K101&lt;2170000),VLOOKUP(1700000,源泉DB!$B$257:$K$257,L101+3)+ROUNDDOWN((K101-1700000)*40.84%,0),IF(AND(K101&gt;950000,K101&lt;1700000),VLOOKUP(950000,源泉DB!$B$256:$K$256,L101+3)+ROUNDDOWN((K101-950000)*33.693%,0),IF(AND(K101&gt;780000,K101&lt;950000),VLOOKUP(780000,源泉DB!$B$255:$K$255,L101+3)+ROUNDDOWN((K101-780000)*23.483%,0),IF(AND(K101&gt;740000,K101&lt;780000),VLOOKUP(740000,源泉DB!$B$254:$K$254,L101+3)+ROUNDDOWN((K101-740000)*20.42%,0),VLOOKUP(K101,源泉DB!$B$8:$K$299,L101+3))))))))),IF(F101="乙",IF(K101&gt;1700000,651900+(K101-1700000) *45.945%,IF(K101=1700000,651900,IF(AND(K101&gt;740000,K101&lt;1700000),259800+(K101-740000)*40.84%,IF(K101=740000,259800,IF(K101&lt;88000,ROUNDDOWN(K101*3.063%,9),VLOOKUP(K101,源泉DB!$B$8:$L$254,11)))))),"")),"")</f>
        <v/>
      </c>
      <c r="U101" s="165"/>
      <c r="V101" s="166"/>
      <c r="W101" s="166"/>
      <c r="X101" s="166"/>
      <c r="Y101" s="166"/>
      <c r="Z101" s="178">
        <f>ROUND(IFERROR(IF(($G101="加入"),VLOOKUP($I101,年金DB!$G$16:$P$65,6,TRUE),0),0)-0.1,0)</f>
        <v>0</v>
      </c>
      <c r="AA101" s="178">
        <f>ROUND(IFERROR(IF(AND($G101="加入",$D101&gt;=40,$D101&lt;=64),VLOOKUP($I101,年金DB!$G$16:$P$65,10,TRUE),0),0)-0.1,0)</f>
        <v>0</v>
      </c>
      <c r="AB101" s="178">
        <f>ROUND(IFERROR(IF(AND($G101="加入",$D101&lt;40),VLOOKUP($J101,年金DB!$G$16:$X$62,14,TRUE),IF(AND($G101="加入",$D101&gt;=40),VLOOKUP($J101,年金DB!$G$16:$X$62,14,TRUE),"0")),0)-0.1,0)</f>
        <v>0</v>
      </c>
      <c r="AC101" s="178">
        <f t="shared" si="13"/>
        <v>0</v>
      </c>
      <c r="AD101" s="21">
        <f t="shared" si="10"/>
        <v>0</v>
      </c>
      <c r="AE101" s="173">
        <f t="shared" si="11"/>
        <v>0</v>
      </c>
      <c r="AF101" s="14" t="str">
        <f t="shared" si="12"/>
        <v/>
      </c>
      <c r="AG101" s="14"/>
      <c r="AH101" s="14"/>
    </row>
    <row r="102" spans="1:34">
      <c r="A102" s="28"/>
      <c r="B102" s="180"/>
      <c r="C102" s="188"/>
      <c r="D102" s="161"/>
      <c r="E102" s="162"/>
      <c r="F102" s="162"/>
      <c r="G102" s="163"/>
      <c r="H102" s="285"/>
      <c r="I102" s="282"/>
      <c r="J102" s="16"/>
      <c r="K102" s="18">
        <f t="shared" si="8"/>
        <v>0</v>
      </c>
      <c r="L102" s="288">
        <v>0</v>
      </c>
      <c r="M102" s="291"/>
      <c r="N102" s="164"/>
      <c r="O102" s="164"/>
      <c r="P102" s="164"/>
      <c r="Q102" s="175">
        <f t="shared" si="14"/>
        <v>0</v>
      </c>
      <c r="R102" s="164"/>
      <c r="S102" s="197">
        <f t="shared" si="9"/>
        <v>0</v>
      </c>
      <c r="T102" s="201" t="str" cm="1">
        <f t="array" ref="T102">IFERROR(IF(F102="甲",IF(K102&gt;3500000,VLOOKUP(3500000,源泉DB!$B$261:$L$261,L102+3)+ROUNDDOWN((K102-3500000)*45.945%,0),IF(AND(K102&gt;2250000,K102&lt;3500000),VLOOKUP(2250000,源泉DB!$B$260:$K$260,L102+3)+ROUNDDOWN((K102-2250000)*40.84%,0),IF(AND(K102&gt;2210000,K102&lt;2250000),VLOOKUP(2210000,源泉DB!$B$259:$K$259,L102+3)+ROUNDDOWN((K102-2210000)*40.84%,0),IF(AND(K102&gt;2170000,K102&lt;2210000),VLOOKUP(2170000,源泉DB!$B$258:$K$258,L102+3)+ROUNDDOWN((K102-2170000)*40.84%,0),IF(AND(K102&gt;1700000,K102&lt;2170000),VLOOKUP(1700000,源泉DB!$B$257:$K$257,L102+3)+ROUNDDOWN((K102-1700000)*40.84%,0),IF(AND(K102&gt;950000,K102&lt;1700000),VLOOKUP(950000,源泉DB!$B$256:$K$256,L102+3)+ROUNDDOWN((K102-950000)*33.693%,0),IF(AND(K102&gt;780000,K102&lt;950000),VLOOKUP(780000,源泉DB!$B$255:$K$255,L102+3)+ROUNDDOWN((K102-780000)*23.483%,0),IF(AND(K102&gt;740000,K102&lt;780000),VLOOKUP(740000,源泉DB!$B$254:$K$254,L102+3)+ROUNDDOWN((K102-740000)*20.42%,0),VLOOKUP(K102,源泉DB!$B$8:$K$299,L102+3))))))))),IF(F102="乙",IF(K102&gt;1700000,651900+(K102-1700000) *45.945%,IF(K102=1700000,651900,IF(AND(K102&gt;740000,K102&lt;1700000),259800+(K102-740000)*40.84%,IF(K102=740000,259800,IF(K102&lt;88000,ROUNDDOWN(K102*3.063%,9),VLOOKUP(K102,源泉DB!$B$8:$L$254,11)))))),"")),"")</f>
        <v/>
      </c>
      <c r="U102" s="165"/>
      <c r="V102" s="166"/>
      <c r="W102" s="166"/>
      <c r="X102" s="166"/>
      <c r="Y102" s="166"/>
      <c r="Z102" s="178">
        <f>ROUND(IFERROR(IF(($G102="加入"),VLOOKUP($I102,年金DB!$G$16:$P$65,6,TRUE),0),0)-0.1,0)</f>
        <v>0</v>
      </c>
      <c r="AA102" s="178">
        <f>ROUND(IFERROR(IF(AND($G102="加入",$D102&gt;=40,$D102&lt;=64),VLOOKUP($I102,年金DB!$G$16:$P$65,10,TRUE),0),0)-0.1,0)</f>
        <v>0</v>
      </c>
      <c r="AB102" s="178">
        <f>ROUND(IFERROR(IF(AND($G102="加入",$D102&lt;40),VLOOKUP($J102,年金DB!$G$16:$X$62,14,TRUE),IF(AND($G102="加入",$D102&gt;=40),VLOOKUP($J102,年金DB!$G$16:$X$62,14,TRUE),"0")),0)-0.1,0)</f>
        <v>0</v>
      </c>
      <c r="AC102" s="178">
        <f t="shared" si="13"/>
        <v>0</v>
      </c>
      <c r="AD102" s="21">
        <f t="shared" si="10"/>
        <v>0</v>
      </c>
      <c r="AE102" s="173">
        <f t="shared" si="11"/>
        <v>0</v>
      </c>
      <c r="AF102" s="14" t="str">
        <f t="shared" si="12"/>
        <v/>
      </c>
      <c r="AG102" s="14"/>
      <c r="AH102" s="14"/>
    </row>
    <row r="103" spans="1:34">
      <c r="A103" s="28"/>
      <c r="B103" s="180"/>
      <c r="C103" s="188"/>
      <c r="D103" s="161"/>
      <c r="E103" s="162"/>
      <c r="F103" s="162"/>
      <c r="G103" s="163"/>
      <c r="H103" s="285"/>
      <c r="I103" s="282"/>
      <c r="J103" s="16"/>
      <c r="K103" s="18">
        <f t="shared" si="8"/>
        <v>0</v>
      </c>
      <c r="L103" s="288">
        <v>0</v>
      </c>
      <c r="M103" s="291"/>
      <c r="N103" s="164"/>
      <c r="O103" s="164"/>
      <c r="P103" s="164"/>
      <c r="Q103" s="175">
        <f t="shared" si="14"/>
        <v>0</v>
      </c>
      <c r="R103" s="164"/>
      <c r="S103" s="197">
        <f t="shared" si="9"/>
        <v>0</v>
      </c>
      <c r="T103" s="201" t="str" cm="1">
        <f t="array" ref="T103">IFERROR(IF(F103="甲",IF(K103&gt;3500000,VLOOKUP(3500000,源泉DB!$B$261:$L$261,L103+3)+ROUNDDOWN((K103-3500000)*45.945%,0),IF(AND(K103&gt;2250000,K103&lt;3500000),VLOOKUP(2250000,源泉DB!$B$260:$K$260,L103+3)+ROUNDDOWN((K103-2250000)*40.84%,0),IF(AND(K103&gt;2210000,K103&lt;2250000),VLOOKUP(2210000,源泉DB!$B$259:$K$259,L103+3)+ROUNDDOWN((K103-2210000)*40.84%,0),IF(AND(K103&gt;2170000,K103&lt;2210000),VLOOKUP(2170000,源泉DB!$B$258:$K$258,L103+3)+ROUNDDOWN((K103-2170000)*40.84%,0),IF(AND(K103&gt;1700000,K103&lt;2170000),VLOOKUP(1700000,源泉DB!$B$257:$K$257,L103+3)+ROUNDDOWN((K103-1700000)*40.84%,0),IF(AND(K103&gt;950000,K103&lt;1700000),VLOOKUP(950000,源泉DB!$B$256:$K$256,L103+3)+ROUNDDOWN((K103-950000)*33.693%,0),IF(AND(K103&gt;780000,K103&lt;950000),VLOOKUP(780000,源泉DB!$B$255:$K$255,L103+3)+ROUNDDOWN((K103-780000)*23.483%,0),IF(AND(K103&gt;740000,K103&lt;780000),VLOOKUP(740000,源泉DB!$B$254:$K$254,L103+3)+ROUNDDOWN((K103-740000)*20.42%,0),VLOOKUP(K103,源泉DB!$B$8:$K$299,L103+3))))))))),IF(F103="乙",IF(K103&gt;1700000,651900+(K103-1700000) *45.945%,IF(K103=1700000,651900,IF(AND(K103&gt;740000,K103&lt;1700000),259800+(K103-740000)*40.84%,IF(K103=740000,259800,IF(K103&lt;88000,ROUNDDOWN(K103*3.063%,9),VLOOKUP(K103,源泉DB!$B$8:$L$254,11)))))),"")),"")</f>
        <v/>
      </c>
      <c r="U103" s="165"/>
      <c r="V103" s="166"/>
      <c r="W103" s="166"/>
      <c r="X103" s="166"/>
      <c r="Y103" s="166"/>
      <c r="Z103" s="178">
        <f>ROUND(IFERROR(IF(($G103="加入"),VLOOKUP($I103,年金DB!$G$16:$P$65,6,TRUE),0),0)-0.1,0)</f>
        <v>0</v>
      </c>
      <c r="AA103" s="178">
        <f>ROUND(IFERROR(IF(AND($G103="加入",$D103&gt;=40,$D103&lt;=64),VLOOKUP($I103,年金DB!$G$16:$P$65,10,TRUE),0),0)-0.1,0)</f>
        <v>0</v>
      </c>
      <c r="AB103" s="178">
        <f>ROUND(IFERROR(IF(AND($G103="加入",$D103&lt;40),VLOOKUP($J103,年金DB!$G$16:$X$62,14,TRUE),IF(AND($G103="加入",$D103&gt;=40),VLOOKUP($J103,年金DB!$G$16:$X$62,14,TRUE),"0")),0)-0.1,0)</f>
        <v>0</v>
      </c>
      <c r="AC103" s="178">
        <f t="shared" si="13"/>
        <v>0</v>
      </c>
      <c r="AD103" s="21">
        <f t="shared" si="10"/>
        <v>0</v>
      </c>
      <c r="AE103" s="173">
        <f t="shared" si="11"/>
        <v>0</v>
      </c>
      <c r="AF103" s="14" t="str">
        <f t="shared" si="12"/>
        <v/>
      </c>
      <c r="AG103" s="14"/>
      <c r="AH103" s="14"/>
    </row>
    <row r="104" spans="1:34">
      <c r="A104" s="28"/>
      <c r="B104" s="180"/>
      <c r="C104" s="188"/>
      <c r="D104" s="161"/>
      <c r="E104" s="162"/>
      <c r="F104" s="162"/>
      <c r="G104" s="163"/>
      <c r="H104" s="285"/>
      <c r="I104" s="282"/>
      <c r="J104" s="16"/>
      <c r="K104" s="18">
        <f t="shared" si="8"/>
        <v>0</v>
      </c>
      <c r="L104" s="288">
        <v>0</v>
      </c>
      <c r="M104" s="291"/>
      <c r="N104" s="164"/>
      <c r="O104" s="164"/>
      <c r="P104" s="164"/>
      <c r="Q104" s="175">
        <f t="shared" si="14"/>
        <v>0</v>
      </c>
      <c r="R104" s="164"/>
      <c r="S104" s="197">
        <f t="shared" si="9"/>
        <v>0</v>
      </c>
      <c r="T104" s="201" t="str" cm="1">
        <f t="array" ref="T104">IFERROR(IF(F104="甲",IF(K104&gt;3500000,VLOOKUP(3500000,源泉DB!$B$261:$L$261,L104+3)+ROUNDDOWN((K104-3500000)*45.945%,0),IF(AND(K104&gt;2250000,K104&lt;3500000),VLOOKUP(2250000,源泉DB!$B$260:$K$260,L104+3)+ROUNDDOWN((K104-2250000)*40.84%,0),IF(AND(K104&gt;2210000,K104&lt;2250000),VLOOKUP(2210000,源泉DB!$B$259:$K$259,L104+3)+ROUNDDOWN((K104-2210000)*40.84%,0),IF(AND(K104&gt;2170000,K104&lt;2210000),VLOOKUP(2170000,源泉DB!$B$258:$K$258,L104+3)+ROUNDDOWN((K104-2170000)*40.84%,0),IF(AND(K104&gt;1700000,K104&lt;2170000),VLOOKUP(1700000,源泉DB!$B$257:$K$257,L104+3)+ROUNDDOWN((K104-1700000)*40.84%,0),IF(AND(K104&gt;950000,K104&lt;1700000),VLOOKUP(950000,源泉DB!$B$256:$K$256,L104+3)+ROUNDDOWN((K104-950000)*33.693%,0),IF(AND(K104&gt;780000,K104&lt;950000),VLOOKUP(780000,源泉DB!$B$255:$K$255,L104+3)+ROUNDDOWN((K104-780000)*23.483%,0),IF(AND(K104&gt;740000,K104&lt;780000),VLOOKUP(740000,源泉DB!$B$254:$K$254,L104+3)+ROUNDDOWN((K104-740000)*20.42%,0),VLOOKUP(K104,源泉DB!$B$8:$K$299,L104+3))))))))),IF(F104="乙",IF(K104&gt;1700000,651900+(K104-1700000) *45.945%,IF(K104=1700000,651900,IF(AND(K104&gt;740000,K104&lt;1700000),259800+(K104-740000)*40.84%,IF(K104=740000,259800,IF(K104&lt;88000,ROUNDDOWN(K104*3.063%,9),VLOOKUP(K104,源泉DB!$B$8:$L$254,11)))))),"")),"")</f>
        <v/>
      </c>
      <c r="U104" s="165"/>
      <c r="V104" s="166"/>
      <c r="W104" s="166"/>
      <c r="X104" s="166"/>
      <c r="Y104" s="166"/>
      <c r="Z104" s="178">
        <f>ROUND(IFERROR(IF(($G104="加入"),VLOOKUP($I104,年金DB!$G$16:$P$65,6,TRUE),0),0)-0.1,0)</f>
        <v>0</v>
      </c>
      <c r="AA104" s="178">
        <f>ROUND(IFERROR(IF(AND($G104="加入",$D104&gt;=40,$D104&lt;=64),VLOOKUP($I104,年金DB!$G$16:$P$65,10,TRUE),0),0)-0.1,0)</f>
        <v>0</v>
      </c>
      <c r="AB104" s="178">
        <f>ROUND(IFERROR(IF(AND($G104="加入",$D104&lt;40),VLOOKUP($J104,年金DB!$G$16:$X$62,14,TRUE),IF(AND($G104="加入",$D104&gt;=40),VLOOKUP($J104,年金DB!$G$16:$X$62,14,TRUE),"0")),0)-0.1,0)</f>
        <v>0</v>
      </c>
      <c r="AC104" s="178">
        <f t="shared" si="13"/>
        <v>0</v>
      </c>
      <c r="AD104" s="21">
        <f t="shared" si="10"/>
        <v>0</v>
      </c>
      <c r="AE104" s="173">
        <f t="shared" si="11"/>
        <v>0</v>
      </c>
      <c r="AF104" s="14" t="str">
        <f t="shared" si="12"/>
        <v/>
      </c>
      <c r="AG104" s="14"/>
      <c r="AH104" s="14"/>
    </row>
    <row r="105" spans="1:34">
      <c r="A105" s="28"/>
      <c r="B105" s="180"/>
      <c r="C105" s="188"/>
      <c r="D105" s="161"/>
      <c r="E105" s="162"/>
      <c r="F105" s="162"/>
      <c r="G105" s="163"/>
      <c r="H105" s="285"/>
      <c r="I105" s="282"/>
      <c r="J105" s="16"/>
      <c r="K105" s="18">
        <f t="shared" si="8"/>
        <v>0</v>
      </c>
      <c r="L105" s="288">
        <v>0</v>
      </c>
      <c r="M105" s="291"/>
      <c r="N105" s="164"/>
      <c r="O105" s="164"/>
      <c r="P105" s="164"/>
      <c r="Q105" s="175">
        <f t="shared" si="14"/>
        <v>0</v>
      </c>
      <c r="R105" s="164"/>
      <c r="S105" s="197">
        <f t="shared" si="9"/>
        <v>0</v>
      </c>
      <c r="T105" s="201" t="str" cm="1">
        <f t="array" ref="T105">IFERROR(IF(F105="甲",IF(K105&gt;3500000,VLOOKUP(3500000,源泉DB!$B$261:$L$261,L105+3)+ROUNDDOWN((K105-3500000)*45.945%,0),IF(AND(K105&gt;2250000,K105&lt;3500000),VLOOKUP(2250000,源泉DB!$B$260:$K$260,L105+3)+ROUNDDOWN((K105-2250000)*40.84%,0),IF(AND(K105&gt;2210000,K105&lt;2250000),VLOOKUP(2210000,源泉DB!$B$259:$K$259,L105+3)+ROUNDDOWN((K105-2210000)*40.84%,0),IF(AND(K105&gt;2170000,K105&lt;2210000),VLOOKUP(2170000,源泉DB!$B$258:$K$258,L105+3)+ROUNDDOWN((K105-2170000)*40.84%,0),IF(AND(K105&gt;1700000,K105&lt;2170000),VLOOKUP(1700000,源泉DB!$B$257:$K$257,L105+3)+ROUNDDOWN((K105-1700000)*40.84%,0),IF(AND(K105&gt;950000,K105&lt;1700000),VLOOKUP(950000,源泉DB!$B$256:$K$256,L105+3)+ROUNDDOWN((K105-950000)*33.693%,0),IF(AND(K105&gt;780000,K105&lt;950000),VLOOKUP(780000,源泉DB!$B$255:$K$255,L105+3)+ROUNDDOWN((K105-780000)*23.483%,0),IF(AND(K105&gt;740000,K105&lt;780000),VLOOKUP(740000,源泉DB!$B$254:$K$254,L105+3)+ROUNDDOWN((K105-740000)*20.42%,0),VLOOKUP(K105,源泉DB!$B$8:$K$299,L105+3))))))))),IF(F105="乙",IF(K105&gt;1700000,651900+(K105-1700000) *45.945%,IF(K105=1700000,651900,IF(AND(K105&gt;740000,K105&lt;1700000),259800+(K105-740000)*40.84%,IF(K105=740000,259800,IF(K105&lt;88000,ROUNDDOWN(K105*3.063%,9),VLOOKUP(K105,源泉DB!$B$8:$L$254,11)))))),"")),"")</f>
        <v/>
      </c>
      <c r="U105" s="165"/>
      <c r="V105" s="166"/>
      <c r="W105" s="166"/>
      <c r="X105" s="166"/>
      <c r="Y105" s="166"/>
      <c r="Z105" s="178">
        <f>ROUND(IFERROR(IF(($G105="加入"),VLOOKUP($I105,年金DB!$G$16:$P$65,6,TRUE),0),0)-0.1,0)</f>
        <v>0</v>
      </c>
      <c r="AA105" s="178">
        <f>ROUND(IFERROR(IF(AND($G105="加入",$D105&gt;=40,$D105&lt;=64),VLOOKUP($I105,年金DB!$G$16:$P$65,10,TRUE),0),0)-0.1,0)</f>
        <v>0</v>
      </c>
      <c r="AB105" s="178">
        <f>ROUND(IFERROR(IF(AND($G105="加入",$D105&lt;40),VLOOKUP($J105,年金DB!$G$16:$X$62,14,TRUE),IF(AND($G105="加入",$D105&gt;=40),VLOOKUP($J105,年金DB!$G$16:$X$62,14,TRUE),"0")),0)-0.1,0)</f>
        <v>0</v>
      </c>
      <c r="AC105" s="178">
        <f t="shared" si="13"/>
        <v>0</v>
      </c>
      <c r="AD105" s="21">
        <f t="shared" si="10"/>
        <v>0</v>
      </c>
      <c r="AE105" s="173">
        <f t="shared" si="11"/>
        <v>0</v>
      </c>
      <c r="AF105" s="14" t="str">
        <f t="shared" si="12"/>
        <v/>
      </c>
      <c r="AG105" s="14"/>
      <c r="AH105" s="14"/>
    </row>
    <row r="106" spans="1:34">
      <c r="A106" s="28"/>
      <c r="B106" s="180"/>
      <c r="C106" s="188"/>
      <c r="D106" s="161"/>
      <c r="E106" s="162"/>
      <c r="F106" s="162"/>
      <c r="G106" s="163"/>
      <c r="H106" s="285"/>
      <c r="I106" s="282"/>
      <c r="J106" s="16"/>
      <c r="K106" s="18">
        <f t="shared" si="8"/>
        <v>0</v>
      </c>
      <c r="L106" s="288">
        <v>0</v>
      </c>
      <c r="M106" s="291"/>
      <c r="N106" s="164"/>
      <c r="O106" s="164"/>
      <c r="P106" s="164"/>
      <c r="Q106" s="175">
        <f t="shared" si="14"/>
        <v>0</v>
      </c>
      <c r="R106" s="164"/>
      <c r="S106" s="197">
        <f t="shared" si="9"/>
        <v>0</v>
      </c>
      <c r="T106" s="201" t="str" cm="1">
        <f t="array" ref="T106">IFERROR(IF(F106="甲",IF(K106&gt;3500000,VLOOKUP(3500000,源泉DB!$B$261:$L$261,L106+3)+ROUNDDOWN((K106-3500000)*45.945%,0),IF(AND(K106&gt;2250000,K106&lt;3500000),VLOOKUP(2250000,源泉DB!$B$260:$K$260,L106+3)+ROUNDDOWN((K106-2250000)*40.84%,0),IF(AND(K106&gt;2210000,K106&lt;2250000),VLOOKUP(2210000,源泉DB!$B$259:$K$259,L106+3)+ROUNDDOWN((K106-2210000)*40.84%,0),IF(AND(K106&gt;2170000,K106&lt;2210000),VLOOKUP(2170000,源泉DB!$B$258:$K$258,L106+3)+ROUNDDOWN((K106-2170000)*40.84%,0),IF(AND(K106&gt;1700000,K106&lt;2170000),VLOOKUP(1700000,源泉DB!$B$257:$K$257,L106+3)+ROUNDDOWN((K106-1700000)*40.84%,0),IF(AND(K106&gt;950000,K106&lt;1700000),VLOOKUP(950000,源泉DB!$B$256:$K$256,L106+3)+ROUNDDOWN((K106-950000)*33.693%,0),IF(AND(K106&gt;780000,K106&lt;950000),VLOOKUP(780000,源泉DB!$B$255:$K$255,L106+3)+ROUNDDOWN((K106-780000)*23.483%,0),IF(AND(K106&gt;740000,K106&lt;780000),VLOOKUP(740000,源泉DB!$B$254:$K$254,L106+3)+ROUNDDOWN((K106-740000)*20.42%,0),VLOOKUP(K106,源泉DB!$B$8:$K$299,L106+3))))))))),IF(F106="乙",IF(K106&gt;1700000,651900+(K106-1700000) *45.945%,IF(K106=1700000,651900,IF(AND(K106&gt;740000,K106&lt;1700000),259800+(K106-740000)*40.84%,IF(K106=740000,259800,IF(K106&lt;88000,ROUNDDOWN(K106*3.063%,9),VLOOKUP(K106,源泉DB!$B$8:$L$254,11)))))),"")),"")</f>
        <v/>
      </c>
      <c r="U106" s="165"/>
      <c r="V106" s="166"/>
      <c r="W106" s="166"/>
      <c r="X106" s="166"/>
      <c r="Y106" s="166"/>
      <c r="Z106" s="178">
        <f>ROUND(IFERROR(IF(($G106="加入"),VLOOKUP($I106,年金DB!$G$16:$P$65,6,TRUE),0),0)-0.1,0)</f>
        <v>0</v>
      </c>
      <c r="AA106" s="178">
        <f>ROUND(IFERROR(IF(AND($G106="加入",$D106&gt;=40,$D106&lt;=64),VLOOKUP($I106,年金DB!$G$16:$P$65,10,TRUE),0),0)-0.1,0)</f>
        <v>0</v>
      </c>
      <c r="AB106" s="178">
        <f>ROUND(IFERROR(IF(AND($G106="加入",$D106&lt;40),VLOOKUP($J106,年金DB!$G$16:$X$62,14,TRUE),IF(AND($G106="加入",$D106&gt;=40),VLOOKUP($J106,年金DB!$G$16:$X$62,14,TRUE),"0")),0)-0.1,0)</f>
        <v>0</v>
      </c>
      <c r="AC106" s="178">
        <f t="shared" si="13"/>
        <v>0</v>
      </c>
      <c r="AD106" s="21">
        <f t="shared" si="10"/>
        <v>0</v>
      </c>
      <c r="AE106" s="173">
        <f t="shared" si="11"/>
        <v>0</v>
      </c>
      <c r="AF106" s="14" t="str">
        <f t="shared" si="12"/>
        <v/>
      </c>
      <c r="AG106" s="14"/>
      <c r="AH106" s="14"/>
    </row>
    <row r="107" spans="1:34">
      <c r="A107" s="28"/>
      <c r="B107" s="180"/>
      <c r="C107" s="188"/>
      <c r="D107" s="161"/>
      <c r="E107" s="162"/>
      <c r="F107" s="162"/>
      <c r="G107" s="163"/>
      <c r="H107" s="285"/>
      <c r="I107" s="282"/>
      <c r="J107" s="16"/>
      <c r="K107" s="18">
        <f t="shared" si="8"/>
        <v>0</v>
      </c>
      <c r="L107" s="288">
        <v>0</v>
      </c>
      <c r="M107" s="291"/>
      <c r="N107" s="164"/>
      <c r="O107" s="164"/>
      <c r="P107" s="164"/>
      <c r="Q107" s="175">
        <f t="shared" si="14"/>
        <v>0</v>
      </c>
      <c r="R107" s="164"/>
      <c r="S107" s="197">
        <f t="shared" si="9"/>
        <v>0</v>
      </c>
      <c r="T107" s="201" t="str" cm="1">
        <f t="array" ref="T107">IFERROR(IF(F107="甲",IF(K107&gt;3500000,VLOOKUP(3500000,源泉DB!$B$261:$L$261,L107+3)+ROUNDDOWN((K107-3500000)*45.945%,0),IF(AND(K107&gt;2250000,K107&lt;3500000),VLOOKUP(2250000,源泉DB!$B$260:$K$260,L107+3)+ROUNDDOWN((K107-2250000)*40.84%,0),IF(AND(K107&gt;2210000,K107&lt;2250000),VLOOKUP(2210000,源泉DB!$B$259:$K$259,L107+3)+ROUNDDOWN((K107-2210000)*40.84%,0),IF(AND(K107&gt;2170000,K107&lt;2210000),VLOOKUP(2170000,源泉DB!$B$258:$K$258,L107+3)+ROUNDDOWN((K107-2170000)*40.84%,0),IF(AND(K107&gt;1700000,K107&lt;2170000),VLOOKUP(1700000,源泉DB!$B$257:$K$257,L107+3)+ROUNDDOWN((K107-1700000)*40.84%,0),IF(AND(K107&gt;950000,K107&lt;1700000),VLOOKUP(950000,源泉DB!$B$256:$K$256,L107+3)+ROUNDDOWN((K107-950000)*33.693%,0),IF(AND(K107&gt;780000,K107&lt;950000),VLOOKUP(780000,源泉DB!$B$255:$K$255,L107+3)+ROUNDDOWN((K107-780000)*23.483%,0),IF(AND(K107&gt;740000,K107&lt;780000),VLOOKUP(740000,源泉DB!$B$254:$K$254,L107+3)+ROUNDDOWN((K107-740000)*20.42%,0),VLOOKUP(K107,源泉DB!$B$8:$K$299,L107+3))))))))),IF(F107="乙",IF(K107&gt;1700000,651900+(K107-1700000) *45.945%,IF(K107=1700000,651900,IF(AND(K107&gt;740000,K107&lt;1700000),259800+(K107-740000)*40.84%,IF(K107=740000,259800,IF(K107&lt;88000,ROUNDDOWN(K107*3.063%,9),VLOOKUP(K107,源泉DB!$B$8:$L$254,11)))))),"")),"")</f>
        <v/>
      </c>
      <c r="U107" s="165"/>
      <c r="V107" s="166"/>
      <c r="W107" s="166"/>
      <c r="X107" s="166"/>
      <c r="Y107" s="166"/>
      <c r="Z107" s="178">
        <f>ROUND(IFERROR(IF(($G107="加入"),VLOOKUP($I107,年金DB!$G$16:$P$65,6,TRUE),0),0)-0.1,0)</f>
        <v>0</v>
      </c>
      <c r="AA107" s="178">
        <f>ROUND(IFERROR(IF(AND($G107="加入",$D107&gt;=40,$D107&lt;=64),VLOOKUP($I107,年金DB!$G$16:$P$65,10,TRUE),0),0)-0.1,0)</f>
        <v>0</v>
      </c>
      <c r="AB107" s="178">
        <f>ROUND(IFERROR(IF(AND($G107="加入",$D107&lt;40),VLOOKUP($J107,年金DB!$G$16:$X$62,14,TRUE),IF(AND($G107="加入",$D107&gt;=40),VLOOKUP($J107,年金DB!$G$16:$X$62,14,TRUE),"0")),0)-0.1,0)</f>
        <v>0</v>
      </c>
      <c r="AC107" s="178">
        <f t="shared" si="13"/>
        <v>0</v>
      </c>
      <c r="AD107" s="21">
        <f t="shared" si="10"/>
        <v>0</v>
      </c>
      <c r="AE107" s="173">
        <f t="shared" si="11"/>
        <v>0</v>
      </c>
      <c r="AF107" s="14" t="str">
        <f t="shared" si="12"/>
        <v/>
      </c>
      <c r="AG107" s="14"/>
      <c r="AH107" s="14"/>
    </row>
    <row r="108" spans="1:34">
      <c r="A108" s="28"/>
      <c r="B108" s="180"/>
      <c r="C108" s="188"/>
      <c r="D108" s="161"/>
      <c r="E108" s="162"/>
      <c r="F108" s="162"/>
      <c r="G108" s="163"/>
      <c r="H108" s="285"/>
      <c r="I108" s="282"/>
      <c r="J108" s="16"/>
      <c r="K108" s="18">
        <f t="shared" si="8"/>
        <v>0</v>
      </c>
      <c r="L108" s="288">
        <v>0</v>
      </c>
      <c r="M108" s="291"/>
      <c r="N108" s="164"/>
      <c r="O108" s="164"/>
      <c r="P108" s="164"/>
      <c r="Q108" s="175">
        <f t="shared" si="14"/>
        <v>0</v>
      </c>
      <c r="R108" s="164"/>
      <c r="S108" s="197">
        <f t="shared" si="9"/>
        <v>0</v>
      </c>
      <c r="T108" s="201" t="str" cm="1">
        <f t="array" ref="T108">IFERROR(IF(F108="甲",IF(K108&gt;3500000,VLOOKUP(3500000,源泉DB!$B$261:$L$261,L108+3)+ROUNDDOWN((K108-3500000)*45.945%,0),IF(AND(K108&gt;2250000,K108&lt;3500000),VLOOKUP(2250000,源泉DB!$B$260:$K$260,L108+3)+ROUNDDOWN((K108-2250000)*40.84%,0),IF(AND(K108&gt;2210000,K108&lt;2250000),VLOOKUP(2210000,源泉DB!$B$259:$K$259,L108+3)+ROUNDDOWN((K108-2210000)*40.84%,0),IF(AND(K108&gt;2170000,K108&lt;2210000),VLOOKUP(2170000,源泉DB!$B$258:$K$258,L108+3)+ROUNDDOWN((K108-2170000)*40.84%,0),IF(AND(K108&gt;1700000,K108&lt;2170000),VLOOKUP(1700000,源泉DB!$B$257:$K$257,L108+3)+ROUNDDOWN((K108-1700000)*40.84%,0),IF(AND(K108&gt;950000,K108&lt;1700000),VLOOKUP(950000,源泉DB!$B$256:$K$256,L108+3)+ROUNDDOWN((K108-950000)*33.693%,0),IF(AND(K108&gt;780000,K108&lt;950000),VLOOKUP(780000,源泉DB!$B$255:$K$255,L108+3)+ROUNDDOWN((K108-780000)*23.483%,0),IF(AND(K108&gt;740000,K108&lt;780000),VLOOKUP(740000,源泉DB!$B$254:$K$254,L108+3)+ROUNDDOWN((K108-740000)*20.42%,0),VLOOKUP(K108,源泉DB!$B$8:$K$299,L108+3))))))))),IF(F108="乙",IF(K108&gt;1700000,651900+(K108-1700000) *45.945%,IF(K108=1700000,651900,IF(AND(K108&gt;740000,K108&lt;1700000),259800+(K108-740000)*40.84%,IF(K108=740000,259800,IF(K108&lt;88000,ROUNDDOWN(K108*3.063%,9),VLOOKUP(K108,源泉DB!$B$8:$L$254,11)))))),"")),"")</f>
        <v/>
      </c>
      <c r="U108" s="165"/>
      <c r="V108" s="166"/>
      <c r="W108" s="166"/>
      <c r="X108" s="166"/>
      <c r="Y108" s="166"/>
      <c r="Z108" s="178">
        <f>ROUND(IFERROR(IF(($G108="加入"),VLOOKUP($I108,年金DB!$G$16:$P$65,6,TRUE),0),0)-0.1,0)</f>
        <v>0</v>
      </c>
      <c r="AA108" s="178">
        <f>ROUND(IFERROR(IF(AND($G108="加入",$D108&gt;=40,$D108&lt;=64),VLOOKUP($I108,年金DB!$G$16:$P$65,10,TRUE),0),0)-0.1,0)</f>
        <v>0</v>
      </c>
      <c r="AB108" s="178">
        <f>ROUND(IFERROR(IF(AND($G108="加入",$D108&lt;40),VLOOKUP($J108,年金DB!$G$16:$X$62,14,TRUE),IF(AND($G108="加入",$D108&gt;=40),VLOOKUP($J108,年金DB!$G$16:$X$62,14,TRUE),"0")),0)-0.1,0)</f>
        <v>0</v>
      </c>
      <c r="AC108" s="178">
        <f t="shared" si="13"/>
        <v>0</v>
      </c>
      <c r="AD108" s="21">
        <f t="shared" si="10"/>
        <v>0</v>
      </c>
      <c r="AE108" s="173">
        <f t="shared" si="11"/>
        <v>0</v>
      </c>
      <c r="AF108" s="14" t="str">
        <f t="shared" si="12"/>
        <v/>
      </c>
      <c r="AG108" s="14"/>
      <c r="AH108" s="14"/>
    </row>
    <row r="109" spans="1:34">
      <c r="A109" s="28"/>
      <c r="B109" s="180"/>
      <c r="C109" s="188"/>
      <c r="D109" s="161"/>
      <c r="E109" s="162"/>
      <c r="F109" s="162"/>
      <c r="G109" s="163"/>
      <c r="H109" s="285"/>
      <c r="I109" s="282"/>
      <c r="J109" s="16"/>
      <c r="K109" s="18">
        <f t="shared" si="8"/>
        <v>0</v>
      </c>
      <c r="L109" s="288">
        <v>0</v>
      </c>
      <c r="M109" s="291"/>
      <c r="N109" s="164"/>
      <c r="O109" s="164"/>
      <c r="P109" s="164"/>
      <c r="Q109" s="175">
        <f t="shared" si="14"/>
        <v>0</v>
      </c>
      <c r="R109" s="164"/>
      <c r="S109" s="197">
        <f t="shared" si="9"/>
        <v>0</v>
      </c>
      <c r="T109" s="201" t="str" cm="1">
        <f t="array" ref="T109">IFERROR(IF(F109="甲",IF(K109&gt;3500000,VLOOKUP(3500000,源泉DB!$B$261:$L$261,L109+3)+ROUNDDOWN((K109-3500000)*45.945%,0),IF(AND(K109&gt;2250000,K109&lt;3500000),VLOOKUP(2250000,源泉DB!$B$260:$K$260,L109+3)+ROUNDDOWN((K109-2250000)*40.84%,0),IF(AND(K109&gt;2210000,K109&lt;2250000),VLOOKUP(2210000,源泉DB!$B$259:$K$259,L109+3)+ROUNDDOWN((K109-2210000)*40.84%,0),IF(AND(K109&gt;2170000,K109&lt;2210000),VLOOKUP(2170000,源泉DB!$B$258:$K$258,L109+3)+ROUNDDOWN((K109-2170000)*40.84%,0),IF(AND(K109&gt;1700000,K109&lt;2170000),VLOOKUP(1700000,源泉DB!$B$257:$K$257,L109+3)+ROUNDDOWN((K109-1700000)*40.84%,0),IF(AND(K109&gt;950000,K109&lt;1700000),VLOOKUP(950000,源泉DB!$B$256:$K$256,L109+3)+ROUNDDOWN((K109-950000)*33.693%,0),IF(AND(K109&gt;780000,K109&lt;950000),VLOOKUP(780000,源泉DB!$B$255:$K$255,L109+3)+ROUNDDOWN((K109-780000)*23.483%,0),IF(AND(K109&gt;740000,K109&lt;780000),VLOOKUP(740000,源泉DB!$B$254:$K$254,L109+3)+ROUNDDOWN((K109-740000)*20.42%,0),VLOOKUP(K109,源泉DB!$B$8:$K$299,L109+3))))))))),IF(F109="乙",IF(K109&gt;1700000,651900+(K109-1700000) *45.945%,IF(K109=1700000,651900,IF(AND(K109&gt;740000,K109&lt;1700000),259800+(K109-740000)*40.84%,IF(K109=740000,259800,IF(K109&lt;88000,ROUNDDOWN(K109*3.063%,9),VLOOKUP(K109,源泉DB!$B$8:$L$254,11)))))),"")),"")</f>
        <v/>
      </c>
      <c r="U109" s="165"/>
      <c r="V109" s="166"/>
      <c r="W109" s="166"/>
      <c r="X109" s="166"/>
      <c r="Y109" s="166"/>
      <c r="Z109" s="178">
        <f>ROUND(IFERROR(IF(($G109="加入"),VLOOKUP($I109,年金DB!$G$16:$P$65,6,TRUE),0),0)-0.1,0)</f>
        <v>0</v>
      </c>
      <c r="AA109" s="178">
        <f>ROUND(IFERROR(IF(AND($G109="加入",$D109&gt;=40,$D109&lt;=64),VLOOKUP($I109,年金DB!$G$16:$P$65,10,TRUE),0),0)-0.1,0)</f>
        <v>0</v>
      </c>
      <c r="AB109" s="178">
        <f>ROUND(IFERROR(IF(AND($G109="加入",$D109&lt;40),VLOOKUP($J109,年金DB!$G$16:$X$62,14,TRUE),IF(AND($G109="加入",$D109&gt;=40),VLOOKUP($J109,年金DB!$G$16:$X$62,14,TRUE),"0")),0)-0.1,0)</f>
        <v>0</v>
      </c>
      <c r="AC109" s="178">
        <f t="shared" si="13"/>
        <v>0</v>
      </c>
      <c r="AD109" s="21">
        <f t="shared" si="10"/>
        <v>0</v>
      </c>
      <c r="AE109" s="173">
        <f t="shared" si="11"/>
        <v>0</v>
      </c>
      <c r="AF109" s="14" t="str">
        <f t="shared" si="12"/>
        <v/>
      </c>
      <c r="AG109" s="14"/>
      <c r="AH109" s="14"/>
    </row>
    <row r="110" spans="1:34">
      <c r="A110" s="28"/>
      <c r="B110" s="180"/>
      <c r="C110" s="188"/>
      <c r="D110" s="161"/>
      <c r="E110" s="162"/>
      <c r="F110" s="162"/>
      <c r="G110" s="163"/>
      <c r="H110" s="285"/>
      <c r="I110" s="282"/>
      <c r="J110" s="16"/>
      <c r="K110" s="18">
        <f t="shared" si="8"/>
        <v>0</v>
      </c>
      <c r="L110" s="288">
        <v>0</v>
      </c>
      <c r="M110" s="291"/>
      <c r="N110" s="164"/>
      <c r="O110" s="164"/>
      <c r="P110" s="164"/>
      <c r="Q110" s="175">
        <f t="shared" si="14"/>
        <v>0</v>
      </c>
      <c r="R110" s="164"/>
      <c r="S110" s="197">
        <f t="shared" si="9"/>
        <v>0</v>
      </c>
      <c r="T110" s="201" t="str" cm="1">
        <f t="array" ref="T110">IFERROR(IF(F110="甲",IF(K110&gt;3500000,VLOOKUP(3500000,源泉DB!$B$261:$L$261,L110+3)+ROUNDDOWN((K110-3500000)*45.945%,0),IF(AND(K110&gt;2250000,K110&lt;3500000),VLOOKUP(2250000,源泉DB!$B$260:$K$260,L110+3)+ROUNDDOWN((K110-2250000)*40.84%,0),IF(AND(K110&gt;2210000,K110&lt;2250000),VLOOKUP(2210000,源泉DB!$B$259:$K$259,L110+3)+ROUNDDOWN((K110-2210000)*40.84%,0),IF(AND(K110&gt;2170000,K110&lt;2210000),VLOOKUP(2170000,源泉DB!$B$258:$K$258,L110+3)+ROUNDDOWN((K110-2170000)*40.84%,0),IF(AND(K110&gt;1700000,K110&lt;2170000),VLOOKUP(1700000,源泉DB!$B$257:$K$257,L110+3)+ROUNDDOWN((K110-1700000)*40.84%,0),IF(AND(K110&gt;950000,K110&lt;1700000),VLOOKUP(950000,源泉DB!$B$256:$K$256,L110+3)+ROUNDDOWN((K110-950000)*33.693%,0),IF(AND(K110&gt;780000,K110&lt;950000),VLOOKUP(780000,源泉DB!$B$255:$K$255,L110+3)+ROUNDDOWN((K110-780000)*23.483%,0),IF(AND(K110&gt;740000,K110&lt;780000),VLOOKUP(740000,源泉DB!$B$254:$K$254,L110+3)+ROUNDDOWN((K110-740000)*20.42%,0),VLOOKUP(K110,源泉DB!$B$8:$K$299,L110+3))))))))),IF(F110="乙",IF(K110&gt;1700000,651900+(K110-1700000) *45.945%,IF(K110=1700000,651900,IF(AND(K110&gt;740000,K110&lt;1700000),259800+(K110-740000)*40.84%,IF(K110=740000,259800,IF(K110&lt;88000,ROUNDDOWN(K110*3.063%,9),VLOOKUP(K110,源泉DB!$B$8:$L$254,11)))))),"")),"")</f>
        <v/>
      </c>
      <c r="U110" s="165"/>
      <c r="V110" s="166"/>
      <c r="W110" s="166"/>
      <c r="X110" s="166"/>
      <c r="Y110" s="166"/>
      <c r="Z110" s="178">
        <f>ROUND(IFERROR(IF(($G110="加入"),VLOOKUP($I110,年金DB!$G$16:$P$65,6,TRUE),0),0)-0.1,0)</f>
        <v>0</v>
      </c>
      <c r="AA110" s="178">
        <f>ROUND(IFERROR(IF(AND($G110="加入",$D110&gt;=40,$D110&lt;=64),VLOOKUP($I110,年金DB!$G$16:$P$65,10,TRUE),0),0)-0.1,0)</f>
        <v>0</v>
      </c>
      <c r="AB110" s="178">
        <f>ROUND(IFERROR(IF(AND($G110="加入",$D110&lt;40),VLOOKUP($J110,年金DB!$G$16:$X$62,14,TRUE),IF(AND($G110="加入",$D110&gt;=40),VLOOKUP($J110,年金DB!$G$16:$X$62,14,TRUE),"0")),0)-0.1,0)</f>
        <v>0</v>
      </c>
      <c r="AC110" s="178">
        <f t="shared" si="13"/>
        <v>0</v>
      </c>
      <c r="AD110" s="21">
        <f t="shared" si="10"/>
        <v>0</v>
      </c>
      <c r="AE110" s="173">
        <f t="shared" si="11"/>
        <v>0</v>
      </c>
      <c r="AF110" s="14" t="str">
        <f t="shared" si="12"/>
        <v/>
      </c>
      <c r="AG110" s="14"/>
      <c r="AH110" s="14"/>
    </row>
    <row r="111" spans="1:34">
      <c r="A111" s="28"/>
      <c r="B111" s="180"/>
      <c r="C111" s="188"/>
      <c r="D111" s="161"/>
      <c r="E111" s="162"/>
      <c r="F111" s="162"/>
      <c r="G111" s="163"/>
      <c r="H111" s="285"/>
      <c r="I111" s="282"/>
      <c r="J111" s="16"/>
      <c r="K111" s="18">
        <f t="shared" si="8"/>
        <v>0</v>
      </c>
      <c r="L111" s="288">
        <v>0</v>
      </c>
      <c r="M111" s="291"/>
      <c r="N111" s="164"/>
      <c r="O111" s="164"/>
      <c r="P111" s="164"/>
      <c r="Q111" s="175">
        <f t="shared" si="14"/>
        <v>0</v>
      </c>
      <c r="R111" s="164"/>
      <c r="S111" s="197">
        <f t="shared" si="9"/>
        <v>0</v>
      </c>
      <c r="T111" s="201" t="str" cm="1">
        <f t="array" ref="T111">IFERROR(IF(F111="甲",IF(K111&gt;3500000,VLOOKUP(3500000,源泉DB!$B$261:$L$261,L111+3)+ROUNDDOWN((K111-3500000)*45.945%,0),IF(AND(K111&gt;2250000,K111&lt;3500000),VLOOKUP(2250000,源泉DB!$B$260:$K$260,L111+3)+ROUNDDOWN((K111-2250000)*40.84%,0),IF(AND(K111&gt;2210000,K111&lt;2250000),VLOOKUP(2210000,源泉DB!$B$259:$K$259,L111+3)+ROUNDDOWN((K111-2210000)*40.84%,0),IF(AND(K111&gt;2170000,K111&lt;2210000),VLOOKUP(2170000,源泉DB!$B$258:$K$258,L111+3)+ROUNDDOWN((K111-2170000)*40.84%,0),IF(AND(K111&gt;1700000,K111&lt;2170000),VLOOKUP(1700000,源泉DB!$B$257:$K$257,L111+3)+ROUNDDOWN((K111-1700000)*40.84%,0),IF(AND(K111&gt;950000,K111&lt;1700000),VLOOKUP(950000,源泉DB!$B$256:$K$256,L111+3)+ROUNDDOWN((K111-950000)*33.693%,0),IF(AND(K111&gt;780000,K111&lt;950000),VLOOKUP(780000,源泉DB!$B$255:$K$255,L111+3)+ROUNDDOWN((K111-780000)*23.483%,0),IF(AND(K111&gt;740000,K111&lt;780000),VLOOKUP(740000,源泉DB!$B$254:$K$254,L111+3)+ROUNDDOWN((K111-740000)*20.42%,0),VLOOKUP(K111,源泉DB!$B$8:$K$299,L111+3))))))))),IF(F111="乙",IF(K111&gt;1700000,651900+(K111-1700000) *45.945%,IF(K111=1700000,651900,IF(AND(K111&gt;740000,K111&lt;1700000),259800+(K111-740000)*40.84%,IF(K111=740000,259800,IF(K111&lt;88000,ROUNDDOWN(K111*3.063%,9),VLOOKUP(K111,源泉DB!$B$8:$L$254,11)))))),"")),"")</f>
        <v/>
      </c>
      <c r="U111" s="165"/>
      <c r="V111" s="166"/>
      <c r="W111" s="166"/>
      <c r="X111" s="166"/>
      <c r="Y111" s="166"/>
      <c r="Z111" s="178">
        <f>ROUND(IFERROR(IF(($G111="加入"),VLOOKUP($I111,年金DB!$G$16:$P$65,6,TRUE),0),0)-0.1,0)</f>
        <v>0</v>
      </c>
      <c r="AA111" s="178">
        <f>ROUND(IFERROR(IF(AND($G111="加入",$D111&gt;=40,$D111&lt;=64),VLOOKUP($I111,年金DB!$G$16:$P$65,10,TRUE),0),0)-0.1,0)</f>
        <v>0</v>
      </c>
      <c r="AB111" s="178">
        <f>ROUND(IFERROR(IF(AND($G111="加入",$D111&lt;40),VLOOKUP($J111,年金DB!$G$16:$X$62,14,TRUE),IF(AND($G111="加入",$D111&gt;=40),VLOOKUP($J111,年金DB!$G$16:$X$62,14,TRUE),"0")),0)-0.1,0)</f>
        <v>0</v>
      </c>
      <c r="AC111" s="178">
        <f t="shared" si="13"/>
        <v>0</v>
      </c>
      <c r="AD111" s="21">
        <f t="shared" si="10"/>
        <v>0</v>
      </c>
      <c r="AE111" s="173">
        <f t="shared" si="11"/>
        <v>0</v>
      </c>
      <c r="AF111" s="14" t="str">
        <f t="shared" si="12"/>
        <v/>
      </c>
      <c r="AG111" s="14"/>
      <c r="AH111" s="14"/>
    </row>
    <row r="112" spans="1:34">
      <c r="A112" s="28"/>
      <c r="B112" s="180"/>
      <c r="C112" s="188"/>
      <c r="D112" s="161"/>
      <c r="E112" s="162"/>
      <c r="F112" s="162"/>
      <c r="G112" s="163"/>
      <c r="H112" s="285"/>
      <c r="I112" s="282"/>
      <c r="J112" s="16"/>
      <c r="K112" s="18">
        <f t="shared" si="8"/>
        <v>0</v>
      </c>
      <c r="L112" s="288">
        <v>0</v>
      </c>
      <c r="M112" s="291"/>
      <c r="N112" s="164"/>
      <c r="O112" s="164"/>
      <c r="P112" s="164"/>
      <c r="Q112" s="175">
        <f t="shared" si="14"/>
        <v>0</v>
      </c>
      <c r="R112" s="164"/>
      <c r="S112" s="197">
        <f t="shared" si="9"/>
        <v>0</v>
      </c>
      <c r="T112" s="201" t="str" cm="1">
        <f t="array" ref="T112">IFERROR(IF(F112="甲",IF(K112&gt;3500000,VLOOKUP(3500000,源泉DB!$B$261:$L$261,L112+3)+ROUNDDOWN((K112-3500000)*45.945%,0),IF(AND(K112&gt;2250000,K112&lt;3500000),VLOOKUP(2250000,源泉DB!$B$260:$K$260,L112+3)+ROUNDDOWN((K112-2250000)*40.84%,0),IF(AND(K112&gt;2210000,K112&lt;2250000),VLOOKUP(2210000,源泉DB!$B$259:$K$259,L112+3)+ROUNDDOWN((K112-2210000)*40.84%,0),IF(AND(K112&gt;2170000,K112&lt;2210000),VLOOKUP(2170000,源泉DB!$B$258:$K$258,L112+3)+ROUNDDOWN((K112-2170000)*40.84%,0),IF(AND(K112&gt;1700000,K112&lt;2170000),VLOOKUP(1700000,源泉DB!$B$257:$K$257,L112+3)+ROUNDDOWN((K112-1700000)*40.84%,0),IF(AND(K112&gt;950000,K112&lt;1700000),VLOOKUP(950000,源泉DB!$B$256:$K$256,L112+3)+ROUNDDOWN((K112-950000)*33.693%,0),IF(AND(K112&gt;780000,K112&lt;950000),VLOOKUP(780000,源泉DB!$B$255:$K$255,L112+3)+ROUNDDOWN((K112-780000)*23.483%,0),IF(AND(K112&gt;740000,K112&lt;780000),VLOOKUP(740000,源泉DB!$B$254:$K$254,L112+3)+ROUNDDOWN((K112-740000)*20.42%,0),VLOOKUP(K112,源泉DB!$B$8:$K$299,L112+3))))))))),IF(F112="乙",IF(K112&gt;1700000,651900+(K112-1700000) *45.945%,IF(K112=1700000,651900,IF(AND(K112&gt;740000,K112&lt;1700000),259800+(K112-740000)*40.84%,IF(K112=740000,259800,IF(K112&lt;88000,ROUNDDOWN(K112*3.063%,9),VLOOKUP(K112,源泉DB!$B$8:$L$254,11)))))),"")),"")</f>
        <v/>
      </c>
      <c r="U112" s="165"/>
      <c r="V112" s="166"/>
      <c r="W112" s="166"/>
      <c r="X112" s="166"/>
      <c r="Y112" s="166"/>
      <c r="Z112" s="178">
        <f>ROUND(IFERROR(IF(($G112="加入"),VLOOKUP($I112,年金DB!$G$16:$P$65,6,TRUE),0),0)-0.1,0)</f>
        <v>0</v>
      </c>
      <c r="AA112" s="178">
        <f>ROUND(IFERROR(IF(AND($G112="加入",$D112&gt;=40,$D112&lt;=64),VLOOKUP($I112,年金DB!$G$16:$P$65,10,TRUE),0),0)-0.1,0)</f>
        <v>0</v>
      </c>
      <c r="AB112" s="178">
        <f>ROUND(IFERROR(IF(AND($G112="加入",$D112&lt;40),VLOOKUP($J112,年金DB!$G$16:$X$62,14,TRUE),IF(AND($G112="加入",$D112&gt;=40),VLOOKUP($J112,年金DB!$G$16:$X$62,14,TRUE),"0")),0)-0.1,0)</f>
        <v>0</v>
      </c>
      <c r="AC112" s="178">
        <f t="shared" si="13"/>
        <v>0</v>
      </c>
      <c r="AD112" s="21">
        <f t="shared" si="10"/>
        <v>0</v>
      </c>
      <c r="AE112" s="173">
        <f t="shared" si="11"/>
        <v>0</v>
      </c>
      <c r="AF112" s="14" t="str">
        <f t="shared" si="12"/>
        <v/>
      </c>
      <c r="AG112" s="14"/>
      <c r="AH112" s="14"/>
    </row>
    <row r="113" spans="1:34">
      <c r="A113" s="28"/>
      <c r="B113" s="180"/>
      <c r="C113" s="188"/>
      <c r="D113" s="161"/>
      <c r="E113" s="162"/>
      <c r="F113" s="162"/>
      <c r="G113" s="163"/>
      <c r="H113" s="285"/>
      <c r="I113" s="282"/>
      <c r="J113" s="16"/>
      <c r="K113" s="18">
        <f t="shared" si="8"/>
        <v>0</v>
      </c>
      <c r="L113" s="288">
        <v>0</v>
      </c>
      <c r="M113" s="291"/>
      <c r="N113" s="164"/>
      <c r="O113" s="164"/>
      <c r="P113" s="164"/>
      <c r="Q113" s="175">
        <f t="shared" si="14"/>
        <v>0</v>
      </c>
      <c r="R113" s="164"/>
      <c r="S113" s="197">
        <f t="shared" si="9"/>
        <v>0</v>
      </c>
      <c r="T113" s="201" t="str" cm="1">
        <f t="array" ref="T113">IFERROR(IF(F113="甲",IF(K113&gt;3500000,VLOOKUP(3500000,源泉DB!$B$261:$L$261,L113+3)+ROUNDDOWN((K113-3500000)*45.945%,0),IF(AND(K113&gt;2250000,K113&lt;3500000),VLOOKUP(2250000,源泉DB!$B$260:$K$260,L113+3)+ROUNDDOWN((K113-2250000)*40.84%,0),IF(AND(K113&gt;2210000,K113&lt;2250000),VLOOKUP(2210000,源泉DB!$B$259:$K$259,L113+3)+ROUNDDOWN((K113-2210000)*40.84%,0),IF(AND(K113&gt;2170000,K113&lt;2210000),VLOOKUP(2170000,源泉DB!$B$258:$K$258,L113+3)+ROUNDDOWN((K113-2170000)*40.84%,0),IF(AND(K113&gt;1700000,K113&lt;2170000),VLOOKUP(1700000,源泉DB!$B$257:$K$257,L113+3)+ROUNDDOWN((K113-1700000)*40.84%,0),IF(AND(K113&gt;950000,K113&lt;1700000),VLOOKUP(950000,源泉DB!$B$256:$K$256,L113+3)+ROUNDDOWN((K113-950000)*33.693%,0),IF(AND(K113&gt;780000,K113&lt;950000),VLOOKUP(780000,源泉DB!$B$255:$K$255,L113+3)+ROUNDDOWN((K113-780000)*23.483%,0),IF(AND(K113&gt;740000,K113&lt;780000),VLOOKUP(740000,源泉DB!$B$254:$K$254,L113+3)+ROUNDDOWN((K113-740000)*20.42%,0),VLOOKUP(K113,源泉DB!$B$8:$K$299,L113+3))))))))),IF(F113="乙",IF(K113&gt;1700000,651900+(K113-1700000) *45.945%,IF(K113=1700000,651900,IF(AND(K113&gt;740000,K113&lt;1700000),259800+(K113-740000)*40.84%,IF(K113=740000,259800,IF(K113&lt;88000,ROUNDDOWN(K113*3.063%,9),VLOOKUP(K113,源泉DB!$B$8:$L$254,11)))))),"")),"")</f>
        <v/>
      </c>
      <c r="U113" s="165"/>
      <c r="V113" s="166"/>
      <c r="W113" s="166"/>
      <c r="X113" s="166"/>
      <c r="Y113" s="166"/>
      <c r="Z113" s="178">
        <f>ROUND(IFERROR(IF(($G113="加入"),VLOOKUP($I113,年金DB!$G$16:$P$65,6,TRUE),0),0)-0.1,0)</f>
        <v>0</v>
      </c>
      <c r="AA113" s="178">
        <f>ROUND(IFERROR(IF(AND($G113="加入",$D113&gt;=40,$D113&lt;=64),VLOOKUP($I113,年金DB!$G$16:$P$65,10,TRUE),0),0)-0.1,0)</f>
        <v>0</v>
      </c>
      <c r="AB113" s="178">
        <f>ROUND(IFERROR(IF(AND($G113="加入",$D113&lt;40),VLOOKUP($J113,年金DB!$G$16:$X$62,14,TRUE),IF(AND($G113="加入",$D113&gt;=40),VLOOKUP($J113,年金DB!$G$16:$X$62,14,TRUE),"0")),0)-0.1,0)</f>
        <v>0</v>
      </c>
      <c r="AC113" s="178">
        <f t="shared" si="13"/>
        <v>0</v>
      </c>
      <c r="AD113" s="21">
        <f t="shared" si="10"/>
        <v>0</v>
      </c>
      <c r="AE113" s="173">
        <f t="shared" si="11"/>
        <v>0</v>
      </c>
      <c r="AF113" s="14" t="str">
        <f t="shared" si="12"/>
        <v/>
      </c>
      <c r="AG113" s="14"/>
      <c r="AH113" s="14"/>
    </row>
    <row r="114" spans="1:34">
      <c r="A114" s="28"/>
      <c r="B114" s="180"/>
      <c r="C114" s="188"/>
      <c r="D114" s="161"/>
      <c r="E114" s="162"/>
      <c r="F114" s="162"/>
      <c r="G114" s="163"/>
      <c r="H114" s="285"/>
      <c r="I114" s="282"/>
      <c r="J114" s="16"/>
      <c r="K114" s="18">
        <f t="shared" si="8"/>
        <v>0</v>
      </c>
      <c r="L114" s="288">
        <v>0</v>
      </c>
      <c r="M114" s="291"/>
      <c r="N114" s="164"/>
      <c r="O114" s="164"/>
      <c r="P114" s="164"/>
      <c r="Q114" s="175">
        <f t="shared" si="14"/>
        <v>0</v>
      </c>
      <c r="R114" s="164"/>
      <c r="S114" s="197">
        <f t="shared" si="9"/>
        <v>0</v>
      </c>
      <c r="T114" s="201" t="str" cm="1">
        <f t="array" ref="T114">IFERROR(IF(F114="甲",IF(K114&gt;3500000,VLOOKUP(3500000,源泉DB!$B$261:$L$261,L114+3)+ROUNDDOWN((K114-3500000)*45.945%,0),IF(AND(K114&gt;2250000,K114&lt;3500000),VLOOKUP(2250000,源泉DB!$B$260:$K$260,L114+3)+ROUNDDOWN((K114-2250000)*40.84%,0),IF(AND(K114&gt;2210000,K114&lt;2250000),VLOOKUP(2210000,源泉DB!$B$259:$K$259,L114+3)+ROUNDDOWN((K114-2210000)*40.84%,0),IF(AND(K114&gt;2170000,K114&lt;2210000),VLOOKUP(2170000,源泉DB!$B$258:$K$258,L114+3)+ROUNDDOWN((K114-2170000)*40.84%,0),IF(AND(K114&gt;1700000,K114&lt;2170000),VLOOKUP(1700000,源泉DB!$B$257:$K$257,L114+3)+ROUNDDOWN((K114-1700000)*40.84%,0),IF(AND(K114&gt;950000,K114&lt;1700000),VLOOKUP(950000,源泉DB!$B$256:$K$256,L114+3)+ROUNDDOWN((K114-950000)*33.693%,0),IF(AND(K114&gt;780000,K114&lt;950000),VLOOKUP(780000,源泉DB!$B$255:$K$255,L114+3)+ROUNDDOWN((K114-780000)*23.483%,0),IF(AND(K114&gt;740000,K114&lt;780000),VLOOKUP(740000,源泉DB!$B$254:$K$254,L114+3)+ROUNDDOWN((K114-740000)*20.42%,0),VLOOKUP(K114,源泉DB!$B$8:$K$299,L114+3))))))))),IF(F114="乙",IF(K114&gt;1700000,651900+(K114-1700000) *45.945%,IF(K114=1700000,651900,IF(AND(K114&gt;740000,K114&lt;1700000),259800+(K114-740000)*40.84%,IF(K114=740000,259800,IF(K114&lt;88000,ROUNDDOWN(K114*3.063%,9),VLOOKUP(K114,源泉DB!$B$8:$L$254,11)))))),"")),"")</f>
        <v/>
      </c>
      <c r="U114" s="165"/>
      <c r="V114" s="166"/>
      <c r="W114" s="166"/>
      <c r="X114" s="166"/>
      <c r="Y114" s="166"/>
      <c r="Z114" s="178">
        <f>ROUND(IFERROR(IF(($G114="加入"),VLOOKUP($I114,年金DB!$G$16:$P$65,6,TRUE),0),0)-0.1,0)</f>
        <v>0</v>
      </c>
      <c r="AA114" s="178">
        <f>ROUND(IFERROR(IF(AND($G114="加入",$D114&gt;=40,$D114&lt;=64),VLOOKUP($I114,年金DB!$G$16:$P$65,10,TRUE),0),0)-0.1,0)</f>
        <v>0</v>
      </c>
      <c r="AB114" s="178">
        <f>ROUND(IFERROR(IF(AND($G114="加入",$D114&lt;40),VLOOKUP($J114,年金DB!$G$16:$X$62,14,TRUE),IF(AND($G114="加入",$D114&gt;=40),VLOOKUP($J114,年金DB!$G$16:$X$62,14,TRUE),"0")),0)-0.1,0)</f>
        <v>0</v>
      </c>
      <c r="AC114" s="178">
        <f t="shared" si="13"/>
        <v>0</v>
      </c>
      <c r="AD114" s="21">
        <f t="shared" si="10"/>
        <v>0</v>
      </c>
      <c r="AE114" s="173">
        <f t="shared" si="11"/>
        <v>0</v>
      </c>
      <c r="AF114" s="14" t="str">
        <f t="shared" si="12"/>
        <v/>
      </c>
      <c r="AG114" s="14"/>
      <c r="AH114" s="14"/>
    </row>
    <row r="115" spans="1:34">
      <c r="A115" s="28"/>
      <c r="B115" s="180"/>
      <c r="C115" s="188"/>
      <c r="D115" s="161"/>
      <c r="E115" s="162"/>
      <c r="F115" s="162"/>
      <c r="G115" s="163"/>
      <c r="H115" s="285"/>
      <c r="I115" s="282"/>
      <c r="J115" s="16"/>
      <c r="K115" s="18">
        <f t="shared" si="8"/>
        <v>0</v>
      </c>
      <c r="L115" s="288">
        <v>0</v>
      </c>
      <c r="M115" s="291"/>
      <c r="N115" s="164"/>
      <c r="O115" s="164"/>
      <c r="P115" s="164"/>
      <c r="Q115" s="175">
        <f t="shared" si="14"/>
        <v>0</v>
      </c>
      <c r="R115" s="164"/>
      <c r="S115" s="197">
        <f t="shared" si="9"/>
        <v>0</v>
      </c>
      <c r="T115" s="201" t="str" cm="1">
        <f t="array" ref="T115">IFERROR(IF(F115="甲",IF(K115&gt;3500000,VLOOKUP(3500000,源泉DB!$B$261:$L$261,L115+3)+ROUNDDOWN((K115-3500000)*45.945%,0),IF(AND(K115&gt;2250000,K115&lt;3500000),VLOOKUP(2250000,源泉DB!$B$260:$K$260,L115+3)+ROUNDDOWN((K115-2250000)*40.84%,0),IF(AND(K115&gt;2210000,K115&lt;2250000),VLOOKUP(2210000,源泉DB!$B$259:$K$259,L115+3)+ROUNDDOWN((K115-2210000)*40.84%,0),IF(AND(K115&gt;2170000,K115&lt;2210000),VLOOKUP(2170000,源泉DB!$B$258:$K$258,L115+3)+ROUNDDOWN((K115-2170000)*40.84%,0),IF(AND(K115&gt;1700000,K115&lt;2170000),VLOOKUP(1700000,源泉DB!$B$257:$K$257,L115+3)+ROUNDDOWN((K115-1700000)*40.84%,0),IF(AND(K115&gt;950000,K115&lt;1700000),VLOOKUP(950000,源泉DB!$B$256:$K$256,L115+3)+ROUNDDOWN((K115-950000)*33.693%,0),IF(AND(K115&gt;780000,K115&lt;950000),VLOOKUP(780000,源泉DB!$B$255:$K$255,L115+3)+ROUNDDOWN((K115-780000)*23.483%,0),IF(AND(K115&gt;740000,K115&lt;780000),VLOOKUP(740000,源泉DB!$B$254:$K$254,L115+3)+ROUNDDOWN((K115-740000)*20.42%,0),VLOOKUP(K115,源泉DB!$B$8:$K$299,L115+3))))))))),IF(F115="乙",IF(K115&gt;1700000,651900+(K115-1700000) *45.945%,IF(K115=1700000,651900,IF(AND(K115&gt;740000,K115&lt;1700000),259800+(K115-740000)*40.84%,IF(K115=740000,259800,IF(K115&lt;88000,ROUNDDOWN(K115*3.063%,9),VLOOKUP(K115,源泉DB!$B$8:$L$254,11)))))),"")),"")</f>
        <v/>
      </c>
      <c r="U115" s="165"/>
      <c r="V115" s="166"/>
      <c r="W115" s="166"/>
      <c r="X115" s="166"/>
      <c r="Y115" s="166"/>
      <c r="Z115" s="178">
        <f>ROUND(IFERROR(IF(($G115="加入"),VLOOKUP($I115,年金DB!$G$16:$P$65,6,TRUE),0),0)-0.1,0)</f>
        <v>0</v>
      </c>
      <c r="AA115" s="178">
        <f>ROUND(IFERROR(IF(AND($G115="加入",$D115&gt;=40,$D115&lt;=64),VLOOKUP($I115,年金DB!$G$16:$P$65,10,TRUE),0),0)-0.1,0)</f>
        <v>0</v>
      </c>
      <c r="AB115" s="178">
        <f>ROUND(IFERROR(IF(AND($G115="加入",$D115&lt;40),VLOOKUP($J115,年金DB!$G$16:$X$62,14,TRUE),IF(AND($G115="加入",$D115&gt;=40),VLOOKUP($J115,年金DB!$G$16:$X$62,14,TRUE),"0")),0)-0.1,0)</f>
        <v>0</v>
      </c>
      <c r="AC115" s="178">
        <f t="shared" si="13"/>
        <v>0</v>
      </c>
      <c r="AD115" s="21">
        <f t="shared" si="10"/>
        <v>0</v>
      </c>
      <c r="AE115" s="173">
        <f t="shared" si="11"/>
        <v>0</v>
      </c>
      <c r="AF115" s="14" t="str">
        <f t="shared" si="12"/>
        <v/>
      </c>
      <c r="AG115" s="14"/>
      <c r="AH115" s="14"/>
    </row>
    <row r="116" spans="1:34">
      <c r="A116" s="28"/>
      <c r="B116" s="180"/>
      <c r="C116" s="188"/>
      <c r="D116" s="161"/>
      <c r="E116" s="162"/>
      <c r="F116" s="162"/>
      <c r="G116" s="163"/>
      <c r="H116" s="285"/>
      <c r="I116" s="282"/>
      <c r="J116" s="16"/>
      <c r="K116" s="18">
        <f t="shared" si="8"/>
        <v>0</v>
      </c>
      <c r="L116" s="288">
        <v>0</v>
      </c>
      <c r="M116" s="291"/>
      <c r="N116" s="164"/>
      <c r="O116" s="164"/>
      <c r="P116" s="164"/>
      <c r="Q116" s="175">
        <f t="shared" si="14"/>
        <v>0</v>
      </c>
      <c r="R116" s="164"/>
      <c r="S116" s="197">
        <f t="shared" si="9"/>
        <v>0</v>
      </c>
      <c r="T116" s="201" t="str" cm="1">
        <f t="array" ref="T116">IFERROR(IF(F116="甲",IF(K116&gt;3500000,VLOOKUP(3500000,源泉DB!$B$261:$L$261,L116+3)+ROUNDDOWN((K116-3500000)*45.945%,0),IF(AND(K116&gt;2250000,K116&lt;3500000),VLOOKUP(2250000,源泉DB!$B$260:$K$260,L116+3)+ROUNDDOWN((K116-2250000)*40.84%,0),IF(AND(K116&gt;2210000,K116&lt;2250000),VLOOKUP(2210000,源泉DB!$B$259:$K$259,L116+3)+ROUNDDOWN((K116-2210000)*40.84%,0),IF(AND(K116&gt;2170000,K116&lt;2210000),VLOOKUP(2170000,源泉DB!$B$258:$K$258,L116+3)+ROUNDDOWN((K116-2170000)*40.84%,0),IF(AND(K116&gt;1700000,K116&lt;2170000),VLOOKUP(1700000,源泉DB!$B$257:$K$257,L116+3)+ROUNDDOWN((K116-1700000)*40.84%,0),IF(AND(K116&gt;950000,K116&lt;1700000),VLOOKUP(950000,源泉DB!$B$256:$K$256,L116+3)+ROUNDDOWN((K116-950000)*33.693%,0),IF(AND(K116&gt;780000,K116&lt;950000),VLOOKUP(780000,源泉DB!$B$255:$K$255,L116+3)+ROUNDDOWN((K116-780000)*23.483%,0),IF(AND(K116&gt;740000,K116&lt;780000),VLOOKUP(740000,源泉DB!$B$254:$K$254,L116+3)+ROUNDDOWN((K116-740000)*20.42%,0),VLOOKUP(K116,源泉DB!$B$8:$K$299,L116+3))))))))),IF(F116="乙",IF(K116&gt;1700000,651900+(K116-1700000) *45.945%,IF(K116=1700000,651900,IF(AND(K116&gt;740000,K116&lt;1700000),259800+(K116-740000)*40.84%,IF(K116=740000,259800,IF(K116&lt;88000,ROUNDDOWN(K116*3.063%,9),VLOOKUP(K116,源泉DB!$B$8:$L$254,11)))))),"")),"")</f>
        <v/>
      </c>
      <c r="U116" s="165"/>
      <c r="V116" s="166"/>
      <c r="W116" s="166"/>
      <c r="X116" s="166"/>
      <c r="Y116" s="166"/>
      <c r="Z116" s="178">
        <f>ROUND(IFERROR(IF(($G116="加入"),VLOOKUP($I116,年金DB!$G$16:$P$65,6,TRUE),0),0)-0.1,0)</f>
        <v>0</v>
      </c>
      <c r="AA116" s="178">
        <f>ROUND(IFERROR(IF(AND($G116="加入",$D116&gt;=40,$D116&lt;=64),VLOOKUP($I116,年金DB!$G$16:$P$65,10,TRUE),0),0)-0.1,0)</f>
        <v>0</v>
      </c>
      <c r="AB116" s="178">
        <f>ROUND(IFERROR(IF(AND($G116="加入",$D116&lt;40),VLOOKUP($J116,年金DB!$G$16:$X$62,14,TRUE),IF(AND($G116="加入",$D116&gt;=40),VLOOKUP($J116,年金DB!$G$16:$X$62,14,TRUE),"0")),0)-0.1,0)</f>
        <v>0</v>
      </c>
      <c r="AC116" s="178">
        <f t="shared" si="13"/>
        <v>0</v>
      </c>
      <c r="AD116" s="21">
        <f t="shared" si="10"/>
        <v>0</v>
      </c>
      <c r="AE116" s="173">
        <f t="shared" si="11"/>
        <v>0</v>
      </c>
      <c r="AF116" s="14" t="str">
        <f t="shared" si="12"/>
        <v/>
      </c>
      <c r="AG116" s="14"/>
      <c r="AH116" s="14"/>
    </row>
    <row r="117" spans="1:34">
      <c r="A117" s="28"/>
      <c r="B117" s="180"/>
      <c r="C117" s="188"/>
      <c r="D117" s="161"/>
      <c r="E117" s="162"/>
      <c r="F117" s="162"/>
      <c r="G117" s="163"/>
      <c r="H117" s="285"/>
      <c r="I117" s="282"/>
      <c r="J117" s="16"/>
      <c r="K117" s="18">
        <f t="shared" si="8"/>
        <v>0</v>
      </c>
      <c r="L117" s="288">
        <v>0</v>
      </c>
      <c r="M117" s="291"/>
      <c r="N117" s="164"/>
      <c r="O117" s="164"/>
      <c r="P117" s="164"/>
      <c r="Q117" s="175">
        <f t="shared" si="14"/>
        <v>0</v>
      </c>
      <c r="R117" s="164"/>
      <c r="S117" s="197">
        <f t="shared" si="9"/>
        <v>0</v>
      </c>
      <c r="T117" s="201" t="str" cm="1">
        <f t="array" ref="T117">IFERROR(IF(F117="甲",IF(K117&gt;3500000,VLOOKUP(3500000,源泉DB!$B$261:$L$261,L117+3)+ROUNDDOWN((K117-3500000)*45.945%,0),IF(AND(K117&gt;2250000,K117&lt;3500000),VLOOKUP(2250000,源泉DB!$B$260:$K$260,L117+3)+ROUNDDOWN((K117-2250000)*40.84%,0),IF(AND(K117&gt;2210000,K117&lt;2250000),VLOOKUP(2210000,源泉DB!$B$259:$K$259,L117+3)+ROUNDDOWN((K117-2210000)*40.84%,0),IF(AND(K117&gt;2170000,K117&lt;2210000),VLOOKUP(2170000,源泉DB!$B$258:$K$258,L117+3)+ROUNDDOWN((K117-2170000)*40.84%,0),IF(AND(K117&gt;1700000,K117&lt;2170000),VLOOKUP(1700000,源泉DB!$B$257:$K$257,L117+3)+ROUNDDOWN((K117-1700000)*40.84%,0),IF(AND(K117&gt;950000,K117&lt;1700000),VLOOKUP(950000,源泉DB!$B$256:$K$256,L117+3)+ROUNDDOWN((K117-950000)*33.693%,0),IF(AND(K117&gt;780000,K117&lt;950000),VLOOKUP(780000,源泉DB!$B$255:$K$255,L117+3)+ROUNDDOWN((K117-780000)*23.483%,0),IF(AND(K117&gt;740000,K117&lt;780000),VLOOKUP(740000,源泉DB!$B$254:$K$254,L117+3)+ROUNDDOWN((K117-740000)*20.42%,0),VLOOKUP(K117,源泉DB!$B$8:$K$299,L117+3))))))))),IF(F117="乙",IF(K117&gt;1700000,651900+(K117-1700000) *45.945%,IF(K117=1700000,651900,IF(AND(K117&gt;740000,K117&lt;1700000),259800+(K117-740000)*40.84%,IF(K117=740000,259800,IF(K117&lt;88000,ROUNDDOWN(K117*3.063%,9),VLOOKUP(K117,源泉DB!$B$8:$L$254,11)))))),"")),"")</f>
        <v/>
      </c>
      <c r="U117" s="165"/>
      <c r="V117" s="166"/>
      <c r="W117" s="166"/>
      <c r="X117" s="166"/>
      <c r="Y117" s="166"/>
      <c r="Z117" s="178">
        <f>ROUND(IFERROR(IF(($G117="加入"),VLOOKUP($I117,年金DB!$G$16:$P$65,6,TRUE),0),0)-0.1,0)</f>
        <v>0</v>
      </c>
      <c r="AA117" s="178">
        <f>ROUND(IFERROR(IF(AND($G117="加入",$D117&gt;=40,$D117&lt;=64),VLOOKUP($I117,年金DB!$G$16:$P$65,10,TRUE),0),0)-0.1,0)</f>
        <v>0</v>
      </c>
      <c r="AB117" s="178">
        <f>ROUND(IFERROR(IF(AND($G117="加入",$D117&lt;40),VLOOKUP($J117,年金DB!$G$16:$X$62,14,TRUE),IF(AND($G117="加入",$D117&gt;=40),VLOOKUP($J117,年金DB!$G$16:$X$62,14,TRUE),"0")),0)-0.1,0)</f>
        <v>0</v>
      </c>
      <c r="AC117" s="178">
        <f t="shared" si="13"/>
        <v>0</v>
      </c>
      <c r="AD117" s="21">
        <f t="shared" si="10"/>
        <v>0</v>
      </c>
      <c r="AE117" s="173">
        <f t="shared" si="11"/>
        <v>0</v>
      </c>
      <c r="AF117" s="14" t="str">
        <f t="shared" si="12"/>
        <v/>
      </c>
      <c r="AG117" s="14"/>
      <c r="AH117" s="14"/>
    </row>
    <row r="118" spans="1:34">
      <c r="A118" s="28"/>
      <c r="B118" s="180"/>
      <c r="C118" s="188"/>
      <c r="D118" s="161"/>
      <c r="E118" s="162"/>
      <c r="F118" s="162"/>
      <c r="G118" s="163"/>
      <c r="H118" s="285"/>
      <c r="I118" s="282"/>
      <c r="J118" s="16"/>
      <c r="K118" s="18">
        <f t="shared" si="8"/>
        <v>0</v>
      </c>
      <c r="L118" s="288">
        <v>0</v>
      </c>
      <c r="M118" s="291"/>
      <c r="N118" s="164"/>
      <c r="O118" s="164"/>
      <c r="P118" s="164"/>
      <c r="Q118" s="175">
        <f t="shared" si="14"/>
        <v>0</v>
      </c>
      <c r="R118" s="164"/>
      <c r="S118" s="197">
        <f t="shared" si="9"/>
        <v>0</v>
      </c>
      <c r="T118" s="201" t="str" cm="1">
        <f t="array" ref="T118">IFERROR(IF(F118="甲",IF(K118&gt;3500000,VLOOKUP(3500000,源泉DB!$B$261:$L$261,L118+3)+ROUNDDOWN((K118-3500000)*45.945%,0),IF(AND(K118&gt;2250000,K118&lt;3500000),VLOOKUP(2250000,源泉DB!$B$260:$K$260,L118+3)+ROUNDDOWN((K118-2250000)*40.84%,0),IF(AND(K118&gt;2210000,K118&lt;2250000),VLOOKUP(2210000,源泉DB!$B$259:$K$259,L118+3)+ROUNDDOWN((K118-2210000)*40.84%,0),IF(AND(K118&gt;2170000,K118&lt;2210000),VLOOKUP(2170000,源泉DB!$B$258:$K$258,L118+3)+ROUNDDOWN((K118-2170000)*40.84%,0),IF(AND(K118&gt;1700000,K118&lt;2170000),VLOOKUP(1700000,源泉DB!$B$257:$K$257,L118+3)+ROUNDDOWN((K118-1700000)*40.84%,0),IF(AND(K118&gt;950000,K118&lt;1700000),VLOOKUP(950000,源泉DB!$B$256:$K$256,L118+3)+ROUNDDOWN((K118-950000)*33.693%,0),IF(AND(K118&gt;780000,K118&lt;950000),VLOOKUP(780000,源泉DB!$B$255:$K$255,L118+3)+ROUNDDOWN((K118-780000)*23.483%,0),IF(AND(K118&gt;740000,K118&lt;780000),VLOOKUP(740000,源泉DB!$B$254:$K$254,L118+3)+ROUNDDOWN((K118-740000)*20.42%,0),VLOOKUP(K118,源泉DB!$B$8:$K$299,L118+3))))))))),IF(F118="乙",IF(K118&gt;1700000,651900+(K118-1700000) *45.945%,IF(K118=1700000,651900,IF(AND(K118&gt;740000,K118&lt;1700000),259800+(K118-740000)*40.84%,IF(K118=740000,259800,IF(K118&lt;88000,ROUNDDOWN(K118*3.063%,9),VLOOKUP(K118,源泉DB!$B$8:$L$254,11)))))),"")),"")</f>
        <v/>
      </c>
      <c r="U118" s="165"/>
      <c r="V118" s="166"/>
      <c r="W118" s="166"/>
      <c r="X118" s="166"/>
      <c r="Y118" s="166"/>
      <c r="Z118" s="178">
        <f>ROUND(IFERROR(IF(($G118="加入"),VLOOKUP($I118,年金DB!$G$16:$P$65,6,TRUE),0),0)-0.1,0)</f>
        <v>0</v>
      </c>
      <c r="AA118" s="178">
        <f>ROUND(IFERROR(IF(AND($G118="加入",$D118&gt;=40,$D118&lt;=64),VLOOKUP($I118,年金DB!$G$16:$P$65,10,TRUE),0),0)-0.1,0)</f>
        <v>0</v>
      </c>
      <c r="AB118" s="178">
        <f>ROUND(IFERROR(IF(AND($G118="加入",$D118&lt;40),VLOOKUP($J118,年金DB!$G$16:$X$62,14,TRUE),IF(AND($G118="加入",$D118&gt;=40),VLOOKUP($J118,年金DB!$G$16:$X$62,14,TRUE),"0")),0)-0.1,0)</f>
        <v>0</v>
      </c>
      <c r="AC118" s="178">
        <f t="shared" si="13"/>
        <v>0</v>
      </c>
      <c r="AD118" s="21">
        <f t="shared" si="10"/>
        <v>0</v>
      </c>
      <c r="AE118" s="173">
        <f t="shared" si="11"/>
        <v>0</v>
      </c>
      <c r="AF118" s="14" t="str">
        <f t="shared" si="12"/>
        <v/>
      </c>
      <c r="AG118" s="14"/>
      <c r="AH118" s="14"/>
    </row>
    <row r="119" spans="1:34">
      <c r="A119" s="28"/>
      <c r="B119" s="180"/>
      <c r="C119" s="188"/>
      <c r="D119" s="161"/>
      <c r="E119" s="162"/>
      <c r="F119" s="162"/>
      <c r="G119" s="163"/>
      <c r="H119" s="285"/>
      <c r="I119" s="282"/>
      <c r="J119" s="16"/>
      <c r="K119" s="18">
        <f t="shared" si="8"/>
        <v>0</v>
      </c>
      <c r="L119" s="288">
        <v>0</v>
      </c>
      <c r="M119" s="291"/>
      <c r="N119" s="164"/>
      <c r="O119" s="164"/>
      <c r="P119" s="164"/>
      <c r="Q119" s="175">
        <f t="shared" si="14"/>
        <v>0</v>
      </c>
      <c r="R119" s="164"/>
      <c r="S119" s="197">
        <f t="shared" si="9"/>
        <v>0</v>
      </c>
      <c r="T119" s="201" t="str" cm="1">
        <f t="array" ref="T119">IFERROR(IF(F119="甲",IF(K119&gt;3500000,VLOOKUP(3500000,源泉DB!$B$261:$L$261,L119+3)+ROUNDDOWN((K119-3500000)*45.945%,0),IF(AND(K119&gt;2250000,K119&lt;3500000),VLOOKUP(2250000,源泉DB!$B$260:$K$260,L119+3)+ROUNDDOWN((K119-2250000)*40.84%,0),IF(AND(K119&gt;2210000,K119&lt;2250000),VLOOKUP(2210000,源泉DB!$B$259:$K$259,L119+3)+ROUNDDOWN((K119-2210000)*40.84%,0),IF(AND(K119&gt;2170000,K119&lt;2210000),VLOOKUP(2170000,源泉DB!$B$258:$K$258,L119+3)+ROUNDDOWN((K119-2170000)*40.84%,0),IF(AND(K119&gt;1700000,K119&lt;2170000),VLOOKUP(1700000,源泉DB!$B$257:$K$257,L119+3)+ROUNDDOWN((K119-1700000)*40.84%,0),IF(AND(K119&gt;950000,K119&lt;1700000),VLOOKUP(950000,源泉DB!$B$256:$K$256,L119+3)+ROUNDDOWN((K119-950000)*33.693%,0),IF(AND(K119&gt;780000,K119&lt;950000),VLOOKUP(780000,源泉DB!$B$255:$K$255,L119+3)+ROUNDDOWN((K119-780000)*23.483%,0),IF(AND(K119&gt;740000,K119&lt;780000),VLOOKUP(740000,源泉DB!$B$254:$K$254,L119+3)+ROUNDDOWN((K119-740000)*20.42%,0),VLOOKUP(K119,源泉DB!$B$8:$K$299,L119+3))))))))),IF(F119="乙",IF(K119&gt;1700000,651900+(K119-1700000) *45.945%,IF(K119=1700000,651900,IF(AND(K119&gt;740000,K119&lt;1700000),259800+(K119-740000)*40.84%,IF(K119=740000,259800,IF(K119&lt;88000,ROUNDDOWN(K119*3.063%,9),VLOOKUP(K119,源泉DB!$B$8:$L$254,11)))))),"")),"")</f>
        <v/>
      </c>
      <c r="U119" s="165"/>
      <c r="V119" s="166"/>
      <c r="W119" s="166"/>
      <c r="X119" s="166"/>
      <c r="Y119" s="166"/>
      <c r="Z119" s="178">
        <f>ROUND(IFERROR(IF(($G119="加入"),VLOOKUP($I119,年金DB!$G$16:$P$65,6,TRUE),0),0)-0.1,0)</f>
        <v>0</v>
      </c>
      <c r="AA119" s="178">
        <f>ROUND(IFERROR(IF(AND($G119="加入",$D119&gt;=40,$D119&lt;=64),VLOOKUP($I119,年金DB!$G$16:$P$65,10,TRUE),0),0)-0.1,0)</f>
        <v>0</v>
      </c>
      <c r="AB119" s="178">
        <f>ROUND(IFERROR(IF(AND($G119="加入",$D119&lt;40),VLOOKUP($J119,年金DB!$G$16:$X$62,14,TRUE),IF(AND($G119="加入",$D119&gt;=40),VLOOKUP($J119,年金DB!$G$16:$X$62,14,TRUE),"0")),0)-0.1,0)</f>
        <v>0</v>
      </c>
      <c r="AC119" s="178">
        <f t="shared" si="13"/>
        <v>0</v>
      </c>
      <c r="AD119" s="21">
        <f t="shared" si="10"/>
        <v>0</v>
      </c>
      <c r="AE119" s="173">
        <f t="shared" si="11"/>
        <v>0</v>
      </c>
      <c r="AF119" s="14" t="str">
        <f t="shared" si="12"/>
        <v/>
      </c>
      <c r="AG119" s="14"/>
      <c r="AH119" s="14"/>
    </row>
    <row r="120" spans="1:34">
      <c r="A120" s="28"/>
      <c r="B120" s="180"/>
      <c r="C120" s="188"/>
      <c r="D120" s="161"/>
      <c r="E120" s="162"/>
      <c r="F120" s="162"/>
      <c r="G120" s="163"/>
      <c r="H120" s="285"/>
      <c r="I120" s="282"/>
      <c r="J120" s="16"/>
      <c r="K120" s="18">
        <f t="shared" si="8"/>
        <v>0</v>
      </c>
      <c r="L120" s="288">
        <v>0</v>
      </c>
      <c r="M120" s="291"/>
      <c r="N120" s="164"/>
      <c r="O120" s="164"/>
      <c r="P120" s="164"/>
      <c r="Q120" s="175">
        <f t="shared" si="14"/>
        <v>0</v>
      </c>
      <c r="R120" s="164"/>
      <c r="S120" s="197">
        <f t="shared" si="9"/>
        <v>0</v>
      </c>
      <c r="T120" s="201" t="str" cm="1">
        <f t="array" ref="T120">IFERROR(IF(F120="甲",IF(K120&gt;3500000,VLOOKUP(3500000,源泉DB!$B$261:$L$261,L120+3)+ROUNDDOWN((K120-3500000)*45.945%,0),IF(AND(K120&gt;2250000,K120&lt;3500000),VLOOKUP(2250000,源泉DB!$B$260:$K$260,L120+3)+ROUNDDOWN((K120-2250000)*40.84%,0),IF(AND(K120&gt;2210000,K120&lt;2250000),VLOOKUP(2210000,源泉DB!$B$259:$K$259,L120+3)+ROUNDDOWN((K120-2210000)*40.84%,0),IF(AND(K120&gt;2170000,K120&lt;2210000),VLOOKUP(2170000,源泉DB!$B$258:$K$258,L120+3)+ROUNDDOWN((K120-2170000)*40.84%,0),IF(AND(K120&gt;1700000,K120&lt;2170000),VLOOKUP(1700000,源泉DB!$B$257:$K$257,L120+3)+ROUNDDOWN((K120-1700000)*40.84%,0),IF(AND(K120&gt;950000,K120&lt;1700000),VLOOKUP(950000,源泉DB!$B$256:$K$256,L120+3)+ROUNDDOWN((K120-950000)*33.693%,0),IF(AND(K120&gt;780000,K120&lt;950000),VLOOKUP(780000,源泉DB!$B$255:$K$255,L120+3)+ROUNDDOWN((K120-780000)*23.483%,0),IF(AND(K120&gt;740000,K120&lt;780000),VLOOKUP(740000,源泉DB!$B$254:$K$254,L120+3)+ROUNDDOWN((K120-740000)*20.42%,0),VLOOKUP(K120,源泉DB!$B$8:$K$299,L120+3))))))))),IF(F120="乙",IF(K120&gt;1700000,651900+(K120-1700000) *45.945%,IF(K120=1700000,651900,IF(AND(K120&gt;740000,K120&lt;1700000),259800+(K120-740000)*40.84%,IF(K120=740000,259800,IF(K120&lt;88000,ROUNDDOWN(K120*3.063%,9),VLOOKUP(K120,源泉DB!$B$8:$L$254,11)))))),"")),"")</f>
        <v/>
      </c>
      <c r="U120" s="165"/>
      <c r="V120" s="166"/>
      <c r="W120" s="166"/>
      <c r="X120" s="166"/>
      <c r="Y120" s="166"/>
      <c r="Z120" s="178">
        <f>ROUND(IFERROR(IF(($G120="加入"),VLOOKUP($I120,年金DB!$G$16:$P$65,6,TRUE),0),0)-0.1,0)</f>
        <v>0</v>
      </c>
      <c r="AA120" s="178">
        <f>ROUND(IFERROR(IF(AND($G120="加入",$D120&gt;=40,$D120&lt;=64),VLOOKUP($I120,年金DB!$G$16:$P$65,10,TRUE),0),0)-0.1,0)</f>
        <v>0</v>
      </c>
      <c r="AB120" s="178">
        <f>ROUND(IFERROR(IF(AND($G120="加入",$D120&lt;40),VLOOKUP($J120,年金DB!$G$16:$X$62,14,TRUE),IF(AND($G120="加入",$D120&gt;=40),VLOOKUP($J120,年金DB!$G$16:$X$62,14,TRUE),"0")),0)-0.1,0)</f>
        <v>0</v>
      </c>
      <c r="AC120" s="178">
        <f t="shared" si="13"/>
        <v>0</v>
      </c>
      <c r="AD120" s="21">
        <f t="shared" si="10"/>
        <v>0</v>
      </c>
      <c r="AE120" s="173">
        <f t="shared" si="11"/>
        <v>0</v>
      </c>
      <c r="AF120" s="14" t="str">
        <f t="shared" si="12"/>
        <v/>
      </c>
      <c r="AG120" s="14"/>
      <c r="AH120" s="14"/>
    </row>
    <row r="121" spans="1:34">
      <c r="A121" s="28"/>
      <c r="B121" s="180"/>
      <c r="C121" s="188"/>
      <c r="D121" s="161"/>
      <c r="E121" s="162"/>
      <c r="F121" s="162"/>
      <c r="G121" s="163"/>
      <c r="H121" s="285"/>
      <c r="I121" s="282"/>
      <c r="J121" s="16"/>
      <c r="K121" s="18">
        <f t="shared" si="8"/>
        <v>0</v>
      </c>
      <c r="L121" s="288">
        <v>0</v>
      </c>
      <c r="M121" s="291"/>
      <c r="N121" s="164"/>
      <c r="O121" s="164"/>
      <c r="P121" s="164"/>
      <c r="Q121" s="175">
        <f t="shared" si="14"/>
        <v>0</v>
      </c>
      <c r="R121" s="164"/>
      <c r="S121" s="197">
        <f t="shared" si="9"/>
        <v>0</v>
      </c>
      <c r="T121" s="201" t="str" cm="1">
        <f t="array" ref="T121">IFERROR(IF(F121="甲",IF(K121&gt;3500000,VLOOKUP(3500000,源泉DB!$B$261:$L$261,L121+3)+ROUNDDOWN((K121-3500000)*45.945%,0),IF(AND(K121&gt;2250000,K121&lt;3500000),VLOOKUP(2250000,源泉DB!$B$260:$K$260,L121+3)+ROUNDDOWN((K121-2250000)*40.84%,0),IF(AND(K121&gt;2210000,K121&lt;2250000),VLOOKUP(2210000,源泉DB!$B$259:$K$259,L121+3)+ROUNDDOWN((K121-2210000)*40.84%,0),IF(AND(K121&gt;2170000,K121&lt;2210000),VLOOKUP(2170000,源泉DB!$B$258:$K$258,L121+3)+ROUNDDOWN((K121-2170000)*40.84%,0),IF(AND(K121&gt;1700000,K121&lt;2170000),VLOOKUP(1700000,源泉DB!$B$257:$K$257,L121+3)+ROUNDDOWN((K121-1700000)*40.84%,0),IF(AND(K121&gt;950000,K121&lt;1700000),VLOOKUP(950000,源泉DB!$B$256:$K$256,L121+3)+ROUNDDOWN((K121-950000)*33.693%,0),IF(AND(K121&gt;780000,K121&lt;950000),VLOOKUP(780000,源泉DB!$B$255:$K$255,L121+3)+ROUNDDOWN((K121-780000)*23.483%,0),IF(AND(K121&gt;740000,K121&lt;780000),VLOOKUP(740000,源泉DB!$B$254:$K$254,L121+3)+ROUNDDOWN((K121-740000)*20.42%,0),VLOOKUP(K121,源泉DB!$B$8:$K$299,L121+3))))))))),IF(F121="乙",IF(K121&gt;1700000,651900+(K121-1700000) *45.945%,IF(K121=1700000,651900,IF(AND(K121&gt;740000,K121&lt;1700000),259800+(K121-740000)*40.84%,IF(K121=740000,259800,IF(K121&lt;88000,ROUNDDOWN(K121*3.063%,9),VLOOKUP(K121,源泉DB!$B$8:$L$254,11)))))),"")),"")</f>
        <v/>
      </c>
      <c r="U121" s="165"/>
      <c r="V121" s="166"/>
      <c r="W121" s="166"/>
      <c r="X121" s="166"/>
      <c r="Y121" s="166"/>
      <c r="Z121" s="178">
        <f>ROUND(IFERROR(IF(($G121="加入"),VLOOKUP($I121,年金DB!$G$16:$P$65,6,TRUE),0),0)-0.1,0)</f>
        <v>0</v>
      </c>
      <c r="AA121" s="178">
        <f>ROUND(IFERROR(IF(AND($G121="加入",$D121&gt;=40,$D121&lt;=64),VLOOKUP($I121,年金DB!$G$16:$P$65,10,TRUE),0),0)-0.1,0)</f>
        <v>0</v>
      </c>
      <c r="AB121" s="178">
        <f>ROUND(IFERROR(IF(AND($G121="加入",$D121&lt;40),VLOOKUP($J121,年金DB!$G$16:$X$62,14,TRUE),IF(AND($G121="加入",$D121&gt;=40),VLOOKUP($J121,年金DB!$G$16:$X$62,14,TRUE),"0")),0)-0.1,0)</f>
        <v>0</v>
      </c>
      <c r="AC121" s="178">
        <f t="shared" si="13"/>
        <v>0</v>
      </c>
      <c r="AD121" s="21">
        <f t="shared" si="10"/>
        <v>0</v>
      </c>
      <c r="AE121" s="173">
        <f t="shared" si="11"/>
        <v>0</v>
      </c>
      <c r="AF121" s="14" t="str">
        <f t="shared" si="12"/>
        <v/>
      </c>
      <c r="AG121" s="14"/>
      <c r="AH121" s="14"/>
    </row>
    <row r="122" spans="1:34">
      <c r="A122" s="28"/>
      <c r="B122" s="180"/>
      <c r="C122" s="188"/>
      <c r="D122" s="161"/>
      <c r="E122" s="162"/>
      <c r="F122" s="162"/>
      <c r="G122" s="163"/>
      <c r="H122" s="285"/>
      <c r="I122" s="282"/>
      <c r="J122" s="16"/>
      <c r="K122" s="18">
        <f t="shared" si="8"/>
        <v>0</v>
      </c>
      <c r="L122" s="288">
        <v>0</v>
      </c>
      <c r="M122" s="291"/>
      <c r="N122" s="164"/>
      <c r="O122" s="164"/>
      <c r="P122" s="164"/>
      <c r="Q122" s="175">
        <f t="shared" si="14"/>
        <v>0</v>
      </c>
      <c r="R122" s="164"/>
      <c r="S122" s="197">
        <f t="shared" si="9"/>
        <v>0</v>
      </c>
      <c r="T122" s="201" t="str" cm="1">
        <f t="array" ref="T122">IFERROR(IF(F122="甲",IF(K122&gt;3500000,VLOOKUP(3500000,源泉DB!$B$261:$L$261,L122+3)+ROUNDDOWN((K122-3500000)*45.945%,0),IF(AND(K122&gt;2250000,K122&lt;3500000),VLOOKUP(2250000,源泉DB!$B$260:$K$260,L122+3)+ROUNDDOWN((K122-2250000)*40.84%,0),IF(AND(K122&gt;2210000,K122&lt;2250000),VLOOKUP(2210000,源泉DB!$B$259:$K$259,L122+3)+ROUNDDOWN((K122-2210000)*40.84%,0),IF(AND(K122&gt;2170000,K122&lt;2210000),VLOOKUP(2170000,源泉DB!$B$258:$K$258,L122+3)+ROUNDDOWN((K122-2170000)*40.84%,0),IF(AND(K122&gt;1700000,K122&lt;2170000),VLOOKUP(1700000,源泉DB!$B$257:$K$257,L122+3)+ROUNDDOWN((K122-1700000)*40.84%,0),IF(AND(K122&gt;950000,K122&lt;1700000),VLOOKUP(950000,源泉DB!$B$256:$K$256,L122+3)+ROUNDDOWN((K122-950000)*33.693%,0),IF(AND(K122&gt;780000,K122&lt;950000),VLOOKUP(780000,源泉DB!$B$255:$K$255,L122+3)+ROUNDDOWN((K122-780000)*23.483%,0),IF(AND(K122&gt;740000,K122&lt;780000),VLOOKUP(740000,源泉DB!$B$254:$K$254,L122+3)+ROUNDDOWN((K122-740000)*20.42%,0),VLOOKUP(K122,源泉DB!$B$8:$K$299,L122+3))))))))),IF(F122="乙",IF(K122&gt;1700000,651900+(K122-1700000) *45.945%,IF(K122=1700000,651900,IF(AND(K122&gt;740000,K122&lt;1700000),259800+(K122-740000)*40.84%,IF(K122=740000,259800,IF(K122&lt;88000,ROUNDDOWN(K122*3.063%,9),VLOOKUP(K122,源泉DB!$B$8:$L$254,11)))))),"")),"")</f>
        <v/>
      </c>
      <c r="U122" s="165"/>
      <c r="V122" s="166"/>
      <c r="W122" s="166"/>
      <c r="X122" s="166"/>
      <c r="Y122" s="166"/>
      <c r="Z122" s="178">
        <f>ROUND(IFERROR(IF(($G122="加入"),VLOOKUP($I122,年金DB!$G$16:$P$65,6,TRUE),0),0)-0.1,0)</f>
        <v>0</v>
      </c>
      <c r="AA122" s="178">
        <f>ROUND(IFERROR(IF(AND($G122="加入",$D122&gt;=40,$D122&lt;=64),VLOOKUP($I122,年金DB!$G$16:$P$65,10,TRUE),0),0)-0.1,0)</f>
        <v>0</v>
      </c>
      <c r="AB122" s="178">
        <f>ROUND(IFERROR(IF(AND($G122="加入",$D122&lt;40),VLOOKUP($J122,年金DB!$G$16:$X$62,14,TRUE),IF(AND($G122="加入",$D122&gt;=40),VLOOKUP($J122,年金DB!$G$16:$X$62,14,TRUE),"0")),0)-0.1,0)</f>
        <v>0</v>
      </c>
      <c r="AC122" s="178">
        <f t="shared" si="13"/>
        <v>0</v>
      </c>
      <c r="AD122" s="21">
        <f t="shared" si="10"/>
        <v>0</v>
      </c>
      <c r="AE122" s="173">
        <f t="shared" si="11"/>
        <v>0</v>
      </c>
      <c r="AF122" s="14" t="str">
        <f t="shared" si="12"/>
        <v/>
      </c>
      <c r="AG122" s="14"/>
      <c r="AH122" s="14"/>
    </row>
    <row r="123" spans="1:34">
      <c r="A123" s="28"/>
      <c r="B123" s="180"/>
      <c r="C123" s="188"/>
      <c r="D123" s="161"/>
      <c r="E123" s="162"/>
      <c r="F123" s="162"/>
      <c r="G123" s="163"/>
      <c r="H123" s="285"/>
      <c r="I123" s="282"/>
      <c r="J123" s="16"/>
      <c r="K123" s="18">
        <f t="shared" si="8"/>
        <v>0</v>
      </c>
      <c r="L123" s="288">
        <v>0</v>
      </c>
      <c r="M123" s="291"/>
      <c r="N123" s="164"/>
      <c r="O123" s="164"/>
      <c r="P123" s="164"/>
      <c r="Q123" s="175">
        <f t="shared" si="14"/>
        <v>0</v>
      </c>
      <c r="R123" s="164"/>
      <c r="S123" s="197">
        <f t="shared" si="9"/>
        <v>0</v>
      </c>
      <c r="T123" s="201" t="str" cm="1">
        <f t="array" ref="T123">IFERROR(IF(F123="甲",IF(K123&gt;3500000,VLOOKUP(3500000,源泉DB!$B$261:$L$261,L123+3)+ROUNDDOWN((K123-3500000)*45.945%,0),IF(AND(K123&gt;2250000,K123&lt;3500000),VLOOKUP(2250000,源泉DB!$B$260:$K$260,L123+3)+ROUNDDOWN((K123-2250000)*40.84%,0),IF(AND(K123&gt;2210000,K123&lt;2250000),VLOOKUP(2210000,源泉DB!$B$259:$K$259,L123+3)+ROUNDDOWN((K123-2210000)*40.84%,0),IF(AND(K123&gt;2170000,K123&lt;2210000),VLOOKUP(2170000,源泉DB!$B$258:$K$258,L123+3)+ROUNDDOWN((K123-2170000)*40.84%,0),IF(AND(K123&gt;1700000,K123&lt;2170000),VLOOKUP(1700000,源泉DB!$B$257:$K$257,L123+3)+ROUNDDOWN((K123-1700000)*40.84%,0),IF(AND(K123&gt;950000,K123&lt;1700000),VLOOKUP(950000,源泉DB!$B$256:$K$256,L123+3)+ROUNDDOWN((K123-950000)*33.693%,0),IF(AND(K123&gt;780000,K123&lt;950000),VLOOKUP(780000,源泉DB!$B$255:$K$255,L123+3)+ROUNDDOWN((K123-780000)*23.483%,0),IF(AND(K123&gt;740000,K123&lt;780000),VLOOKUP(740000,源泉DB!$B$254:$K$254,L123+3)+ROUNDDOWN((K123-740000)*20.42%,0),VLOOKUP(K123,源泉DB!$B$8:$K$299,L123+3))))))))),IF(F123="乙",IF(K123&gt;1700000,651900+(K123-1700000) *45.945%,IF(K123=1700000,651900,IF(AND(K123&gt;740000,K123&lt;1700000),259800+(K123-740000)*40.84%,IF(K123=740000,259800,IF(K123&lt;88000,ROUNDDOWN(K123*3.063%,9),VLOOKUP(K123,源泉DB!$B$8:$L$254,11)))))),"")),"")</f>
        <v/>
      </c>
      <c r="U123" s="165"/>
      <c r="V123" s="166"/>
      <c r="W123" s="166"/>
      <c r="X123" s="166"/>
      <c r="Y123" s="166"/>
      <c r="Z123" s="178">
        <f>ROUND(IFERROR(IF(($G123="加入"),VLOOKUP($I123,年金DB!$G$16:$P$65,6,TRUE),0),0)-0.1,0)</f>
        <v>0</v>
      </c>
      <c r="AA123" s="178">
        <f>ROUND(IFERROR(IF(AND($G123="加入",$D123&gt;=40,$D123&lt;=64),VLOOKUP($I123,年金DB!$G$16:$P$65,10,TRUE),0),0)-0.1,0)</f>
        <v>0</v>
      </c>
      <c r="AB123" s="178">
        <f>ROUND(IFERROR(IF(AND($G123="加入",$D123&lt;40),VLOOKUP($J123,年金DB!$G$16:$X$62,14,TRUE),IF(AND($G123="加入",$D123&gt;=40),VLOOKUP($J123,年金DB!$G$16:$X$62,14,TRUE),"0")),0)-0.1,0)</f>
        <v>0</v>
      </c>
      <c r="AC123" s="178">
        <f t="shared" si="13"/>
        <v>0</v>
      </c>
      <c r="AD123" s="21">
        <f t="shared" si="10"/>
        <v>0</v>
      </c>
      <c r="AE123" s="173">
        <f t="shared" si="11"/>
        <v>0</v>
      </c>
      <c r="AF123" s="14" t="str">
        <f t="shared" si="12"/>
        <v/>
      </c>
      <c r="AG123" s="14"/>
      <c r="AH123" s="14"/>
    </row>
    <row r="124" spans="1:34">
      <c r="A124" s="28"/>
      <c r="B124" s="180"/>
      <c r="C124" s="188"/>
      <c r="D124" s="161"/>
      <c r="E124" s="162"/>
      <c r="F124" s="162"/>
      <c r="G124" s="163"/>
      <c r="H124" s="285"/>
      <c r="I124" s="282"/>
      <c r="J124" s="16"/>
      <c r="K124" s="18">
        <f t="shared" si="8"/>
        <v>0</v>
      </c>
      <c r="L124" s="288">
        <v>0</v>
      </c>
      <c r="M124" s="291"/>
      <c r="N124" s="164"/>
      <c r="O124" s="164"/>
      <c r="P124" s="164"/>
      <c r="Q124" s="175">
        <f t="shared" si="14"/>
        <v>0</v>
      </c>
      <c r="R124" s="164"/>
      <c r="S124" s="197">
        <f t="shared" si="9"/>
        <v>0</v>
      </c>
      <c r="T124" s="201" t="str" cm="1">
        <f t="array" ref="T124">IFERROR(IF(F124="甲",IF(K124&gt;3500000,VLOOKUP(3500000,源泉DB!$B$261:$L$261,L124+3)+ROUNDDOWN((K124-3500000)*45.945%,0),IF(AND(K124&gt;2250000,K124&lt;3500000),VLOOKUP(2250000,源泉DB!$B$260:$K$260,L124+3)+ROUNDDOWN((K124-2250000)*40.84%,0),IF(AND(K124&gt;2210000,K124&lt;2250000),VLOOKUP(2210000,源泉DB!$B$259:$K$259,L124+3)+ROUNDDOWN((K124-2210000)*40.84%,0),IF(AND(K124&gt;2170000,K124&lt;2210000),VLOOKUP(2170000,源泉DB!$B$258:$K$258,L124+3)+ROUNDDOWN((K124-2170000)*40.84%,0),IF(AND(K124&gt;1700000,K124&lt;2170000),VLOOKUP(1700000,源泉DB!$B$257:$K$257,L124+3)+ROUNDDOWN((K124-1700000)*40.84%,0),IF(AND(K124&gt;950000,K124&lt;1700000),VLOOKUP(950000,源泉DB!$B$256:$K$256,L124+3)+ROUNDDOWN((K124-950000)*33.693%,0),IF(AND(K124&gt;780000,K124&lt;950000),VLOOKUP(780000,源泉DB!$B$255:$K$255,L124+3)+ROUNDDOWN((K124-780000)*23.483%,0),IF(AND(K124&gt;740000,K124&lt;780000),VLOOKUP(740000,源泉DB!$B$254:$K$254,L124+3)+ROUNDDOWN((K124-740000)*20.42%,0),VLOOKUP(K124,源泉DB!$B$8:$K$299,L124+3))))))))),IF(F124="乙",IF(K124&gt;1700000,651900+(K124-1700000) *45.945%,IF(K124=1700000,651900,IF(AND(K124&gt;740000,K124&lt;1700000),259800+(K124-740000)*40.84%,IF(K124=740000,259800,IF(K124&lt;88000,ROUNDDOWN(K124*3.063%,9),VLOOKUP(K124,源泉DB!$B$8:$L$254,11)))))),"")),"")</f>
        <v/>
      </c>
      <c r="U124" s="165"/>
      <c r="V124" s="166"/>
      <c r="W124" s="166"/>
      <c r="X124" s="166"/>
      <c r="Y124" s="166"/>
      <c r="Z124" s="178">
        <f>ROUND(IFERROR(IF(($G124="加入"),VLOOKUP($I124,年金DB!$G$16:$P$65,6,TRUE),0),0)-0.1,0)</f>
        <v>0</v>
      </c>
      <c r="AA124" s="178">
        <f>ROUND(IFERROR(IF(AND($G124="加入",$D124&gt;=40,$D124&lt;=64),VLOOKUP($I124,年金DB!$G$16:$P$65,10,TRUE),0),0)-0.1,0)</f>
        <v>0</v>
      </c>
      <c r="AB124" s="178">
        <f>ROUND(IFERROR(IF(AND($G124="加入",$D124&lt;40),VLOOKUP($J124,年金DB!$G$16:$X$62,14,TRUE),IF(AND($G124="加入",$D124&gt;=40),VLOOKUP($J124,年金DB!$G$16:$X$62,14,TRUE),"0")),0)-0.1,0)</f>
        <v>0</v>
      </c>
      <c r="AC124" s="178">
        <f t="shared" si="13"/>
        <v>0</v>
      </c>
      <c r="AD124" s="21">
        <f t="shared" si="10"/>
        <v>0</v>
      </c>
      <c r="AE124" s="173">
        <f t="shared" si="11"/>
        <v>0</v>
      </c>
      <c r="AF124" s="14" t="str">
        <f t="shared" si="12"/>
        <v/>
      </c>
      <c r="AG124" s="14"/>
      <c r="AH124" s="14"/>
    </row>
    <row r="125" spans="1:34">
      <c r="A125" s="28"/>
      <c r="B125" s="180"/>
      <c r="C125" s="188"/>
      <c r="D125" s="161"/>
      <c r="E125" s="162"/>
      <c r="F125" s="162"/>
      <c r="G125" s="163"/>
      <c r="H125" s="285"/>
      <c r="I125" s="282"/>
      <c r="J125" s="16"/>
      <c r="K125" s="18">
        <f t="shared" si="8"/>
        <v>0</v>
      </c>
      <c r="L125" s="288">
        <v>0</v>
      </c>
      <c r="M125" s="291"/>
      <c r="N125" s="164"/>
      <c r="O125" s="164"/>
      <c r="P125" s="164"/>
      <c r="Q125" s="175">
        <f t="shared" si="14"/>
        <v>0</v>
      </c>
      <c r="R125" s="164"/>
      <c r="S125" s="197">
        <f t="shared" si="9"/>
        <v>0</v>
      </c>
      <c r="T125" s="201" t="str" cm="1">
        <f t="array" ref="T125">IFERROR(IF(F125="甲",IF(K125&gt;3500000,VLOOKUP(3500000,源泉DB!$B$261:$L$261,L125+3)+ROUNDDOWN((K125-3500000)*45.945%,0),IF(AND(K125&gt;2250000,K125&lt;3500000),VLOOKUP(2250000,源泉DB!$B$260:$K$260,L125+3)+ROUNDDOWN((K125-2250000)*40.84%,0),IF(AND(K125&gt;2210000,K125&lt;2250000),VLOOKUP(2210000,源泉DB!$B$259:$K$259,L125+3)+ROUNDDOWN((K125-2210000)*40.84%,0),IF(AND(K125&gt;2170000,K125&lt;2210000),VLOOKUP(2170000,源泉DB!$B$258:$K$258,L125+3)+ROUNDDOWN((K125-2170000)*40.84%,0),IF(AND(K125&gt;1700000,K125&lt;2170000),VLOOKUP(1700000,源泉DB!$B$257:$K$257,L125+3)+ROUNDDOWN((K125-1700000)*40.84%,0),IF(AND(K125&gt;950000,K125&lt;1700000),VLOOKUP(950000,源泉DB!$B$256:$K$256,L125+3)+ROUNDDOWN((K125-950000)*33.693%,0),IF(AND(K125&gt;780000,K125&lt;950000),VLOOKUP(780000,源泉DB!$B$255:$K$255,L125+3)+ROUNDDOWN((K125-780000)*23.483%,0),IF(AND(K125&gt;740000,K125&lt;780000),VLOOKUP(740000,源泉DB!$B$254:$K$254,L125+3)+ROUNDDOWN((K125-740000)*20.42%,0),VLOOKUP(K125,源泉DB!$B$8:$K$299,L125+3))))))))),IF(F125="乙",IF(K125&gt;1700000,651900+(K125-1700000) *45.945%,IF(K125=1700000,651900,IF(AND(K125&gt;740000,K125&lt;1700000),259800+(K125-740000)*40.84%,IF(K125=740000,259800,IF(K125&lt;88000,ROUNDDOWN(K125*3.063%,9),VLOOKUP(K125,源泉DB!$B$8:$L$254,11)))))),"")),"")</f>
        <v/>
      </c>
      <c r="U125" s="165"/>
      <c r="V125" s="166"/>
      <c r="W125" s="166"/>
      <c r="X125" s="166"/>
      <c r="Y125" s="166"/>
      <c r="Z125" s="178">
        <f>ROUND(IFERROR(IF(($G125="加入"),VLOOKUP($I125,年金DB!$G$16:$P$65,6,TRUE),0),0)-0.1,0)</f>
        <v>0</v>
      </c>
      <c r="AA125" s="178">
        <f>ROUND(IFERROR(IF(AND($G125="加入",$D125&gt;=40,$D125&lt;=64),VLOOKUP($I125,年金DB!$G$16:$P$65,10,TRUE),0),0)-0.1,0)</f>
        <v>0</v>
      </c>
      <c r="AB125" s="178">
        <f>ROUND(IFERROR(IF(AND($G125="加入",$D125&lt;40),VLOOKUP($J125,年金DB!$G$16:$X$62,14,TRUE),IF(AND($G125="加入",$D125&gt;=40),VLOOKUP($J125,年金DB!$G$16:$X$62,14,TRUE),"0")),0)-0.1,0)</f>
        <v>0</v>
      </c>
      <c r="AC125" s="178">
        <f t="shared" si="13"/>
        <v>0</v>
      </c>
      <c r="AD125" s="21">
        <f t="shared" si="10"/>
        <v>0</v>
      </c>
      <c r="AE125" s="173">
        <f t="shared" si="11"/>
        <v>0</v>
      </c>
      <c r="AF125" s="14" t="str">
        <f t="shared" si="12"/>
        <v/>
      </c>
      <c r="AG125" s="14"/>
      <c r="AH125" s="14"/>
    </row>
    <row r="126" spans="1:34">
      <c r="A126" s="28"/>
      <c r="B126" s="180"/>
      <c r="C126" s="188"/>
      <c r="D126" s="161"/>
      <c r="E126" s="162"/>
      <c r="F126" s="162"/>
      <c r="G126" s="163"/>
      <c r="H126" s="285"/>
      <c r="I126" s="282"/>
      <c r="J126" s="16"/>
      <c r="K126" s="18">
        <f t="shared" si="8"/>
        <v>0</v>
      </c>
      <c r="L126" s="288">
        <v>0</v>
      </c>
      <c r="M126" s="291"/>
      <c r="N126" s="164"/>
      <c r="O126" s="164"/>
      <c r="P126" s="164"/>
      <c r="Q126" s="175">
        <f t="shared" si="14"/>
        <v>0</v>
      </c>
      <c r="R126" s="164"/>
      <c r="S126" s="197">
        <f t="shared" si="9"/>
        <v>0</v>
      </c>
      <c r="T126" s="201" t="str" cm="1">
        <f t="array" ref="T126">IFERROR(IF(F126="甲",IF(K126&gt;3500000,VLOOKUP(3500000,源泉DB!$B$261:$L$261,L126+3)+ROUNDDOWN((K126-3500000)*45.945%,0),IF(AND(K126&gt;2250000,K126&lt;3500000),VLOOKUP(2250000,源泉DB!$B$260:$K$260,L126+3)+ROUNDDOWN((K126-2250000)*40.84%,0),IF(AND(K126&gt;2210000,K126&lt;2250000),VLOOKUP(2210000,源泉DB!$B$259:$K$259,L126+3)+ROUNDDOWN((K126-2210000)*40.84%,0),IF(AND(K126&gt;2170000,K126&lt;2210000),VLOOKUP(2170000,源泉DB!$B$258:$K$258,L126+3)+ROUNDDOWN((K126-2170000)*40.84%,0),IF(AND(K126&gt;1700000,K126&lt;2170000),VLOOKUP(1700000,源泉DB!$B$257:$K$257,L126+3)+ROUNDDOWN((K126-1700000)*40.84%,0),IF(AND(K126&gt;950000,K126&lt;1700000),VLOOKUP(950000,源泉DB!$B$256:$K$256,L126+3)+ROUNDDOWN((K126-950000)*33.693%,0),IF(AND(K126&gt;780000,K126&lt;950000),VLOOKUP(780000,源泉DB!$B$255:$K$255,L126+3)+ROUNDDOWN((K126-780000)*23.483%,0),IF(AND(K126&gt;740000,K126&lt;780000),VLOOKUP(740000,源泉DB!$B$254:$K$254,L126+3)+ROUNDDOWN((K126-740000)*20.42%,0),VLOOKUP(K126,源泉DB!$B$8:$K$299,L126+3))))))))),IF(F126="乙",IF(K126&gt;1700000,651900+(K126-1700000) *45.945%,IF(K126=1700000,651900,IF(AND(K126&gt;740000,K126&lt;1700000),259800+(K126-740000)*40.84%,IF(K126=740000,259800,IF(K126&lt;88000,ROUNDDOWN(K126*3.063%,9),VLOOKUP(K126,源泉DB!$B$8:$L$254,11)))))),"")),"")</f>
        <v/>
      </c>
      <c r="U126" s="165"/>
      <c r="V126" s="166"/>
      <c r="W126" s="166"/>
      <c r="X126" s="166"/>
      <c r="Y126" s="166"/>
      <c r="Z126" s="178">
        <f>ROUND(IFERROR(IF(($G126="加入"),VLOOKUP($I126,年金DB!$G$16:$P$65,6,TRUE),0),0)-0.1,0)</f>
        <v>0</v>
      </c>
      <c r="AA126" s="178">
        <f>ROUND(IFERROR(IF(AND($G126="加入",$D126&gt;=40,$D126&lt;=64),VLOOKUP($I126,年金DB!$G$16:$P$65,10,TRUE),0),0)-0.1,0)</f>
        <v>0</v>
      </c>
      <c r="AB126" s="178">
        <f>ROUND(IFERROR(IF(AND($G126="加入",$D126&lt;40),VLOOKUP($J126,年金DB!$G$16:$X$62,14,TRUE),IF(AND($G126="加入",$D126&gt;=40),VLOOKUP($J126,年金DB!$G$16:$X$62,14,TRUE),"0")),0)-0.1,0)</f>
        <v>0</v>
      </c>
      <c r="AC126" s="178">
        <f t="shared" si="13"/>
        <v>0</v>
      </c>
      <c r="AD126" s="21">
        <f t="shared" si="10"/>
        <v>0</v>
      </c>
      <c r="AE126" s="173">
        <f t="shared" si="11"/>
        <v>0</v>
      </c>
      <c r="AF126" s="14" t="str">
        <f t="shared" si="12"/>
        <v/>
      </c>
      <c r="AG126" s="14"/>
      <c r="AH126" s="14"/>
    </row>
    <row r="127" spans="1:34">
      <c r="A127" s="28"/>
      <c r="B127" s="180"/>
      <c r="C127" s="188"/>
      <c r="D127" s="161"/>
      <c r="E127" s="162"/>
      <c r="F127" s="162"/>
      <c r="G127" s="163"/>
      <c r="H127" s="285"/>
      <c r="I127" s="282"/>
      <c r="J127" s="16"/>
      <c r="K127" s="18">
        <f t="shared" si="8"/>
        <v>0</v>
      </c>
      <c r="L127" s="288">
        <v>0</v>
      </c>
      <c r="M127" s="291"/>
      <c r="N127" s="164"/>
      <c r="O127" s="164"/>
      <c r="P127" s="164"/>
      <c r="Q127" s="175">
        <f t="shared" si="14"/>
        <v>0</v>
      </c>
      <c r="R127" s="164"/>
      <c r="S127" s="197">
        <f t="shared" si="9"/>
        <v>0</v>
      </c>
      <c r="T127" s="201" t="str" cm="1">
        <f t="array" ref="T127">IFERROR(IF(F127="甲",IF(K127&gt;3500000,VLOOKUP(3500000,源泉DB!$B$261:$L$261,L127+3)+ROUNDDOWN((K127-3500000)*45.945%,0),IF(AND(K127&gt;2250000,K127&lt;3500000),VLOOKUP(2250000,源泉DB!$B$260:$K$260,L127+3)+ROUNDDOWN((K127-2250000)*40.84%,0),IF(AND(K127&gt;2210000,K127&lt;2250000),VLOOKUP(2210000,源泉DB!$B$259:$K$259,L127+3)+ROUNDDOWN((K127-2210000)*40.84%,0),IF(AND(K127&gt;2170000,K127&lt;2210000),VLOOKUP(2170000,源泉DB!$B$258:$K$258,L127+3)+ROUNDDOWN((K127-2170000)*40.84%,0),IF(AND(K127&gt;1700000,K127&lt;2170000),VLOOKUP(1700000,源泉DB!$B$257:$K$257,L127+3)+ROUNDDOWN((K127-1700000)*40.84%,0),IF(AND(K127&gt;950000,K127&lt;1700000),VLOOKUP(950000,源泉DB!$B$256:$K$256,L127+3)+ROUNDDOWN((K127-950000)*33.693%,0),IF(AND(K127&gt;780000,K127&lt;950000),VLOOKUP(780000,源泉DB!$B$255:$K$255,L127+3)+ROUNDDOWN((K127-780000)*23.483%,0),IF(AND(K127&gt;740000,K127&lt;780000),VLOOKUP(740000,源泉DB!$B$254:$K$254,L127+3)+ROUNDDOWN((K127-740000)*20.42%,0),VLOOKUP(K127,源泉DB!$B$8:$K$299,L127+3))))))))),IF(F127="乙",IF(K127&gt;1700000,651900+(K127-1700000) *45.945%,IF(K127=1700000,651900,IF(AND(K127&gt;740000,K127&lt;1700000),259800+(K127-740000)*40.84%,IF(K127=740000,259800,IF(K127&lt;88000,ROUNDDOWN(K127*3.063%,9),VLOOKUP(K127,源泉DB!$B$8:$L$254,11)))))),"")),"")</f>
        <v/>
      </c>
      <c r="U127" s="165"/>
      <c r="V127" s="166"/>
      <c r="W127" s="166"/>
      <c r="X127" s="166"/>
      <c r="Y127" s="166"/>
      <c r="Z127" s="178">
        <f>ROUND(IFERROR(IF(($G127="加入"),VLOOKUP($I127,年金DB!$G$16:$P$65,6,TRUE),0),0)-0.1,0)</f>
        <v>0</v>
      </c>
      <c r="AA127" s="178">
        <f>ROUND(IFERROR(IF(AND($G127="加入",$D127&gt;=40,$D127&lt;=64),VLOOKUP($I127,年金DB!$G$16:$P$65,10,TRUE),0),0)-0.1,0)</f>
        <v>0</v>
      </c>
      <c r="AB127" s="178">
        <f>ROUND(IFERROR(IF(AND($G127="加入",$D127&lt;40),VLOOKUP($J127,年金DB!$G$16:$X$62,14,TRUE),IF(AND($G127="加入",$D127&gt;=40),VLOOKUP($J127,年金DB!$G$16:$X$62,14,TRUE),"0")),0)-0.1,0)</f>
        <v>0</v>
      </c>
      <c r="AC127" s="178">
        <f t="shared" si="13"/>
        <v>0</v>
      </c>
      <c r="AD127" s="21">
        <f t="shared" si="10"/>
        <v>0</v>
      </c>
      <c r="AE127" s="173">
        <f t="shared" si="11"/>
        <v>0</v>
      </c>
      <c r="AF127" s="14" t="str">
        <f t="shared" si="12"/>
        <v/>
      </c>
      <c r="AG127" s="14"/>
      <c r="AH127" s="14"/>
    </row>
    <row r="128" spans="1:34">
      <c r="A128" s="28"/>
      <c r="B128" s="180"/>
      <c r="C128" s="188"/>
      <c r="D128" s="161"/>
      <c r="E128" s="162"/>
      <c r="F128" s="162"/>
      <c r="G128" s="163"/>
      <c r="H128" s="285"/>
      <c r="I128" s="282"/>
      <c r="J128" s="16"/>
      <c r="K128" s="18">
        <f t="shared" si="8"/>
        <v>0</v>
      </c>
      <c r="L128" s="288">
        <v>0</v>
      </c>
      <c r="M128" s="291"/>
      <c r="N128" s="164"/>
      <c r="O128" s="164"/>
      <c r="P128" s="164"/>
      <c r="Q128" s="175">
        <f t="shared" si="14"/>
        <v>0</v>
      </c>
      <c r="R128" s="164"/>
      <c r="S128" s="197">
        <f t="shared" si="9"/>
        <v>0</v>
      </c>
      <c r="T128" s="201" t="str" cm="1">
        <f t="array" ref="T128">IFERROR(IF(F128="甲",IF(K128&gt;3500000,VLOOKUP(3500000,源泉DB!$B$261:$L$261,L128+3)+ROUNDDOWN((K128-3500000)*45.945%,0),IF(AND(K128&gt;2250000,K128&lt;3500000),VLOOKUP(2250000,源泉DB!$B$260:$K$260,L128+3)+ROUNDDOWN((K128-2250000)*40.84%,0),IF(AND(K128&gt;2210000,K128&lt;2250000),VLOOKUP(2210000,源泉DB!$B$259:$K$259,L128+3)+ROUNDDOWN((K128-2210000)*40.84%,0),IF(AND(K128&gt;2170000,K128&lt;2210000),VLOOKUP(2170000,源泉DB!$B$258:$K$258,L128+3)+ROUNDDOWN((K128-2170000)*40.84%,0),IF(AND(K128&gt;1700000,K128&lt;2170000),VLOOKUP(1700000,源泉DB!$B$257:$K$257,L128+3)+ROUNDDOWN((K128-1700000)*40.84%,0),IF(AND(K128&gt;950000,K128&lt;1700000),VLOOKUP(950000,源泉DB!$B$256:$K$256,L128+3)+ROUNDDOWN((K128-950000)*33.693%,0),IF(AND(K128&gt;780000,K128&lt;950000),VLOOKUP(780000,源泉DB!$B$255:$K$255,L128+3)+ROUNDDOWN((K128-780000)*23.483%,0),IF(AND(K128&gt;740000,K128&lt;780000),VLOOKUP(740000,源泉DB!$B$254:$K$254,L128+3)+ROUNDDOWN((K128-740000)*20.42%,0),VLOOKUP(K128,源泉DB!$B$8:$K$299,L128+3))))))))),IF(F128="乙",IF(K128&gt;1700000,651900+(K128-1700000) *45.945%,IF(K128=1700000,651900,IF(AND(K128&gt;740000,K128&lt;1700000),259800+(K128-740000)*40.84%,IF(K128=740000,259800,IF(K128&lt;88000,ROUNDDOWN(K128*3.063%,9),VLOOKUP(K128,源泉DB!$B$8:$L$254,11)))))),"")),"")</f>
        <v/>
      </c>
      <c r="U128" s="165"/>
      <c r="V128" s="166"/>
      <c r="W128" s="166"/>
      <c r="X128" s="166"/>
      <c r="Y128" s="166"/>
      <c r="Z128" s="178">
        <f>ROUND(IFERROR(IF(($G128="加入"),VLOOKUP($I128,年金DB!$G$16:$P$65,6,TRUE),0),0)-0.1,0)</f>
        <v>0</v>
      </c>
      <c r="AA128" s="178">
        <f>ROUND(IFERROR(IF(AND($G128="加入",$D128&gt;=40,$D128&lt;=64),VLOOKUP($I128,年金DB!$G$16:$P$65,10,TRUE),0),0)-0.1,0)</f>
        <v>0</v>
      </c>
      <c r="AB128" s="178">
        <f>ROUND(IFERROR(IF(AND($G128="加入",$D128&lt;40),VLOOKUP($J128,年金DB!$G$16:$X$62,14,TRUE),IF(AND($G128="加入",$D128&gt;=40),VLOOKUP($J128,年金DB!$G$16:$X$62,14,TRUE),"0")),0)-0.1,0)</f>
        <v>0</v>
      </c>
      <c r="AC128" s="178">
        <f t="shared" si="13"/>
        <v>0</v>
      </c>
      <c r="AD128" s="21">
        <f t="shared" si="10"/>
        <v>0</v>
      </c>
      <c r="AE128" s="173">
        <f t="shared" si="11"/>
        <v>0</v>
      </c>
      <c r="AF128" s="14" t="str">
        <f t="shared" si="12"/>
        <v/>
      </c>
      <c r="AG128" s="14"/>
      <c r="AH128" s="14"/>
    </row>
    <row r="129" spans="1:34">
      <c r="A129" s="28"/>
      <c r="B129" s="180"/>
      <c r="C129" s="188"/>
      <c r="D129" s="161"/>
      <c r="E129" s="162"/>
      <c r="F129" s="162"/>
      <c r="G129" s="163"/>
      <c r="H129" s="285"/>
      <c r="I129" s="282"/>
      <c r="J129" s="16"/>
      <c r="K129" s="18">
        <f t="shared" si="8"/>
        <v>0</v>
      </c>
      <c r="L129" s="288">
        <v>0</v>
      </c>
      <c r="M129" s="291"/>
      <c r="N129" s="164"/>
      <c r="O129" s="164"/>
      <c r="P129" s="164"/>
      <c r="Q129" s="175">
        <f t="shared" si="14"/>
        <v>0</v>
      </c>
      <c r="R129" s="164"/>
      <c r="S129" s="197">
        <f t="shared" si="9"/>
        <v>0</v>
      </c>
      <c r="T129" s="201" t="str" cm="1">
        <f t="array" ref="T129">IFERROR(IF(F129="甲",IF(K129&gt;3500000,VLOOKUP(3500000,源泉DB!$B$261:$L$261,L129+3)+ROUNDDOWN((K129-3500000)*45.945%,0),IF(AND(K129&gt;2250000,K129&lt;3500000),VLOOKUP(2250000,源泉DB!$B$260:$K$260,L129+3)+ROUNDDOWN((K129-2250000)*40.84%,0),IF(AND(K129&gt;2210000,K129&lt;2250000),VLOOKUP(2210000,源泉DB!$B$259:$K$259,L129+3)+ROUNDDOWN((K129-2210000)*40.84%,0),IF(AND(K129&gt;2170000,K129&lt;2210000),VLOOKUP(2170000,源泉DB!$B$258:$K$258,L129+3)+ROUNDDOWN((K129-2170000)*40.84%,0),IF(AND(K129&gt;1700000,K129&lt;2170000),VLOOKUP(1700000,源泉DB!$B$257:$K$257,L129+3)+ROUNDDOWN((K129-1700000)*40.84%,0),IF(AND(K129&gt;950000,K129&lt;1700000),VLOOKUP(950000,源泉DB!$B$256:$K$256,L129+3)+ROUNDDOWN((K129-950000)*33.693%,0),IF(AND(K129&gt;780000,K129&lt;950000),VLOOKUP(780000,源泉DB!$B$255:$K$255,L129+3)+ROUNDDOWN((K129-780000)*23.483%,0),IF(AND(K129&gt;740000,K129&lt;780000),VLOOKUP(740000,源泉DB!$B$254:$K$254,L129+3)+ROUNDDOWN((K129-740000)*20.42%,0),VLOOKUP(K129,源泉DB!$B$8:$K$299,L129+3))))))))),IF(F129="乙",IF(K129&gt;1700000,651900+(K129-1700000) *45.945%,IF(K129=1700000,651900,IF(AND(K129&gt;740000,K129&lt;1700000),259800+(K129-740000)*40.84%,IF(K129=740000,259800,IF(K129&lt;88000,ROUNDDOWN(K129*3.063%,9),VLOOKUP(K129,源泉DB!$B$8:$L$254,11)))))),"")),"")</f>
        <v/>
      </c>
      <c r="U129" s="165"/>
      <c r="V129" s="166"/>
      <c r="W129" s="166"/>
      <c r="X129" s="166"/>
      <c r="Y129" s="166"/>
      <c r="Z129" s="178">
        <f>ROUND(IFERROR(IF(($G129="加入"),VLOOKUP($I129,年金DB!$G$16:$P$65,6,TRUE),0),0)-0.1,0)</f>
        <v>0</v>
      </c>
      <c r="AA129" s="178">
        <f>ROUND(IFERROR(IF(AND($G129="加入",$D129&gt;=40,$D129&lt;=64),VLOOKUP($I129,年金DB!$G$16:$P$65,10,TRUE),0),0)-0.1,0)</f>
        <v>0</v>
      </c>
      <c r="AB129" s="178">
        <f>ROUND(IFERROR(IF(AND($G129="加入",$D129&lt;40),VLOOKUP($J129,年金DB!$G$16:$X$62,14,TRUE),IF(AND($G129="加入",$D129&gt;=40),VLOOKUP($J129,年金DB!$G$16:$X$62,14,TRUE),"0")),0)-0.1,0)</f>
        <v>0</v>
      </c>
      <c r="AC129" s="178">
        <f t="shared" si="13"/>
        <v>0</v>
      </c>
      <c r="AD129" s="21">
        <f t="shared" si="10"/>
        <v>0</v>
      </c>
      <c r="AE129" s="173">
        <f t="shared" si="11"/>
        <v>0</v>
      </c>
      <c r="AF129" s="14" t="str">
        <f t="shared" si="12"/>
        <v/>
      </c>
      <c r="AG129" s="14"/>
      <c r="AH129" s="14"/>
    </row>
    <row r="130" spans="1:34">
      <c r="A130" s="28"/>
      <c r="B130" s="180"/>
      <c r="C130" s="188"/>
      <c r="D130" s="161"/>
      <c r="E130" s="162"/>
      <c r="F130" s="162"/>
      <c r="G130" s="163"/>
      <c r="H130" s="285"/>
      <c r="I130" s="282"/>
      <c r="J130" s="16"/>
      <c r="K130" s="18">
        <f t="shared" si="8"/>
        <v>0</v>
      </c>
      <c r="L130" s="288">
        <v>0</v>
      </c>
      <c r="M130" s="291"/>
      <c r="N130" s="164"/>
      <c r="O130" s="164"/>
      <c r="P130" s="164"/>
      <c r="Q130" s="175">
        <f t="shared" si="14"/>
        <v>0</v>
      </c>
      <c r="R130" s="164"/>
      <c r="S130" s="197">
        <f t="shared" si="9"/>
        <v>0</v>
      </c>
      <c r="T130" s="201" t="str" cm="1">
        <f t="array" ref="T130">IFERROR(IF(F130="甲",IF(K130&gt;3500000,VLOOKUP(3500000,源泉DB!$B$261:$L$261,L130+3)+ROUNDDOWN((K130-3500000)*45.945%,0),IF(AND(K130&gt;2250000,K130&lt;3500000),VLOOKUP(2250000,源泉DB!$B$260:$K$260,L130+3)+ROUNDDOWN((K130-2250000)*40.84%,0),IF(AND(K130&gt;2210000,K130&lt;2250000),VLOOKUP(2210000,源泉DB!$B$259:$K$259,L130+3)+ROUNDDOWN((K130-2210000)*40.84%,0),IF(AND(K130&gt;2170000,K130&lt;2210000),VLOOKUP(2170000,源泉DB!$B$258:$K$258,L130+3)+ROUNDDOWN((K130-2170000)*40.84%,0),IF(AND(K130&gt;1700000,K130&lt;2170000),VLOOKUP(1700000,源泉DB!$B$257:$K$257,L130+3)+ROUNDDOWN((K130-1700000)*40.84%,0),IF(AND(K130&gt;950000,K130&lt;1700000),VLOOKUP(950000,源泉DB!$B$256:$K$256,L130+3)+ROUNDDOWN((K130-950000)*33.693%,0),IF(AND(K130&gt;780000,K130&lt;950000),VLOOKUP(780000,源泉DB!$B$255:$K$255,L130+3)+ROUNDDOWN((K130-780000)*23.483%,0),IF(AND(K130&gt;740000,K130&lt;780000),VLOOKUP(740000,源泉DB!$B$254:$K$254,L130+3)+ROUNDDOWN((K130-740000)*20.42%,0),VLOOKUP(K130,源泉DB!$B$8:$K$299,L130+3))))))))),IF(F130="乙",IF(K130&gt;1700000,651900+(K130-1700000) *45.945%,IF(K130=1700000,651900,IF(AND(K130&gt;740000,K130&lt;1700000),259800+(K130-740000)*40.84%,IF(K130=740000,259800,IF(K130&lt;88000,ROUNDDOWN(K130*3.063%,9),VLOOKUP(K130,源泉DB!$B$8:$L$254,11)))))),"")),"")</f>
        <v/>
      </c>
      <c r="U130" s="165"/>
      <c r="V130" s="166"/>
      <c r="W130" s="166"/>
      <c r="X130" s="166"/>
      <c r="Y130" s="166"/>
      <c r="Z130" s="178">
        <f>ROUND(IFERROR(IF(($G130="加入"),VLOOKUP($I130,年金DB!$G$16:$P$65,6,TRUE),0),0)-0.1,0)</f>
        <v>0</v>
      </c>
      <c r="AA130" s="178">
        <f>ROUND(IFERROR(IF(AND($G130="加入",$D130&gt;=40,$D130&lt;=64),VLOOKUP($I130,年金DB!$G$16:$P$65,10,TRUE),0),0)-0.1,0)</f>
        <v>0</v>
      </c>
      <c r="AB130" s="178">
        <f>ROUND(IFERROR(IF(AND($G130="加入",$D130&lt;40),VLOOKUP($J130,年金DB!$G$16:$X$62,14,TRUE),IF(AND($G130="加入",$D130&gt;=40),VLOOKUP($J130,年金DB!$G$16:$X$62,14,TRUE),"0")),0)-0.1,0)</f>
        <v>0</v>
      </c>
      <c r="AC130" s="178">
        <f t="shared" si="13"/>
        <v>0</v>
      </c>
      <c r="AD130" s="21">
        <f t="shared" si="10"/>
        <v>0</v>
      </c>
      <c r="AE130" s="173">
        <f t="shared" si="11"/>
        <v>0</v>
      </c>
      <c r="AF130" s="14" t="str">
        <f t="shared" si="12"/>
        <v/>
      </c>
      <c r="AG130" s="14"/>
      <c r="AH130" s="14"/>
    </row>
    <row r="131" spans="1:34">
      <c r="A131" s="28"/>
      <c r="B131" s="180"/>
      <c r="C131" s="188"/>
      <c r="D131" s="161"/>
      <c r="E131" s="162"/>
      <c r="F131" s="162"/>
      <c r="G131" s="163"/>
      <c r="H131" s="285"/>
      <c r="I131" s="282"/>
      <c r="J131" s="16"/>
      <c r="K131" s="18">
        <f t="shared" si="8"/>
        <v>0</v>
      </c>
      <c r="L131" s="288">
        <v>0</v>
      </c>
      <c r="M131" s="291"/>
      <c r="N131" s="164"/>
      <c r="O131" s="164"/>
      <c r="P131" s="164"/>
      <c r="Q131" s="175">
        <f t="shared" si="14"/>
        <v>0</v>
      </c>
      <c r="R131" s="164"/>
      <c r="S131" s="197">
        <f t="shared" si="9"/>
        <v>0</v>
      </c>
      <c r="T131" s="201" t="str" cm="1">
        <f t="array" ref="T131">IFERROR(IF(F131="甲",IF(K131&gt;3500000,VLOOKUP(3500000,源泉DB!$B$261:$L$261,L131+3)+ROUNDDOWN((K131-3500000)*45.945%,0),IF(AND(K131&gt;2250000,K131&lt;3500000),VLOOKUP(2250000,源泉DB!$B$260:$K$260,L131+3)+ROUNDDOWN((K131-2250000)*40.84%,0),IF(AND(K131&gt;2210000,K131&lt;2250000),VLOOKUP(2210000,源泉DB!$B$259:$K$259,L131+3)+ROUNDDOWN((K131-2210000)*40.84%,0),IF(AND(K131&gt;2170000,K131&lt;2210000),VLOOKUP(2170000,源泉DB!$B$258:$K$258,L131+3)+ROUNDDOWN((K131-2170000)*40.84%,0),IF(AND(K131&gt;1700000,K131&lt;2170000),VLOOKUP(1700000,源泉DB!$B$257:$K$257,L131+3)+ROUNDDOWN((K131-1700000)*40.84%,0),IF(AND(K131&gt;950000,K131&lt;1700000),VLOOKUP(950000,源泉DB!$B$256:$K$256,L131+3)+ROUNDDOWN((K131-950000)*33.693%,0),IF(AND(K131&gt;780000,K131&lt;950000),VLOOKUP(780000,源泉DB!$B$255:$K$255,L131+3)+ROUNDDOWN((K131-780000)*23.483%,0),IF(AND(K131&gt;740000,K131&lt;780000),VLOOKUP(740000,源泉DB!$B$254:$K$254,L131+3)+ROUNDDOWN((K131-740000)*20.42%,0),VLOOKUP(K131,源泉DB!$B$8:$K$299,L131+3))))))))),IF(F131="乙",IF(K131&gt;1700000,651900+(K131-1700000) *45.945%,IF(K131=1700000,651900,IF(AND(K131&gt;740000,K131&lt;1700000),259800+(K131-740000)*40.84%,IF(K131=740000,259800,IF(K131&lt;88000,ROUNDDOWN(K131*3.063%,9),VLOOKUP(K131,源泉DB!$B$8:$L$254,11)))))),"")),"")</f>
        <v/>
      </c>
      <c r="U131" s="165"/>
      <c r="V131" s="166"/>
      <c r="W131" s="166"/>
      <c r="X131" s="166"/>
      <c r="Y131" s="166"/>
      <c r="Z131" s="178">
        <f>ROUND(IFERROR(IF(($G131="加入"),VLOOKUP($I131,年金DB!$G$16:$P$65,6,TRUE),0),0)-0.1,0)</f>
        <v>0</v>
      </c>
      <c r="AA131" s="178">
        <f>ROUND(IFERROR(IF(AND($G131="加入",$D131&gt;=40,$D131&lt;=64),VLOOKUP($I131,年金DB!$G$16:$P$65,10,TRUE),0),0)-0.1,0)</f>
        <v>0</v>
      </c>
      <c r="AB131" s="178">
        <f>ROUND(IFERROR(IF(AND($G131="加入",$D131&lt;40),VLOOKUP($J131,年金DB!$G$16:$X$62,14,TRUE),IF(AND($G131="加入",$D131&gt;=40),VLOOKUP($J131,年金DB!$G$16:$X$62,14,TRUE),"0")),0)-0.1,0)</f>
        <v>0</v>
      </c>
      <c r="AC131" s="178">
        <f t="shared" si="13"/>
        <v>0</v>
      </c>
      <c r="AD131" s="21">
        <f t="shared" si="10"/>
        <v>0</v>
      </c>
      <c r="AE131" s="173">
        <f t="shared" si="11"/>
        <v>0</v>
      </c>
      <c r="AF131" s="14" t="str">
        <f t="shared" si="12"/>
        <v/>
      </c>
      <c r="AG131" s="14"/>
      <c r="AH131" s="14"/>
    </row>
    <row r="132" spans="1:34">
      <c r="A132" s="28"/>
      <c r="B132" s="180"/>
      <c r="C132" s="188"/>
      <c r="D132" s="161"/>
      <c r="E132" s="162"/>
      <c r="F132" s="162"/>
      <c r="G132" s="163"/>
      <c r="H132" s="285"/>
      <c r="I132" s="282"/>
      <c r="J132" s="16"/>
      <c r="K132" s="18">
        <f t="shared" si="8"/>
        <v>0</v>
      </c>
      <c r="L132" s="288">
        <v>0</v>
      </c>
      <c r="M132" s="291"/>
      <c r="N132" s="164"/>
      <c r="O132" s="164"/>
      <c r="P132" s="164"/>
      <c r="Q132" s="175">
        <f t="shared" si="14"/>
        <v>0</v>
      </c>
      <c r="R132" s="164"/>
      <c r="S132" s="197">
        <f t="shared" si="9"/>
        <v>0</v>
      </c>
      <c r="T132" s="201" t="str" cm="1">
        <f t="array" ref="T132">IFERROR(IF(F132="甲",IF(K132&gt;3500000,VLOOKUP(3500000,源泉DB!$B$261:$L$261,L132+3)+ROUNDDOWN((K132-3500000)*45.945%,0),IF(AND(K132&gt;2250000,K132&lt;3500000),VLOOKUP(2250000,源泉DB!$B$260:$K$260,L132+3)+ROUNDDOWN((K132-2250000)*40.84%,0),IF(AND(K132&gt;2210000,K132&lt;2250000),VLOOKUP(2210000,源泉DB!$B$259:$K$259,L132+3)+ROUNDDOWN((K132-2210000)*40.84%,0),IF(AND(K132&gt;2170000,K132&lt;2210000),VLOOKUP(2170000,源泉DB!$B$258:$K$258,L132+3)+ROUNDDOWN((K132-2170000)*40.84%,0),IF(AND(K132&gt;1700000,K132&lt;2170000),VLOOKUP(1700000,源泉DB!$B$257:$K$257,L132+3)+ROUNDDOWN((K132-1700000)*40.84%,0),IF(AND(K132&gt;950000,K132&lt;1700000),VLOOKUP(950000,源泉DB!$B$256:$K$256,L132+3)+ROUNDDOWN((K132-950000)*33.693%,0),IF(AND(K132&gt;780000,K132&lt;950000),VLOOKUP(780000,源泉DB!$B$255:$K$255,L132+3)+ROUNDDOWN((K132-780000)*23.483%,0),IF(AND(K132&gt;740000,K132&lt;780000),VLOOKUP(740000,源泉DB!$B$254:$K$254,L132+3)+ROUNDDOWN((K132-740000)*20.42%,0),VLOOKUP(K132,源泉DB!$B$8:$K$299,L132+3))))))))),IF(F132="乙",IF(K132&gt;1700000,651900+(K132-1700000) *45.945%,IF(K132=1700000,651900,IF(AND(K132&gt;740000,K132&lt;1700000),259800+(K132-740000)*40.84%,IF(K132=740000,259800,IF(K132&lt;88000,ROUNDDOWN(K132*3.063%,9),VLOOKUP(K132,源泉DB!$B$8:$L$254,11)))))),"")),"")</f>
        <v/>
      </c>
      <c r="U132" s="165"/>
      <c r="V132" s="166"/>
      <c r="W132" s="166"/>
      <c r="X132" s="166"/>
      <c r="Y132" s="166"/>
      <c r="Z132" s="178">
        <f>ROUND(IFERROR(IF(($G132="加入"),VLOOKUP($I132,年金DB!$G$16:$P$65,6,TRUE),0),0)-0.1,0)</f>
        <v>0</v>
      </c>
      <c r="AA132" s="178">
        <f>ROUND(IFERROR(IF(AND($G132="加入",$D132&gt;=40,$D132&lt;=64),VLOOKUP($I132,年金DB!$G$16:$P$65,10,TRUE),0),0)-0.1,0)</f>
        <v>0</v>
      </c>
      <c r="AB132" s="178">
        <f>ROUND(IFERROR(IF(AND($G132="加入",$D132&lt;40),VLOOKUP($J132,年金DB!$G$16:$X$62,14,TRUE),IF(AND($G132="加入",$D132&gt;=40),VLOOKUP($J132,年金DB!$G$16:$X$62,14,TRUE),"0")),0)-0.1,0)</f>
        <v>0</v>
      </c>
      <c r="AC132" s="178">
        <f t="shared" si="13"/>
        <v>0</v>
      </c>
      <c r="AD132" s="21">
        <f t="shared" si="10"/>
        <v>0</v>
      </c>
      <c r="AE132" s="173">
        <f t="shared" si="11"/>
        <v>0</v>
      </c>
      <c r="AF132" s="14" t="str">
        <f t="shared" si="12"/>
        <v/>
      </c>
      <c r="AG132" s="14"/>
      <c r="AH132" s="14"/>
    </row>
    <row r="133" spans="1:34">
      <c r="A133" s="28"/>
      <c r="B133" s="180"/>
      <c r="C133" s="188"/>
      <c r="D133" s="161"/>
      <c r="E133" s="162"/>
      <c r="F133" s="162"/>
      <c r="G133" s="163"/>
      <c r="H133" s="285"/>
      <c r="I133" s="282"/>
      <c r="J133" s="16"/>
      <c r="K133" s="18">
        <f t="shared" si="8"/>
        <v>0</v>
      </c>
      <c r="L133" s="288">
        <v>0</v>
      </c>
      <c r="M133" s="291"/>
      <c r="N133" s="164"/>
      <c r="O133" s="164"/>
      <c r="P133" s="164"/>
      <c r="Q133" s="175">
        <f t="shared" si="14"/>
        <v>0</v>
      </c>
      <c r="R133" s="164"/>
      <c r="S133" s="197">
        <f t="shared" si="9"/>
        <v>0</v>
      </c>
      <c r="T133" s="201" t="str" cm="1">
        <f t="array" ref="T133">IFERROR(IF(F133="甲",IF(K133&gt;3500000,VLOOKUP(3500000,源泉DB!$B$261:$L$261,L133+3)+ROUNDDOWN((K133-3500000)*45.945%,0),IF(AND(K133&gt;2250000,K133&lt;3500000),VLOOKUP(2250000,源泉DB!$B$260:$K$260,L133+3)+ROUNDDOWN((K133-2250000)*40.84%,0),IF(AND(K133&gt;2210000,K133&lt;2250000),VLOOKUP(2210000,源泉DB!$B$259:$K$259,L133+3)+ROUNDDOWN((K133-2210000)*40.84%,0),IF(AND(K133&gt;2170000,K133&lt;2210000),VLOOKUP(2170000,源泉DB!$B$258:$K$258,L133+3)+ROUNDDOWN((K133-2170000)*40.84%,0),IF(AND(K133&gt;1700000,K133&lt;2170000),VLOOKUP(1700000,源泉DB!$B$257:$K$257,L133+3)+ROUNDDOWN((K133-1700000)*40.84%,0),IF(AND(K133&gt;950000,K133&lt;1700000),VLOOKUP(950000,源泉DB!$B$256:$K$256,L133+3)+ROUNDDOWN((K133-950000)*33.693%,0),IF(AND(K133&gt;780000,K133&lt;950000),VLOOKUP(780000,源泉DB!$B$255:$K$255,L133+3)+ROUNDDOWN((K133-780000)*23.483%,0),IF(AND(K133&gt;740000,K133&lt;780000),VLOOKUP(740000,源泉DB!$B$254:$K$254,L133+3)+ROUNDDOWN((K133-740000)*20.42%,0),VLOOKUP(K133,源泉DB!$B$8:$K$299,L133+3))))))))),IF(F133="乙",IF(K133&gt;1700000,651900+(K133-1700000) *45.945%,IF(K133=1700000,651900,IF(AND(K133&gt;740000,K133&lt;1700000),259800+(K133-740000)*40.84%,IF(K133=740000,259800,IF(K133&lt;88000,ROUNDDOWN(K133*3.063%,9),VLOOKUP(K133,源泉DB!$B$8:$L$254,11)))))),"")),"")</f>
        <v/>
      </c>
      <c r="U133" s="165"/>
      <c r="V133" s="166"/>
      <c r="W133" s="166"/>
      <c r="X133" s="166"/>
      <c r="Y133" s="166"/>
      <c r="Z133" s="178">
        <f>ROUND(IFERROR(IF(($G133="加入"),VLOOKUP($I133,年金DB!$G$16:$P$65,6,TRUE),0),0)-0.1,0)</f>
        <v>0</v>
      </c>
      <c r="AA133" s="178">
        <f>ROUND(IFERROR(IF(AND($G133="加入",$D133&gt;=40,$D133&lt;=64),VLOOKUP($I133,年金DB!$G$16:$P$65,10,TRUE),0),0)-0.1,0)</f>
        <v>0</v>
      </c>
      <c r="AB133" s="178">
        <f>ROUND(IFERROR(IF(AND($G133="加入",$D133&lt;40),VLOOKUP($J133,年金DB!$G$16:$X$62,14,TRUE),IF(AND($G133="加入",$D133&gt;=40),VLOOKUP($J133,年金DB!$G$16:$X$62,14,TRUE),"0")),0)-0.1,0)</f>
        <v>0</v>
      </c>
      <c r="AC133" s="178">
        <f t="shared" si="13"/>
        <v>0</v>
      </c>
      <c r="AD133" s="21">
        <f t="shared" si="10"/>
        <v>0</v>
      </c>
      <c r="AE133" s="173">
        <f t="shared" si="11"/>
        <v>0</v>
      </c>
      <c r="AF133" s="14" t="str">
        <f t="shared" si="12"/>
        <v/>
      </c>
      <c r="AG133" s="14"/>
      <c r="AH133" s="14"/>
    </row>
    <row r="134" spans="1:34">
      <c r="A134" s="28"/>
      <c r="B134" s="180"/>
      <c r="C134" s="188"/>
      <c r="D134" s="161"/>
      <c r="E134" s="162"/>
      <c r="F134" s="162"/>
      <c r="G134" s="163"/>
      <c r="H134" s="285"/>
      <c r="I134" s="282"/>
      <c r="J134" s="16"/>
      <c r="K134" s="18">
        <f t="shared" si="8"/>
        <v>0</v>
      </c>
      <c r="L134" s="288">
        <v>0</v>
      </c>
      <c r="M134" s="291"/>
      <c r="N134" s="164"/>
      <c r="O134" s="164"/>
      <c r="P134" s="164"/>
      <c r="Q134" s="175">
        <f t="shared" si="14"/>
        <v>0</v>
      </c>
      <c r="R134" s="164"/>
      <c r="S134" s="197">
        <f t="shared" si="9"/>
        <v>0</v>
      </c>
      <c r="T134" s="201" t="str" cm="1">
        <f t="array" ref="T134">IFERROR(IF(F134="甲",IF(K134&gt;3500000,VLOOKUP(3500000,源泉DB!$B$261:$L$261,L134+3)+ROUNDDOWN((K134-3500000)*45.945%,0),IF(AND(K134&gt;2250000,K134&lt;3500000),VLOOKUP(2250000,源泉DB!$B$260:$K$260,L134+3)+ROUNDDOWN((K134-2250000)*40.84%,0),IF(AND(K134&gt;2210000,K134&lt;2250000),VLOOKUP(2210000,源泉DB!$B$259:$K$259,L134+3)+ROUNDDOWN((K134-2210000)*40.84%,0),IF(AND(K134&gt;2170000,K134&lt;2210000),VLOOKUP(2170000,源泉DB!$B$258:$K$258,L134+3)+ROUNDDOWN((K134-2170000)*40.84%,0),IF(AND(K134&gt;1700000,K134&lt;2170000),VLOOKUP(1700000,源泉DB!$B$257:$K$257,L134+3)+ROUNDDOWN((K134-1700000)*40.84%,0),IF(AND(K134&gt;950000,K134&lt;1700000),VLOOKUP(950000,源泉DB!$B$256:$K$256,L134+3)+ROUNDDOWN((K134-950000)*33.693%,0),IF(AND(K134&gt;780000,K134&lt;950000),VLOOKUP(780000,源泉DB!$B$255:$K$255,L134+3)+ROUNDDOWN((K134-780000)*23.483%,0),IF(AND(K134&gt;740000,K134&lt;780000),VLOOKUP(740000,源泉DB!$B$254:$K$254,L134+3)+ROUNDDOWN((K134-740000)*20.42%,0),VLOOKUP(K134,源泉DB!$B$8:$K$299,L134+3))))))))),IF(F134="乙",IF(K134&gt;1700000,651900+(K134-1700000) *45.945%,IF(K134=1700000,651900,IF(AND(K134&gt;740000,K134&lt;1700000),259800+(K134-740000)*40.84%,IF(K134=740000,259800,IF(K134&lt;88000,ROUNDDOWN(K134*3.063%,9),VLOOKUP(K134,源泉DB!$B$8:$L$254,11)))))),"")),"")</f>
        <v/>
      </c>
      <c r="U134" s="165"/>
      <c r="V134" s="166"/>
      <c r="W134" s="166"/>
      <c r="X134" s="166"/>
      <c r="Y134" s="166"/>
      <c r="Z134" s="178">
        <f>ROUND(IFERROR(IF(($G134="加入"),VLOOKUP($I134,年金DB!$G$16:$P$65,6,TRUE),0),0)-0.1,0)</f>
        <v>0</v>
      </c>
      <c r="AA134" s="178">
        <f>ROUND(IFERROR(IF(AND($G134="加入",$D134&gt;=40,$D134&lt;=64),VLOOKUP($I134,年金DB!$G$16:$P$65,10,TRUE),0),0)-0.1,0)</f>
        <v>0</v>
      </c>
      <c r="AB134" s="178">
        <f>ROUND(IFERROR(IF(AND($G134="加入",$D134&lt;40),VLOOKUP($J134,年金DB!$G$16:$X$62,14,TRUE),IF(AND($G134="加入",$D134&gt;=40),VLOOKUP($J134,年金DB!$G$16:$X$62,14,TRUE),"0")),0)-0.1,0)</f>
        <v>0</v>
      </c>
      <c r="AC134" s="178">
        <f t="shared" si="13"/>
        <v>0</v>
      </c>
      <c r="AD134" s="21">
        <f t="shared" si="10"/>
        <v>0</v>
      </c>
      <c r="AE134" s="173">
        <f t="shared" si="11"/>
        <v>0</v>
      </c>
      <c r="AF134" s="14" t="str">
        <f t="shared" si="12"/>
        <v/>
      </c>
      <c r="AG134" s="14"/>
      <c r="AH134" s="14"/>
    </row>
    <row r="135" spans="1:34">
      <c r="A135" s="28"/>
      <c r="B135" s="180"/>
      <c r="C135" s="188"/>
      <c r="D135" s="161"/>
      <c r="E135" s="162"/>
      <c r="F135" s="162"/>
      <c r="G135" s="163"/>
      <c r="H135" s="285"/>
      <c r="I135" s="282"/>
      <c r="J135" s="16"/>
      <c r="K135" s="18">
        <f t="shared" ref="K135:K198" si="15">IF((Q135-Z135-AA135-AB135-AC135)&lt;0,0,Q135-Z135-AA135-AB135-AC135)</f>
        <v>0</v>
      </c>
      <c r="L135" s="288">
        <v>0</v>
      </c>
      <c r="M135" s="291"/>
      <c r="N135" s="164"/>
      <c r="O135" s="164"/>
      <c r="P135" s="164"/>
      <c r="Q135" s="175">
        <f t="shared" si="14"/>
        <v>0</v>
      </c>
      <c r="R135" s="164"/>
      <c r="S135" s="197">
        <f t="shared" ref="S135:S198" si="16">SUM(Q135:R135)</f>
        <v>0</v>
      </c>
      <c r="T135" s="201" t="str" cm="1">
        <f t="array" ref="T135">IFERROR(IF(F135="甲",IF(K135&gt;3500000,VLOOKUP(3500000,源泉DB!$B$261:$L$261,L135+3)+ROUNDDOWN((K135-3500000)*45.945%,0),IF(AND(K135&gt;2250000,K135&lt;3500000),VLOOKUP(2250000,源泉DB!$B$260:$K$260,L135+3)+ROUNDDOWN((K135-2250000)*40.84%,0),IF(AND(K135&gt;2210000,K135&lt;2250000),VLOOKUP(2210000,源泉DB!$B$259:$K$259,L135+3)+ROUNDDOWN((K135-2210000)*40.84%,0),IF(AND(K135&gt;2170000,K135&lt;2210000),VLOOKUP(2170000,源泉DB!$B$258:$K$258,L135+3)+ROUNDDOWN((K135-2170000)*40.84%,0),IF(AND(K135&gt;1700000,K135&lt;2170000),VLOOKUP(1700000,源泉DB!$B$257:$K$257,L135+3)+ROUNDDOWN((K135-1700000)*40.84%,0),IF(AND(K135&gt;950000,K135&lt;1700000),VLOOKUP(950000,源泉DB!$B$256:$K$256,L135+3)+ROUNDDOWN((K135-950000)*33.693%,0),IF(AND(K135&gt;780000,K135&lt;950000),VLOOKUP(780000,源泉DB!$B$255:$K$255,L135+3)+ROUNDDOWN((K135-780000)*23.483%,0),IF(AND(K135&gt;740000,K135&lt;780000),VLOOKUP(740000,源泉DB!$B$254:$K$254,L135+3)+ROUNDDOWN((K135-740000)*20.42%,0),VLOOKUP(K135,源泉DB!$B$8:$K$299,L135+3))))))))),IF(F135="乙",IF(K135&gt;1700000,651900+(K135-1700000) *45.945%,IF(K135=1700000,651900,IF(AND(K135&gt;740000,K135&lt;1700000),259800+(K135-740000)*40.84%,IF(K135=740000,259800,IF(K135&lt;88000,ROUNDDOWN(K135*3.063%,9),VLOOKUP(K135,源泉DB!$B$8:$L$254,11)))))),"")),"")</f>
        <v/>
      </c>
      <c r="U135" s="165"/>
      <c r="V135" s="166"/>
      <c r="W135" s="166"/>
      <c r="X135" s="166"/>
      <c r="Y135" s="166"/>
      <c r="Z135" s="178">
        <f>ROUND(IFERROR(IF(($G135="加入"),VLOOKUP($I135,年金DB!$G$16:$P$65,6,TRUE),0),0)-0.1,0)</f>
        <v>0</v>
      </c>
      <c r="AA135" s="178">
        <f>ROUND(IFERROR(IF(AND($G135="加入",$D135&gt;=40,$D135&lt;=64),VLOOKUP($I135,年金DB!$G$16:$P$65,10,TRUE),0),0)-0.1,0)</f>
        <v>0</v>
      </c>
      <c r="AB135" s="178">
        <f>ROUND(IFERROR(IF(AND($G135="加入",$D135&lt;40),VLOOKUP($J135,年金DB!$G$16:$X$62,14,TRUE),IF(AND($G135="加入",$D135&gt;=40),VLOOKUP($J135,年金DB!$G$16:$X$62,14,TRUE),"0")),0)-0.1,0)</f>
        <v>0</v>
      </c>
      <c r="AC135" s="178">
        <f t="shared" si="13"/>
        <v>0</v>
      </c>
      <c r="AD135" s="21">
        <f t="shared" ref="AD135:AD198" si="17">SUM(T135:AC135)</f>
        <v>0</v>
      </c>
      <c r="AE135" s="173">
        <f t="shared" ref="AE135:AE198" si="18">S135-AD135</f>
        <v>0</v>
      </c>
      <c r="AF135" s="14" t="str">
        <f t="shared" ref="AF135:AF198" si="19">IF(AE135&gt;0,"←同額をお振込みください","")</f>
        <v/>
      </c>
      <c r="AG135" s="14"/>
      <c r="AH135" s="14"/>
    </row>
    <row r="136" spans="1:34">
      <c r="A136" s="28"/>
      <c r="B136" s="180"/>
      <c r="C136" s="188"/>
      <c r="D136" s="161"/>
      <c r="E136" s="162"/>
      <c r="F136" s="162"/>
      <c r="G136" s="163"/>
      <c r="H136" s="285"/>
      <c r="I136" s="282"/>
      <c r="J136" s="16"/>
      <c r="K136" s="18">
        <f t="shared" si="15"/>
        <v>0</v>
      </c>
      <c r="L136" s="288">
        <v>0</v>
      </c>
      <c r="M136" s="291"/>
      <c r="N136" s="164"/>
      <c r="O136" s="164"/>
      <c r="P136" s="164"/>
      <c r="Q136" s="175">
        <f t="shared" si="14"/>
        <v>0</v>
      </c>
      <c r="R136" s="164"/>
      <c r="S136" s="197">
        <f t="shared" si="16"/>
        <v>0</v>
      </c>
      <c r="T136" s="201" t="str" cm="1">
        <f t="array" ref="T136">IFERROR(IF(F136="甲",IF(K136&gt;3500000,VLOOKUP(3500000,源泉DB!$B$261:$L$261,L136+3)+ROUNDDOWN((K136-3500000)*45.945%,0),IF(AND(K136&gt;2250000,K136&lt;3500000),VLOOKUP(2250000,源泉DB!$B$260:$K$260,L136+3)+ROUNDDOWN((K136-2250000)*40.84%,0),IF(AND(K136&gt;2210000,K136&lt;2250000),VLOOKUP(2210000,源泉DB!$B$259:$K$259,L136+3)+ROUNDDOWN((K136-2210000)*40.84%,0),IF(AND(K136&gt;2170000,K136&lt;2210000),VLOOKUP(2170000,源泉DB!$B$258:$K$258,L136+3)+ROUNDDOWN((K136-2170000)*40.84%,0),IF(AND(K136&gt;1700000,K136&lt;2170000),VLOOKUP(1700000,源泉DB!$B$257:$K$257,L136+3)+ROUNDDOWN((K136-1700000)*40.84%,0),IF(AND(K136&gt;950000,K136&lt;1700000),VLOOKUP(950000,源泉DB!$B$256:$K$256,L136+3)+ROUNDDOWN((K136-950000)*33.693%,0),IF(AND(K136&gt;780000,K136&lt;950000),VLOOKUP(780000,源泉DB!$B$255:$K$255,L136+3)+ROUNDDOWN((K136-780000)*23.483%,0),IF(AND(K136&gt;740000,K136&lt;780000),VLOOKUP(740000,源泉DB!$B$254:$K$254,L136+3)+ROUNDDOWN((K136-740000)*20.42%,0),VLOOKUP(K136,源泉DB!$B$8:$K$299,L136+3))))))))),IF(F136="乙",IF(K136&gt;1700000,651900+(K136-1700000) *45.945%,IF(K136=1700000,651900,IF(AND(K136&gt;740000,K136&lt;1700000),259800+(K136-740000)*40.84%,IF(K136=740000,259800,IF(K136&lt;88000,ROUNDDOWN(K136*3.063%,9),VLOOKUP(K136,源泉DB!$B$8:$L$254,11)))))),"")),"")</f>
        <v/>
      </c>
      <c r="U136" s="165"/>
      <c r="V136" s="166"/>
      <c r="W136" s="166"/>
      <c r="X136" s="166"/>
      <c r="Y136" s="166"/>
      <c r="Z136" s="178">
        <f>ROUND(IFERROR(IF(($G136="加入"),VLOOKUP($I136,年金DB!$G$16:$P$65,6,TRUE),0),0)-0.1,0)</f>
        <v>0</v>
      </c>
      <c r="AA136" s="178">
        <f>ROUND(IFERROR(IF(AND($G136="加入",$D136&gt;=40,$D136&lt;=64),VLOOKUP($I136,年金DB!$G$16:$P$65,10,TRUE),0),0)-0.1,0)</f>
        <v>0</v>
      </c>
      <c r="AB136" s="178">
        <f>ROUND(IFERROR(IF(AND($G136="加入",$D136&lt;40),VLOOKUP($J136,年金DB!$G$16:$X$62,14,TRUE),IF(AND($G136="加入",$D136&gt;=40),VLOOKUP($J136,年金DB!$G$16:$X$62,14,TRUE),"0")),0)-0.1,0)</f>
        <v>0</v>
      </c>
      <c r="AC136" s="178">
        <f t="shared" ref="AC136:AC199" si="20">IF(OR(H136="非加入",H136=""),0,ROUNDUP(IFERROR(IF(H136="加入",(Q136+R136)*3/1000,0),0)-0.5,0))</f>
        <v>0</v>
      </c>
      <c r="AD136" s="21">
        <f t="shared" si="17"/>
        <v>0</v>
      </c>
      <c r="AE136" s="173">
        <f t="shared" si="18"/>
        <v>0</v>
      </c>
      <c r="AF136" s="14" t="str">
        <f t="shared" si="19"/>
        <v/>
      </c>
      <c r="AG136" s="14"/>
      <c r="AH136" s="14"/>
    </row>
    <row r="137" spans="1:34">
      <c r="A137" s="28"/>
      <c r="B137" s="180"/>
      <c r="C137" s="188"/>
      <c r="D137" s="161"/>
      <c r="E137" s="162"/>
      <c r="F137" s="162"/>
      <c r="G137" s="163"/>
      <c r="H137" s="285"/>
      <c r="I137" s="282"/>
      <c r="J137" s="16"/>
      <c r="K137" s="18">
        <f t="shared" si="15"/>
        <v>0</v>
      </c>
      <c r="L137" s="288">
        <v>0</v>
      </c>
      <c r="M137" s="291"/>
      <c r="N137" s="164"/>
      <c r="O137" s="164"/>
      <c r="P137" s="164"/>
      <c r="Q137" s="175">
        <f t="shared" si="14"/>
        <v>0</v>
      </c>
      <c r="R137" s="164"/>
      <c r="S137" s="197">
        <f t="shared" si="16"/>
        <v>0</v>
      </c>
      <c r="T137" s="201" t="str" cm="1">
        <f t="array" ref="T137">IFERROR(IF(F137="甲",IF(K137&gt;3500000,VLOOKUP(3500000,源泉DB!$B$261:$L$261,L137+3)+ROUNDDOWN((K137-3500000)*45.945%,0),IF(AND(K137&gt;2250000,K137&lt;3500000),VLOOKUP(2250000,源泉DB!$B$260:$K$260,L137+3)+ROUNDDOWN((K137-2250000)*40.84%,0),IF(AND(K137&gt;2210000,K137&lt;2250000),VLOOKUP(2210000,源泉DB!$B$259:$K$259,L137+3)+ROUNDDOWN((K137-2210000)*40.84%,0),IF(AND(K137&gt;2170000,K137&lt;2210000),VLOOKUP(2170000,源泉DB!$B$258:$K$258,L137+3)+ROUNDDOWN((K137-2170000)*40.84%,0),IF(AND(K137&gt;1700000,K137&lt;2170000),VLOOKUP(1700000,源泉DB!$B$257:$K$257,L137+3)+ROUNDDOWN((K137-1700000)*40.84%,0),IF(AND(K137&gt;950000,K137&lt;1700000),VLOOKUP(950000,源泉DB!$B$256:$K$256,L137+3)+ROUNDDOWN((K137-950000)*33.693%,0),IF(AND(K137&gt;780000,K137&lt;950000),VLOOKUP(780000,源泉DB!$B$255:$K$255,L137+3)+ROUNDDOWN((K137-780000)*23.483%,0),IF(AND(K137&gt;740000,K137&lt;780000),VLOOKUP(740000,源泉DB!$B$254:$K$254,L137+3)+ROUNDDOWN((K137-740000)*20.42%,0),VLOOKUP(K137,源泉DB!$B$8:$K$299,L137+3))))))))),IF(F137="乙",IF(K137&gt;1700000,651900+(K137-1700000) *45.945%,IF(K137=1700000,651900,IF(AND(K137&gt;740000,K137&lt;1700000),259800+(K137-740000)*40.84%,IF(K137=740000,259800,IF(K137&lt;88000,ROUNDDOWN(K137*3.063%,9),VLOOKUP(K137,源泉DB!$B$8:$L$254,11)))))),"")),"")</f>
        <v/>
      </c>
      <c r="U137" s="165"/>
      <c r="V137" s="166"/>
      <c r="W137" s="166"/>
      <c r="X137" s="166"/>
      <c r="Y137" s="166"/>
      <c r="Z137" s="178">
        <f>ROUND(IFERROR(IF(($G137="加入"),VLOOKUP($I137,年金DB!$G$16:$P$65,6,TRUE),0),0)-0.1,0)</f>
        <v>0</v>
      </c>
      <c r="AA137" s="178">
        <f>ROUND(IFERROR(IF(AND($G137="加入",$D137&gt;=40,$D137&lt;=64),VLOOKUP($I137,年金DB!$G$16:$P$65,10,TRUE),0),0)-0.1,0)</f>
        <v>0</v>
      </c>
      <c r="AB137" s="178">
        <f>ROUND(IFERROR(IF(AND($G137="加入",$D137&lt;40),VLOOKUP($J137,年金DB!$G$16:$X$62,14,TRUE),IF(AND($G137="加入",$D137&gt;=40),VLOOKUP($J137,年金DB!$G$16:$X$62,14,TRUE),"0")),0)-0.1,0)</f>
        <v>0</v>
      </c>
      <c r="AC137" s="178">
        <f t="shared" si="20"/>
        <v>0</v>
      </c>
      <c r="AD137" s="21">
        <f t="shared" si="17"/>
        <v>0</v>
      </c>
      <c r="AE137" s="173">
        <f t="shared" si="18"/>
        <v>0</v>
      </c>
      <c r="AF137" s="14" t="str">
        <f t="shared" si="19"/>
        <v/>
      </c>
      <c r="AG137" s="14"/>
      <c r="AH137" s="14"/>
    </row>
    <row r="138" spans="1:34">
      <c r="A138" s="28"/>
      <c r="B138" s="180"/>
      <c r="C138" s="188"/>
      <c r="D138" s="161"/>
      <c r="E138" s="162"/>
      <c r="F138" s="162"/>
      <c r="G138" s="163"/>
      <c r="H138" s="285"/>
      <c r="I138" s="282"/>
      <c r="J138" s="16"/>
      <c r="K138" s="18">
        <f t="shared" si="15"/>
        <v>0</v>
      </c>
      <c r="L138" s="288">
        <v>0</v>
      </c>
      <c r="M138" s="291"/>
      <c r="N138" s="164"/>
      <c r="O138" s="164"/>
      <c r="P138" s="164"/>
      <c r="Q138" s="175">
        <f t="shared" si="14"/>
        <v>0</v>
      </c>
      <c r="R138" s="164"/>
      <c r="S138" s="197">
        <f t="shared" si="16"/>
        <v>0</v>
      </c>
      <c r="T138" s="201" t="str" cm="1">
        <f t="array" ref="T138">IFERROR(IF(F138="甲",IF(K138&gt;3500000,VLOOKUP(3500000,源泉DB!$B$261:$L$261,L138+3)+ROUNDDOWN((K138-3500000)*45.945%,0),IF(AND(K138&gt;2250000,K138&lt;3500000),VLOOKUP(2250000,源泉DB!$B$260:$K$260,L138+3)+ROUNDDOWN((K138-2250000)*40.84%,0),IF(AND(K138&gt;2210000,K138&lt;2250000),VLOOKUP(2210000,源泉DB!$B$259:$K$259,L138+3)+ROUNDDOWN((K138-2210000)*40.84%,0),IF(AND(K138&gt;2170000,K138&lt;2210000),VLOOKUP(2170000,源泉DB!$B$258:$K$258,L138+3)+ROUNDDOWN((K138-2170000)*40.84%,0),IF(AND(K138&gt;1700000,K138&lt;2170000),VLOOKUP(1700000,源泉DB!$B$257:$K$257,L138+3)+ROUNDDOWN((K138-1700000)*40.84%,0),IF(AND(K138&gt;950000,K138&lt;1700000),VLOOKUP(950000,源泉DB!$B$256:$K$256,L138+3)+ROUNDDOWN((K138-950000)*33.693%,0),IF(AND(K138&gt;780000,K138&lt;950000),VLOOKUP(780000,源泉DB!$B$255:$K$255,L138+3)+ROUNDDOWN((K138-780000)*23.483%,0),IF(AND(K138&gt;740000,K138&lt;780000),VLOOKUP(740000,源泉DB!$B$254:$K$254,L138+3)+ROUNDDOWN((K138-740000)*20.42%,0),VLOOKUP(K138,源泉DB!$B$8:$K$299,L138+3))))))))),IF(F138="乙",IF(K138&gt;1700000,651900+(K138-1700000) *45.945%,IF(K138=1700000,651900,IF(AND(K138&gt;740000,K138&lt;1700000),259800+(K138-740000)*40.84%,IF(K138=740000,259800,IF(K138&lt;88000,ROUNDDOWN(K138*3.063%,9),VLOOKUP(K138,源泉DB!$B$8:$L$254,11)))))),"")),"")</f>
        <v/>
      </c>
      <c r="U138" s="165"/>
      <c r="V138" s="166"/>
      <c r="W138" s="166"/>
      <c r="X138" s="166"/>
      <c r="Y138" s="166"/>
      <c r="Z138" s="178">
        <f>ROUND(IFERROR(IF(($G138="加入"),VLOOKUP($I138,年金DB!$G$16:$P$65,6,TRUE),0),0)-0.1,0)</f>
        <v>0</v>
      </c>
      <c r="AA138" s="178">
        <f>ROUND(IFERROR(IF(AND($G138="加入",$D138&gt;=40,$D138&lt;=64),VLOOKUP($I138,年金DB!$G$16:$P$65,10,TRUE),0),0)-0.1,0)</f>
        <v>0</v>
      </c>
      <c r="AB138" s="178">
        <f>ROUND(IFERROR(IF(AND($G138="加入",$D138&lt;40),VLOOKUP($J138,年金DB!$G$16:$X$62,14,TRUE),IF(AND($G138="加入",$D138&gt;=40),VLOOKUP($J138,年金DB!$G$16:$X$62,14,TRUE),"0")),0)-0.1,0)</f>
        <v>0</v>
      </c>
      <c r="AC138" s="178">
        <f t="shared" si="20"/>
        <v>0</v>
      </c>
      <c r="AD138" s="21">
        <f t="shared" si="17"/>
        <v>0</v>
      </c>
      <c r="AE138" s="173">
        <f t="shared" si="18"/>
        <v>0</v>
      </c>
      <c r="AF138" s="14" t="str">
        <f t="shared" si="19"/>
        <v/>
      </c>
      <c r="AG138" s="14"/>
      <c r="AH138" s="14"/>
    </row>
    <row r="139" spans="1:34">
      <c r="A139" s="28"/>
      <c r="B139" s="180"/>
      <c r="C139" s="188"/>
      <c r="D139" s="161"/>
      <c r="E139" s="162"/>
      <c r="F139" s="162"/>
      <c r="G139" s="163"/>
      <c r="H139" s="285"/>
      <c r="I139" s="282"/>
      <c r="J139" s="16"/>
      <c r="K139" s="18">
        <f t="shared" si="15"/>
        <v>0</v>
      </c>
      <c r="L139" s="288">
        <v>0</v>
      </c>
      <c r="M139" s="291"/>
      <c r="N139" s="164"/>
      <c r="O139" s="164"/>
      <c r="P139" s="164"/>
      <c r="Q139" s="175">
        <f t="shared" si="14"/>
        <v>0</v>
      </c>
      <c r="R139" s="164"/>
      <c r="S139" s="197">
        <f t="shared" si="16"/>
        <v>0</v>
      </c>
      <c r="T139" s="201" t="str" cm="1">
        <f t="array" ref="T139">IFERROR(IF(F139="甲",IF(K139&gt;3500000,VLOOKUP(3500000,源泉DB!$B$261:$L$261,L139+3)+ROUNDDOWN((K139-3500000)*45.945%,0),IF(AND(K139&gt;2250000,K139&lt;3500000),VLOOKUP(2250000,源泉DB!$B$260:$K$260,L139+3)+ROUNDDOWN((K139-2250000)*40.84%,0),IF(AND(K139&gt;2210000,K139&lt;2250000),VLOOKUP(2210000,源泉DB!$B$259:$K$259,L139+3)+ROUNDDOWN((K139-2210000)*40.84%,0),IF(AND(K139&gt;2170000,K139&lt;2210000),VLOOKUP(2170000,源泉DB!$B$258:$K$258,L139+3)+ROUNDDOWN((K139-2170000)*40.84%,0),IF(AND(K139&gt;1700000,K139&lt;2170000),VLOOKUP(1700000,源泉DB!$B$257:$K$257,L139+3)+ROUNDDOWN((K139-1700000)*40.84%,0),IF(AND(K139&gt;950000,K139&lt;1700000),VLOOKUP(950000,源泉DB!$B$256:$K$256,L139+3)+ROUNDDOWN((K139-950000)*33.693%,0),IF(AND(K139&gt;780000,K139&lt;950000),VLOOKUP(780000,源泉DB!$B$255:$K$255,L139+3)+ROUNDDOWN((K139-780000)*23.483%,0),IF(AND(K139&gt;740000,K139&lt;780000),VLOOKUP(740000,源泉DB!$B$254:$K$254,L139+3)+ROUNDDOWN((K139-740000)*20.42%,0),VLOOKUP(K139,源泉DB!$B$8:$K$299,L139+3))))))))),IF(F139="乙",IF(K139&gt;1700000,651900+(K139-1700000) *45.945%,IF(K139=1700000,651900,IF(AND(K139&gt;740000,K139&lt;1700000),259800+(K139-740000)*40.84%,IF(K139=740000,259800,IF(K139&lt;88000,ROUNDDOWN(K139*3.063%,9),VLOOKUP(K139,源泉DB!$B$8:$L$254,11)))))),"")),"")</f>
        <v/>
      </c>
      <c r="U139" s="165"/>
      <c r="V139" s="166"/>
      <c r="W139" s="166"/>
      <c r="X139" s="166"/>
      <c r="Y139" s="166"/>
      <c r="Z139" s="178">
        <f>ROUND(IFERROR(IF(($G139="加入"),VLOOKUP($I139,年金DB!$G$16:$P$65,6,TRUE),0),0)-0.1,0)</f>
        <v>0</v>
      </c>
      <c r="AA139" s="178">
        <f>ROUND(IFERROR(IF(AND($G139="加入",$D139&gt;=40,$D139&lt;=64),VLOOKUP($I139,年金DB!$G$16:$P$65,10,TRUE),0),0)-0.1,0)</f>
        <v>0</v>
      </c>
      <c r="AB139" s="178">
        <f>ROUND(IFERROR(IF(AND($G139="加入",$D139&lt;40),VLOOKUP($J139,年金DB!$G$16:$X$62,14,TRUE),IF(AND($G139="加入",$D139&gt;=40),VLOOKUP($J139,年金DB!$G$16:$X$62,14,TRUE),"0")),0)-0.1,0)</f>
        <v>0</v>
      </c>
      <c r="AC139" s="178">
        <f t="shared" si="20"/>
        <v>0</v>
      </c>
      <c r="AD139" s="21">
        <f t="shared" si="17"/>
        <v>0</v>
      </c>
      <c r="AE139" s="173">
        <f t="shared" si="18"/>
        <v>0</v>
      </c>
      <c r="AF139" s="14" t="str">
        <f t="shared" si="19"/>
        <v/>
      </c>
      <c r="AG139" s="14"/>
      <c r="AH139" s="14"/>
    </row>
    <row r="140" spans="1:34">
      <c r="A140" s="28"/>
      <c r="B140" s="180"/>
      <c r="C140" s="188"/>
      <c r="D140" s="161"/>
      <c r="E140" s="162"/>
      <c r="F140" s="162"/>
      <c r="G140" s="163"/>
      <c r="H140" s="285"/>
      <c r="I140" s="282"/>
      <c r="J140" s="16"/>
      <c r="K140" s="18">
        <f t="shared" si="15"/>
        <v>0</v>
      </c>
      <c r="L140" s="288">
        <v>0</v>
      </c>
      <c r="M140" s="291"/>
      <c r="N140" s="164"/>
      <c r="O140" s="164"/>
      <c r="P140" s="164"/>
      <c r="Q140" s="175">
        <f t="shared" ref="Q140:Q203" si="21">SUM(M140:P140)</f>
        <v>0</v>
      </c>
      <c r="R140" s="164"/>
      <c r="S140" s="197">
        <f t="shared" si="16"/>
        <v>0</v>
      </c>
      <c r="T140" s="201" t="str" cm="1">
        <f t="array" ref="T140">IFERROR(IF(F140="甲",IF(K140&gt;3500000,VLOOKUP(3500000,源泉DB!$B$261:$L$261,L140+3)+ROUNDDOWN((K140-3500000)*45.945%,0),IF(AND(K140&gt;2250000,K140&lt;3500000),VLOOKUP(2250000,源泉DB!$B$260:$K$260,L140+3)+ROUNDDOWN((K140-2250000)*40.84%,0),IF(AND(K140&gt;2210000,K140&lt;2250000),VLOOKUP(2210000,源泉DB!$B$259:$K$259,L140+3)+ROUNDDOWN((K140-2210000)*40.84%,0),IF(AND(K140&gt;2170000,K140&lt;2210000),VLOOKUP(2170000,源泉DB!$B$258:$K$258,L140+3)+ROUNDDOWN((K140-2170000)*40.84%,0),IF(AND(K140&gt;1700000,K140&lt;2170000),VLOOKUP(1700000,源泉DB!$B$257:$K$257,L140+3)+ROUNDDOWN((K140-1700000)*40.84%,0),IF(AND(K140&gt;950000,K140&lt;1700000),VLOOKUP(950000,源泉DB!$B$256:$K$256,L140+3)+ROUNDDOWN((K140-950000)*33.693%,0),IF(AND(K140&gt;780000,K140&lt;950000),VLOOKUP(780000,源泉DB!$B$255:$K$255,L140+3)+ROUNDDOWN((K140-780000)*23.483%,0),IF(AND(K140&gt;740000,K140&lt;780000),VLOOKUP(740000,源泉DB!$B$254:$K$254,L140+3)+ROUNDDOWN((K140-740000)*20.42%,0),VLOOKUP(K140,源泉DB!$B$8:$K$299,L140+3))))))))),IF(F140="乙",IF(K140&gt;1700000,651900+(K140-1700000) *45.945%,IF(K140=1700000,651900,IF(AND(K140&gt;740000,K140&lt;1700000),259800+(K140-740000)*40.84%,IF(K140=740000,259800,IF(K140&lt;88000,ROUNDDOWN(K140*3.063%,9),VLOOKUP(K140,源泉DB!$B$8:$L$254,11)))))),"")),"")</f>
        <v/>
      </c>
      <c r="U140" s="165"/>
      <c r="V140" s="166"/>
      <c r="W140" s="166"/>
      <c r="X140" s="166"/>
      <c r="Y140" s="166"/>
      <c r="Z140" s="178">
        <f>ROUND(IFERROR(IF(($G140="加入"),VLOOKUP($I140,年金DB!$G$16:$P$65,6,TRUE),0),0)-0.1,0)</f>
        <v>0</v>
      </c>
      <c r="AA140" s="178">
        <f>ROUND(IFERROR(IF(AND($G140="加入",$D140&gt;=40,$D140&lt;=64),VLOOKUP($I140,年金DB!$G$16:$P$65,10,TRUE),0),0)-0.1,0)</f>
        <v>0</v>
      </c>
      <c r="AB140" s="178">
        <f>ROUND(IFERROR(IF(AND($G140="加入",$D140&lt;40),VLOOKUP($J140,年金DB!$G$16:$X$62,14,TRUE),IF(AND($G140="加入",$D140&gt;=40),VLOOKUP($J140,年金DB!$G$16:$X$62,14,TRUE),"0")),0)-0.1,0)</f>
        <v>0</v>
      </c>
      <c r="AC140" s="178">
        <f t="shared" si="20"/>
        <v>0</v>
      </c>
      <c r="AD140" s="21">
        <f t="shared" si="17"/>
        <v>0</v>
      </c>
      <c r="AE140" s="173">
        <f t="shared" si="18"/>
        <v>0</v>
      </c>
      <c r="AF140" s="14" t="str">
        <f t="shared" si="19"/>
        <v/>
      </c>
      <c r="AG140" s="14"/>
      <c r="AH140" s="14"/>
    </row>
    <row r="141" spans="1:34">
      <c r="A141" s="28"/>
      <c r="B141" s="180"/>
      <c r="C141" s="188"/>
      <c r="D141" s="161"/>
      <c r="E141" s="162"/>
      <c r="F141" s="162"/>
      <c r="G141" s="163"/>
      <c r="H141" s="285"/>
      <c r="I141" s="282"/>
      <c r="J141" s="16"/>
      <c r="K141" s="18">
        <f t="shared" si="15"/>
        <v>0</v>
      </c>
      <c r="L141" s="288">
        <v>0</v>
      </c>
      <c r="M141" s="291"/>
      <c r="N141" s="164"/>
      <c r="O141" s="164"/>
      <c r="P141" s="164"/>
      <c r="Q141" s="175">
        <f t="shared" si="21"/>
        <v>0</v>
      </c>
      <c r="R141" s="164"/>
      <c r="S141" s="197">
        <f t="shared" si="16"/>
        <v>0</v>
      </c>
      <c r="T141" s="201" t="str" cm="1">
        <f t="array" ref="T141">IFERROR(IF(F141="甲",IF(K141&gt;3500000,VLOOKUP(3500000,源泉DB!$B$261:$L$261,L141+3)+ROUNDDOWN((K141-3500000)*45.945%,0),IF(AND(K141&gt;2250000,K141&lt;3500000),VLOOKUP(2250000,源泉DB!$B$260:$K$260,L141+3)+ROUNDDOWN((K141-2250000)*40.84%,0),IF(AND(K141&gt;2210000,K141&lt;2250000),VLOOKUP(2210000,源泉DB!$B$259:$K$259,L141+3)+ROUNDDOWN((K141-2210000)*40.84%,0),IF(AND(K141&gt;2170000,K141&lt;2210000),VLOOKUP(2170000,源泉DB!$B$258:$K$258,L141+3)+ROUNDDOWN((K141-2170000)*40.84%,0),IF(AND(K141&gt;1700000,K141&lt;2170000),VLOOKUP(1700000,源泉DB!$B$257:$K$257,L141+3)+ROUNDDOWN((K141-1700000)*40.84%,0),IF(AND(K141&gt;950000,K141&lt;1700000),VLOOKUP(950000,源泉DB!$B$256:$K$256,L141+3)+ROUNDDOWN((K141-950000)*33.693%,0),IF(AND(K141&gt;780000,K141&lt;950000),VLOOKUP(780000,源泉DB!$B$255:$K$255,L141+3)+ROUNDDOWN((K141-780000)*23.483%,0),IF(AND(K141&gt;740000,K141&lt;780000),VLOOKUP(740000,源泉DB!$B$254:$K$254,L141+3)+ROUNDDOWN((K141-740000)*20.42%,0),VLOOKUP(K141,源泉DB!$B$8:$K$299,L141+3))))))))),IF(F141="乙",IF(K141&gt;1700000,651900+(K141-1700000) *45.945%,IF(K141=1700000,651900,IF(AND(K141&gt;740000,K141&lt;1700000),259800+(K141-740000)*40.84%,IF(K141=740000,259800,IF(K141&lt;88000,ROUNDDOWN(K141*3.063%,9),VLOOKUP(K141,源泉DB!$B$8:$L$254,11)))))),"")),"")</f>
        <v/>
      </c>
      <c r="U141" s="165"/>
      <c r="V141" s="166"/>
      <c r="W141" s="166"/>
      <c r="X141" s="166"/>
      <c r="Y141" s="166"/>
      <c r="Z141" s="178">
        <f>ROUND(IFERROR(IF(($G141="加入"),VLOOKUP($I141,年金DB!$G$16:$P$65,6,TRUE),0),0)-0.1,0)</f>
        <v>0</v>
      </c>
      <c r="AA141" s="178">
        <f>ROUND(IFERROR(IF(AND($G141="加入",$D141&gt;=40,$D141&lt;=64),VLOOKUP($I141,年金DB!$G$16:$P$65,10,TRUE),0),0)-0.1,0)</f>
        <v>0</v>
      </c>
      <c r="AB141" s="178">
        <f>ROUND(IFERROR(IF(AND($G141="加入",$D141&lt;40),VLOOKUP($J141,年金DB!$G$16:$X$62,14,TRUE),IF(AND($G141="加入",$D141&gt;=40),VLOOKUP($J141,年金DB!$G$16:$X$62,14,TRUE),"0")),0)-0.1,0)</f>
        <v>0</v>
      </c>
      <c r="AC141" s="178">
        <f t="shared" si="20"/>
        <v>0</v>
      </c>
      <c r="AD141" s="21">
        <f t="shared" si="17"/>
        <v>0</v>
      </c>
      <c r="AE141" s="173">
        <f t="shared" si="18"/>
        <v>0</v>
      </c>
      <c r="AF141" s="14" t="str">
        <f t="shared" si="19"/>
        <v/>
      </c>
      <c r="AG141" s="14"/>
      <c r="AH141" s="14"/>
    </row>
    <row r="142" spans="1:34">
      <c r="A142" s="28"/>
      <c r="B142" s="180"/>
      <c r="C142" s="188"/>
      <c r="D142" s="161"/>
      <c r="E142" s="162"/>
      <c r="F142" s="162"/>
      <c r="G142" s="163"/>
      <c r="H142" s="285"/>
      <c r="I142" s="282"/>
      <c r="J142" s="16"/>
      <c r="K142" s="18">
        <f t="shared" si="15"/>
        <v>0</v>
      </c>
      <c r="L142" s="288">
        <v>0</v>
      </c>
      <c r="M142" s="291"/>
      <c r="N142" s="164"/>
      <c r="O142" s="164"/>
      <c r="P142" s="164"/>
      <c r="Q142" s="175">
        <f t="shared" si="21"/>
        <v>0</v>
      </c>
      <c r="R142" s="164"/>
      <c r="S142" s="197">
        <f t="shared" si="16"/>
        <v>0</v>
      </c>
      <c r="T142" s="201" t="str" cm="1">
        <f t="array" ref="T142">IFERROR(IF(F142="甲",IF(K142&gt;3500000,VLOOKUP(3500000,源泉DB!$B$261:$L$261,L142+3)+ROUNDDOWN((K142-3500000)*45.945%,0),IF(AND(K142&gt;2250000,K142&lt;3500000),VLOOKUP(2250000,源泉DB!$B$260:$K$260,L142+3)+ROUNDDOWN((K142-2250000)*40.84%,0),IF(AND(K142&gt;2210000,K142&lt;2250000),VLOOKUP(2210000,源泉DB!$B$259:$K$259,L142+3)+ROUNDDOWN((K142-2210000)*40.84%,0),IF(AND(K142&gt;2170000,K142&lt;2210000),VLOOKUP(2170000,源泉DB!$B$258:$K$258,L142+3)+ROUNDDOWN((K142-2170000)*40.84%,0),IF(AND(K142&gt;1700000,K142&lt;2170000),VLOOKUP(1700000,源泉DB!$B$257:$K$257,L142+3)+ROUNDDOWN((K142-1700000)*40.84%,0),IF(AND(K142&gt;950000,K142&lt;1700000),VLOOKUP(950000,源泉DB!$B$256:$K$256,L142+3)+ROUNDDOWN((K142-950000)*33.693%,0),IF(AND(K142&gt;780000,K142&lt;950000),VLOOKUP(780000,源泉DB!$B$255:$K$255,L142+3)+ROUNDDOWN((K142-780000)*23.483%,0),IF(AND(K142&gt;740000,K142&lt;780000),VLOOKUP(740000,源泉DB!$B$254:$K$254,L142+3)+ROUNDDOWN((K142-740000)*20.42%,0),VLOOKUP(K142,源泉DB!$B$8:$K$299,L142+3))))))))),IF(F142="乙",IF(K142&gt;1700000,651900+(K142-1700000) *45.945%,IF(K142=1700000,651900,IF(AND(K142&gt;740000,K142&lt;1700000),259800+(K142-740000)*40.84%,IF(K142=740000,259800,IF(K142&lt;88000,ROUNDDOWN(K142*3.063%,9),VLOOKUP(K142,源泉DB!$B$8:$L$254,11)))))),"")),"")</f>
        <v/>
      </c>
      <c r="U142" s="165"/>
      <c r="V142" s="166"/>
      <c r="W142" s="166"/>
      <c r="X142" s="166"/>
      <c r="Y142" s="166"/>
      <c r="Z142" s="178">
        <f>ROUND(IFERROR(IF(($G142="加入"),VLOOKUP($I142,年金DB!$G$16:$P$65,6,TRUE),0),0)-0.1,0)</f>
        <v>0</v>
      </c>
      <c r="AA142" s="178">
        <f>ROUND(IFERROR(IF(AND($G142="加入",$D142&gt;=40,$D142&lt;=64),VLOOKUP($I142,年金DB!$G$16:$P$65,10,TRUE),0),0)-0.1,0)</f>
        <v>0</v>
      </c>
      <c r="AB142" s="178">
        <f>ROUND(IFERROR(IF(AND($G142="加入",$D142&lt;40),VLOOKUP($J142,年金DB!$G$16:$X$62,14,TRUE),IF(AND($G142="加入",$D142&gt;=40),VLOOKUP($J142,年金DB!$G$16:$X$62,14,TRUE),"0")),0)-0.1,0)</f>
        <v>0</v>
      </c>
      <c r="AC142" s="178">
        <f t="shared" si="20"/>
        <v>0</v>
      </c>
      <c r="AD142" s="21">
        <f t="shared" si="17"/>
        <v>0</v>
      </c>
      <c r="AE142" s="173">
        <f t="shared" si="18"/>
        <v>0</v>
      </c>
      <c r="AF142" s="14" t="str">
        <f t="shared" si="19"/>
        <v/>
      </c>
      <c r="AG142" s="14"/>
      <c r="AH142" s="14"/>
    </row>
    <row r="143" spans="1:34">
      <c r="A143" s="28"/>
      <c r="B143" s="180"/>
      <c r="C143" s="188"/>
      <c r="D143" s="161"/>
      <c r="E143" s="162"/>
      <c r="F143" s="162"/>
      <c r="G143" s="163"/>
      <c r="H143" s="285"/>
      <c r="I143" s="282"/>
      <c r="J143" s="16"/>
      <c r="K143" s="18">
        <f t="shared" si="15"/>
        <v>0</v>
      </c>
      <c r="L143" s="288">
        <v>0</v>
      </c>
      <c r="M143" s="291"/>
      <c r="N143" s="164"/>
      <c r="O143" s="164"/>
      <c r="P143" s="164"/>
      <c r="Q143" s="175">
        <f t="shared" si="21"/>
        <v>0</v>
      </c>
      <c r="R143" s="164"/>
      <c r="S143" s="197">
        <f t="shared" si="16"/>
        <v>0</v>
      </c>
      <c r="T143" s="201" t="str" cm="1">
        <f t="array" ref="T143">IFERROR(IF(F143="甲",IF(K143&gt;3500000,VLOOKUP(3500000,源泉DB!$B$261:$L$261,L143+3)+ROUNDDOWN((K143-3500000)*45.945%,0),IF(AND(K143&gt;2250000,K143&lt;3500000),VLOOKUP(2250000,源泉DB!$B$260:$K$260,L143+3)+ROUNDDOWN((K143-2250000)*40.84%,0),IF(AND(K143&gt;2210000,K143&lt;2250000),VLOOKUP(2210000,源泉DB!$B$259:$K$259,L143+3)+ROUNDDOWN((K143-2210000)*40.84%,0),IF(AND(K143&gt;2170000,K143&lt;2210000),VLOOKUP(2170000,源泉DB!$B$258:$K$258,L143+3)+ROUNDDOWN((K143-2170000)*40.84%,0),IF(AND(K143&gt;1700000,K143&lt;2170000),VLOOKUP(1700000,源泉DB!$B$257:$K$257,L143+3)+ROUNDDOWN((K143-1700000)*40.84%,0),IF(AND(K143&gt;950000,K143&lt;1700000),VLOOKUP(950000,源泉DB!$B$256:$K$256,L143+3)+ROUNDDOWN((K143-950000)*33.693%,0),IF(AND(K143&gt;780000,K143&lt;950000),VLOOKUP(780000,源泉DB!$B$255:$K$255,L143+3)+ROUNDDOWN((K143-780000)*23.483%,0),IF(AND(K143&gt;740000,K143&lt;780000),VLOOKUP(740000,源泉DB!$B$254:$K$254,L143+3)+ROUNDDOWN((K143-740000)*20.42%,0),VLOOKUP(K143,源泉DB!$B$8:$K$299,L143+3))))))))),IF(F143="乙",IF(K143&gt;1700000,651900+(K143-1700000) *45.945%,IF(K143=1700000,651900,IF(AND(K143&gt;740000,K143&lt;1700000),259800+(K143-740000)*40.84%,IF(K143=740000,259800,IF(K143&lt;88000,ROUNDDOWN(K143*3.063%,9),VLOOKUP(K143,源泉DB!$B$8:$L$254,11)))))),"")),"")</f>
        <v/>
      </c>
      <c r="U143" s="165"/>
      <c r="V143" s="166"/>
      <c r="W143" s="166"/>
      <c r="X143" s="166"/>
      <c r="Y143" s="166"/>
      <c r="Z143" s="178">
        <f>ROUND(IFERROR(IF(($G143="加入"),VLOOKUP($I143,年金DB!$G$16:$P$65,6,TRUE),0),0)-0.1,0)</f>
        <v>0</v>
      </c>
      <c r="AA143" s="178">
        <f>ROUND(IFERROR(IF(AND($G143="加入",$D143&gt;=40,$D143&lt;=64),VLOOKUP($I143,年金DB!$G$16:$P$65,10,TRUE),0),0)-0.1,0)</f>
        <v>0</v>
      </c>
      <c r="AB143" s="178">
        <f>ROUND(IFERROR(IF(AND($G143="加入",$D143&lt;40),VLOOKUP($J143,年金DB!$G$16:$X$62,14,TRUE),IF(AND($G143="加入",$D143&gt;=40),VLOOKUP($J143,年金DB!$G$16:$X$62,14,TRUE),"0")),0)-0.1,0)</f>
        <v>0</v>
      </c>
      <c r="AC143" s="178">
        <f t="shared" si="20"/>
        <v>0</v>
      </c>
      <c r="AD143" s="21">
        <f t="shared" si="17"/>
        <v>0</v>
      </c>
      <c r="AE143" s="173">
        <f t="shared" si="18"/>
        <v>0</v>
      </c>
      <c r="AF143" s="14" t="str">
        <f t="shared" si="19"/>
        <v/>
      </c>
      <c r="AG143" s="14"/>
      <c r="AH143" s="14"/>
    </row>
    <row r="144" spans="1:34">
      <c r="A144" s="28"/>
      <c r="B144" s="180"/>
      <c r="C144" s="188"/>
      <c r="D144" s="161"/>
      <c r="E144" s="162"/>
      <c r="F144" s="162"/>
      <c r="G144" s="163"/>
      <c r="H144" s="285"/>
      <c r="I144" s="282"/>
      <c r="J144" s="16"/>
      <c r="K144" s="18">
        <f t="shared" si="15"/>
        <v>0</v>
      </c>
      <c r="L144" s="288">
        <v>0</v>
      </c>
      <c r="M144" s="291"/>
      <c r="N144" s="164"/>
      <c r="O144" s="164"/>
      <c r="P144" s="164"/>
      <c r="Q144" s="175">
        <f t="shared" si="21"/>
        <v>0</v>
      </c>
      <c r="R144" s="164"/>
      <c r="S144" s="197">
        <f t="shared" si="16"/>
        <v>0</v>
      </c>
      <c r="T144" s="201" t="str" cm="1">
        <f t="array" ref="T144">IFERROR(IF(F144="甲",IF(K144&gt;3500000,VLOOKUP(3500000,源泉DB!$B$261:$L$261,L144+3)+ROUNDDOWN((K144-3500000)*45.945%,0),IF(AND(K144&gt;2250000,K144&lt;3500000),VLOOKUP(2250000,源泉DB!$B$260:$K$260,L144+3)+ROUNDDOWN((K144-2250000)*40.84%,0),IF(AND(K144&gt;2210000,K144&lt;2250000),VLOOKUP(2210000,源泉DB!$B$259:$K$259,L144+3)+ROUNDDOWN((K144-2210000)*40.84%,0),IF(AND(K144&gt;2170000,K144&lt;2210000),VLOOKUP(2170000,源泉DB!$B$258:$K$258,L144+3)+ROUNDDOWN((K144-2170000)*40.84%,0),IF(AND(K144&gt;1700000,K144&lt;2170000),VLOOKUP(1700000,源泉DB!$B$257:$K$257,L144+3)+ROUNDDOWN((K144-1700000)*40.84%,0),IF(AND(K144&gt;950000,K144&lt;1700000),VLOOKUP(950000,源泉DB!$B$256:$K$256,L144+3)+ROUNDDOWN((K144-950000)*33.693%,0),IF(AND(K144&gt;780000,K144&lt;950000),VLOOKUP(780000,源泉DB!$B$255:$K$255,L144+3)+ROUNDDOWN((K144-780000)*23.483%,0),IF(AND(K144&gt;740000,K144&lt;780000),VLOOKUP(740000,源泉DB!$B$254:$K$254,L144+3)+ROUNDDOWN((K144-740000)*20.42%,0),VLOOKUP(K144,源泉DB!$B$8:$K$299,L144+3))))))))),IF(F144="乙",IF(K144&gt;1700000,651900+(K144-1700000) *45.945%,IF(K144=1700000,651900,IF(AND(K144&gt;740000,K144&lt;1700000),259800+(K144-740000)*40.84%,IF(K144=740000,259800,IF(K144&lt;88000,ROUNDDOWN(K144*3.063%,9),VLOOKUP(K144,源泉DB!$B$8:$L$254,11)))))),"")),"")</f>
        <v/>
      </c>
      <c r="U144" s="165"/>
      <c r="V144" s="166"/>
      <c r="W144" s="166"/>
      <c r="X144" s="166"/>
      <c r="Y144" s="166"/>
      <c r="Z144" s="178">
        <f>ROUND(IFERROR(IF(($G144="加入"),VLOOKUP($I144,年金DB!$G$16:$P$65,6,TRUE),0),0)-0.1,0)</f>
        <v>0</v>
      </c>
      <c r="AA144" s="178">
        <f>ROUND(IFERROR(IF(AND($G144="加入",$D144&gt;=40,$D144&lt;=64),VLOOKUP($I144,年金DB!$G$16:$P$65,10,TRUE),0),0)-0.1,0)</f>
        <v>0</v>
      </c>
      <c r="AB144" s="178">
        <f>ROUND(IFERROR(IF(AND($G144="加入",$D144&lt;40),VLOOKUP($J144,年金DB!$G$16:$X$62,14,TRUE),IF(AND($G144="加入",$D144&gt;=40),VLOOKUP($J144,年金DB!$G$16:$X$62,14,TRUE),"0")),0)-0.1,0)</f>
        <v>0</v>
      </c>
      <c r="AC144" s="178">
        <f t="shared" si="20"/>
        <v>0</v>
      </c>
      <c r="AD144" s="21">
        <f t="shared" si="17"/>
        <v>0</v>
      </c>
      <c r="AE144" s="173">
        <f t="shared" si="18"/>
        <v>0</v>
      </c>
      <c r="AF144" s="14" t="str">
        <f t="shared" si="19"/>
        <v/>
      </c>
      <c r="AG144" s="14"/>
      <c r="AH144" s="14"/>
    </row>
    <row r="145" spans="1:34">
      <c r="A145" s="28"/>
      <c r="B145" s="180"/>
      <c r="C145" s="188"/>
      <c r="D145" s="161"/>
      <c r="E145" s="162"/>
      <c r="F145" s="162"/>
      <c r="G145" s="163"/>
      <c r="H145" s="285"/>
      <c r="I145" s="282"/>
      <c r="J145" s="16"/>
      <c r="K145" s="18">
        <f t="shared" si="15"/>
        <v>0</v>
      </c>
      <c r="L145" s="288">
        <v>0</v>
      </c>
      <c r="M145" s="291"/>
      <c r="N145" s="164"/>
      <c r="O145" s="164"/>
      <c r="P145" s="164"/>
      <c r="Q145" s="175">
        <f t="shared" si="21"/>
        <v>0</v>
      </c>
      <c r="R145" s="164"/>
      <c r="S145" s="197">
        <f t="shared" si="16"/>
        <v>0</v>
      </c>
      <c r="T145" s="201" t="str" cm="1">
        <f t="array" ref="T145">IFERROR(IF(F145="甲",IF(K145&gt;3500000,VLOOKUP(3500000,源泉DB!$B$261:$L$261,L145+3)+ROUNDDOWN((K145-3500000)*45.945%,0),IF(AND(K145&gt;2250000,K145&lt;3500000),VLOOKUP(2250000,源泉DB!$B$260:$K$260,L145+3)+ROUNDDOWN((K145-2250000)*40.84%,0),IF(AND(K145&gt;2210000,K145&lt;2250000),VLOOKUP(2210000,源泉DB!$B$259:$K$259,L145+3)+ROUNDDOWN((K145-2210000)*40.84%,0),IF(AND(K145&gt;2170000,K145&lt;2210000),VLOOKUP(2170000,源泉DB!$B$258:$K$258,L145+3)+ROUNDDOWN((K145-2170000)*40.84%,0),IF(AND(K145&gt;1700000,K145&lt;2170000),VLOOKUP(1700000,源泉DB!$B$257:$K$257,L145+3)+ROUNDDOWN((K145-1700000)*40.84%,0),IF(AND(K145&gt;950000,K145&lt;1700000),VLOOKUP(950000,源泉DB!$B$256:$K$256,L145+3)+ROUNDDOWN((K145-950000)*33.693%,0),IF(AND(K145&gt;780000,K145&lt;950000),VLOOKUP(780000,源泉DB!$B$255:$K$255,L145+3)+ROUNDDOWN((K145-780000)*23.483%,0),IF(AND(K145&gt;740000,K145&lt;780000),VLOOKUP(740000,源泉DB!$B$254:$K$254,L145+3)+ROUNDDOWN((K145-740000)*20.42%,0),VLOOKUP(K145,源泉DB!$B$8:$K$299,L145+3))))))))),IF(F145="乙",IF(K145&gt;1700000,651900+(K145-1700000) *45.945%,IF(K145=1700000,651900,IF(AND(K145&gt;740000,K145&lt;1700000),259800+(K145-740000)*40.84%,IF(K145=740000,259800,IF(K145&lt;88000,ROUNDDOWN(K145*3.063%,9),VLOOKUP(K145,源泉DB!$B$8:$L$254,11)))))),"")),"")</f>
        <v/>
      </c>
      <c r="U145" s="165"/>
      <c r="V145" s="166"/>
      <c r="W145" s="166"/>
      <c r="X145" s="166"/>
      <c r="Y145" s="166"/>
      <c r="Z145" s="178">
        <f>ROUND(IFERROR(IF(($G145="加入"),VLOOKUP($I145,年金DB!$G$16:$P$65,6,TRUE),0),0)-0.1,0)</f>
        <v>0</v>
      </c>
      <c r="AA145" s="178">
        <f>ROUND(IFERROR(IF(AND($G145="加入",$D145&gt;=40,$D145&lt;=64),VLOOKUP($I145,年金DB!$G$16:$P$65,10,TRUE),0),0)-0.1,0)</f>
        <v>0</v>
      </c>
      <c r="AB145" s="178">
        <f>ROUND(IFERROR(IF(AND($G145="加入",$D145&lt;40),VLOOKUP($J145,年金DB!$G$16:$X$62,14,TRUE),IF(AND($G145="加入",$D145&gt;=40),VLOOKUP($J145,年金DB!$G$16:$X$62,14,TRUE),"0")),0)-0.1,0)</f>
        <v>0</v>
      </c>
      <c r="AC145" s="178">
        <f t="shared" si="20"/>
        <v>0</v>
      </c>
      <c r="AD145" s="21">
        <f t="shared" si="17"/>
        <v>0</v>
      </c>
      <c r="AE145" s="173">
        <f t="shared" si="18"/>
        <v>0</v>
      </c>
      <c r="AF145" s="14" t="str">
        <f t="shared" si="19"/>
        <v/>
      </c>
      <c r="AG145" s="14"/>
      <c r="AH145" s="14"/>
    </row>
    <row r="146" spans="1:34">
      <c r="A146" s="28"/>
      <c r="B146" s="180"/>
      <c r="C146" s="188"/>
      <c r="D146" s="161"/>
      <c r="E146" s="162"/>
      <c r="F146" s="162"/>
      <c r="G146" s="163"/>
      <c r="H146" s="285"/>
      <c r="I146" s="282"/>
      <c r="J146" s="16"/>
      <c r="K146" s="18">
        <f t="shared" si="15"/>
        <v>0</v>
      </c>
      <c r="L146" s="288">
        <v>0</v>
      </c>
      <c r="M146" s="291"/>
      <c r="N146" s="164"/>
      <c r="O146" s="164"/>
      <c r="P146" s="164"/>
      <c r="Q146" s="175">
        <f t="shared" si="21"/>
        <v>0</v>
      </c>
      <c r="R146" s="164"/>
      <c r="S146" s="197">
        <f t="shared" si="16"/>
        <v>0</v>
      </c>
      <c r="T146" s="201" t="str" cm="1">
        <f t="array" ref="T146">IFERROR(IF(F146="甲",IF(K146&gt;3500000,VLOOKUP(3500000,源泉DB!$B$261:$L$261,L146+3)+ROUNDDOWN((K146-3500000)*45.945%,0),IF(AND(K146&gt;2250000,K146&lt;3500000),VLOOKUP(2250000,源泉DB!$B$260:$K$260,L146+3)+ROUNDDOWN((K146-2250000)*40.84%,0),IF(AND(K146&gt;2210000,K146&lt;2250000),VLOOKUP(2210000,源泉DB!$B$259:$K$259,L146+3)+ROUNDDOWN((K146-2210000)*40.84%,0),IF(AND(K146&gt;2170000,K146&lt;2210000),VLOOKUP(2170000,源泉DB!$B$258:$K$258,L146+3)+ROUNDDOWN((K146-2170000)*40.84%,0),IF(AND(K146&gt;1700000,K146&lt;2170000),VLOOKUP(1700000,源泉DB!$B$257:$K$257,L146+3)+ROUNDDOWN((K146-1700000)*40.84%,0),IF(AND(K146&gt;950000,K146&lt;1700000),VLOOKUP(950000,源泉DB!$B$256:$K$256,L146+3)+ROUNDDOWN((K146-950000)*33.693%,0),IF(AND(K146&gt;780000,K146&lt;950000),VLOOKUP(780000,源泉DB!$B$255:$K$255,L146+3)+ROUNDDOWN((K146-780000)*23.483%,0),IF(AND(K146&gt;740000,K146&lt;780000),VLOOKUP(740000,源泉DB!$B$254:$K$254,L146+3)+ROUNDDOWN((K146-740000)*20.42%,0),VLOOKUP(K146,源泉DB!$B$8:$K$299,L146+3))))))))),IF(F146="乙",IF(K146&gt;1700000,651900+(K146-1700000) *45.945%,IF(K146=1700000,651900,IF(AND(K146&gt;740000,K146&lt;1700000),259800+(K146-740000)*40.84%,IF(K146=740000,259800,IF(K146&lt;88000,ROUNDDOWN(K146*3.063%,9),VLOOKUP(K146,源泉DB!$B$8:$L$254,11)))))),"")),"")</f>
        <v/>
      </c>
      <c r="U146" s="165"/>
      <c r="V146" s="166"/>
      <c r="W146" s="166"/>
      <c r="X146" s="166"/>
      <c r="Y146" s="166"/>
      <c r="Z146" s="178">
        <f>ROUND(IFERROR(IF(($G146="加入"),VLOOKUP($I146,年金DB!$G$16:$P$65,6,TRUE),0),0)-0.1,0)</f>
        <v>0</v>
      </c>
      <c r="AA146" s="178">
        <f>ROUND(IFERROR(IF(AND($G146="加入",$D146&gt;=40,$D146&lt;=64),VLOOKUP($I146,年金DB!$G$16:$P$65,10,TRUE),0),0)-0.1,0)</f>
        <v>0</v>
      </c>
      <c r="AB146" s="178">
        <f>ROUND(IFERROR(IF(AND($G146="加入",$D146&lt;40),VLOOKUP($J146,年金DB!$G$16:$X$62,14,TRUE),IF(AND($G146="加入",$D146&gt;=40),VLOOKUP($J146,年金DB!$G$16:$X$62,14,TRUE),"0")),0)-0.1,0)</f>
        <v>0</v>
      </c>
      <c r="AC146" s="178">
        <f t="shared" si="20"/>
        <v>0</v>
      </c>
      <c r="AD146" s="21">
        <f t="shared" si="17"/>
        <v>0</v>
      </c>
      <c r="AE146" s="173">
        <f t="shared" si="18"/>
        <v>0</v>
      </c>
      <c r="AF146" s="14" t="str">
        <f t="shared" si="19"/>
        <v/>
      </c>
      <c r="AG146" s="14"/>
      <c r="AH146" s="14"/>
    </row>
    <row r="147" spans="1:34">
      <c r="A147" s="28"/>
      <c r="B147" s="180"/>
      <c r="C147" s="188"/>
      <c r="D147" s="161"/>
      <c r="E147" s="162"/>
      <c r="F147" s="162"/>
      <c r="G147" s="163"/>
      <c r="H147" s="285"/>
      <c r="I147" s="282"/>
      <c r="J147" s="16"/>
      <c r="K147" s="18">
        <f t="shared" si="15"/>
        <v>0</v>
      </c>
      <c r="L147" s="288">
        <v>0</v>
      </c>
      <c r="M147" s="291"/>
      <c r="N147" s="164"/>
      <c r="O147" s="164"/>
      <c r="P147" s="164"/>
      <c r="Q147" s="175">
        <f t="shared" si="21"/>
        <v>0</v>
      </c>
      <c r="R147" s="164"/>
      <c r="S147" s="197">
        <f t="shared" si="16"/>
        <v>0</v>
      </c>
      <c r="T147" s="201" t="str" cm="1">
        <f t="array" ref="T147">IFERROR(IF(F147="甲",IF(K147&gt;3500000,VLOOKUP(3500000,源泉DB!$B$261:$L$261,L147+3)+ROUNDDOWN((K147-3500000)*45.945%,0),IF(AND(K147&gt;2250000,K147&lt;3500000),VLOOKUP(2250000,源泉DB!$B$260:$K$260,L147+3)+ROUNDDOWN((K147-2250000)*40.84%,0),IF(AND(K147&gt;2210000,K147&lt;2250000),VLOOKUP(2210000,源泉DB!$B$259:$K$259,L147+3)+ROUNDDOWN((K147-2210000)*40.84%,0),IF(AND(K147&gt;2170000,K147&lt;2210000),VLOOKUP(2170000,源泉DB!$B$258:$K$258,L147+3)+ROUNDDOWN((K147-2170000)*40.84%,0),IF(AND(K147&gt;1700000,K147&lt;2170000),VLOOKUP(1700000,源泉DB!$B$257:$K$257,L147+3)+ROUNDDOWN((K147-1700000)*40.84%,0),IF(AND(K147&gt;950000,K147&lt;1700000),VLOOKUP(950000,源泉DB!$B$256:$K$256,L147+3)+ROUNDDOWN((K147-950000)*33.693%,0),IF(AND(K147&gt;780000,K147&lt;950000),VLOOKUP(780000,源泉DB!$B$255:$K$255,L147+3)+ROUNDDOWN((K147-780000)*23.483%,0),IF(AND(K147&gt;740000,K147&lt;780000),VLOOKUP(740000,源泉DB!$B$254:$K$254,L147+3)+ROUNDDOWN((K147-740000)*20.42%,0),VLOOKUP(K147,源泉DB!$B$8:$K$299,L147+3))))))))),IF(F147="乙",IF(K147&gt;1700000,651900+(K147-1700000) *45.945%,IF(K147=1700000,651900,IF(AND(K147&gt;740000,K147&lt;1700000),259800+(K147-740000)*40.84%,IF(K147=740000,259800,IF(K147&lt;88000,ROUNDDOWN(K147*3.063%,9),VLOOKUP(K147,源泉DB!$B$8:$L$254,11)))))),"")),"")</f>
        <v/>
      </c>
      <c r="U147" s="165"/>
      <c r="V147" s="166"/>
      <c r="W147" s="166"/>
      <c r="X147" s="166"/>
      <c r="Y147" s="166"/>
      <c r="Z147" s="178">
        <f>ROUND(IFERROR(IF(($G147="加入"),VLOOKUP($I147,年金DB!$G$16:$P$65,6,TRUE),0),0)-0.1,0)</f>
        <v>0</v>
      </c>
      <c r="AA147" s="178">
        <f>ROUND(IFERROR(IF(AND($G147="加入",$D147&gt;=40,$D147&lt;=64),VLOOKUP($I147,年金DB!$G$16:$P$65,10,TRUE),0),0)-0.1,0)</f>
        <v>0</v>
      </c>
      <c r="AB147" s="178">
        <f>ROUND(IFERROR(IF(AND($G147="加入",$D147&lt;40),VLOOKUP($J147,年金DB!$G$16:$X$62,14,TRUE),IF(AND($G147="加入",$D147&gt;=40),VLOOKUP($J147,年金DB!$G$16:$X$62,14,TRUE),"0")),0)-0.1,0)</f>
        <v>0</v>
      </c>
      <c r="AC147" s="178">
        <f t="shared" si="20"/>
        <v>0</v>
      </c>
      <c r="AD147" s="21">
        <f t="shared" si="17"/>
        <v>0</v>
      </c>
      <c r="AE147" s="173">
        <f t="shared" si="18"/>
        <v>0</v>
      </c>
      <c r="AF147" s="14" t="str">
        <f t="shared" si="19"/>
        <v/>
      </c>
      <c r="AG147" s="14"/>
      <c r="AH147" s="14"/>
    </row>
    <row r="148" spans="1:34">
      <c r="A148" s="28"/>
      <c r="B148" s="180"/>
      <c r="C148" s="188"/>
      <c r="D148" s="161"/>
      <c r="E148" s="162"/>
      <c r="F148" s="162"/>
      <c r="G148" s="163"/>
      <c r="H148" s="285"/>
      <c r="I148" s="282"/>
      <c r="J148" s="16"/>
      <c r="K148" s="18">
        <f t="shared" si="15"/>
        <v>0</v>
      </c>
      <c r="L148" s="288">
        <v>0</v>
      </c>
      <c r="M148" s="291"/>
      <c r="N148" s="164"/>
      <c r="O148" s="164"/>
      <c r="P148" s="164"/>
      <c r="Q148" s="175">
        <f t="shared" si="21"/>
        <v>0</v>
      </c>
      <c r="R148" s="164"/>
      <c r="S148" s="197">
        <f t="shared" si="16"/>
        <v>0</v>
      </c>
      <c r="T148" s="201" t="str" cm="1">
        <f t="array" ref="T148">IFERROR(IF(F148="甲",IF(K148&gt;3500000,VLOOKUP(3500000,源泉DB!$B$261:$L$261,L148+3)+ROUNDDOWN((K148-3500000)*45.945%,0),IF(AND(K148&gt;2250000,K148&lt;3500000),VLOOKUP(2250000,源泉DB!$B$260:$K$260,L148+3)+ROUNDDOWN((K148-2250000)*40.84%,0),IF(AND(K148&gt;2210000,K148&lt;2250000),VLOOKUP(2210000,源泉DB!$B$259:$K$259,L148+3)+ROUNDDOWN((K148-2210000)*40.84%,0),IF(AND(K148&gt;2170000,K148&lt;2210000),VLOOKUP(2170000,源泉DB!$B$258:$K$258,L148+3)+ROUNDDOWN((K148-2170000)*40.84%,0),IF(AND(K148&gt;1700000,K148&lt;2170000),VLOOKUP(1700000,源泉DB!$B$257:$K$257,L148+3)+ROUNDDOWN((K148-1700000)*40.84%,0),IF(AND(K148&gt;950000,K148&lt;1700000),VLOOKUP(950000,源泉DB!$B$256:$K$256,L148+3)+ROUNDDOWN((K148-950000)*33.693%,0),IF(AND(K148&gt;780000,K148&lt;950000),VLOOKUP(780000,源泉DB!$B$255:$K$255,L148+3)+ROUNDDOWN((K148-780000)*23.483%,0),IF(AND(K148&gt;740000,K148&lt;780000),VLOOKUP(740000,源泉DB!$B$254:$K$254,L148+3)+ROUNDDOWN((K148-740000)*20.42%,0),VLOOKUP(K148,源泉DB!$B$8:$K$299,L148+3))))))))),IF(F148="乙",IF(K148&gt;1700000,651900+(K148-1700000) *45.945%,IF(K148=1700000,651900,IF(AND(K148&gt;740000,K148&lt;1700000),259800+(K148-740000)*40.84%,IF(K148=740000,259800,IF(K148&lt;88000,ROUNDDOWN(K148*3.063%,9),VLOOKUP(K148,源泉DB!$B$8:$L$254,11)))))),"")),"")</f>
        <v/>
      </c>
      <c r="U148" s="165"/>
      <c r="V148" s="166"/>
      <c r="W148" s="166"/>
      <c r="X148" s="166"/>
      <c r="Y148" s="166"/>
      <c r="Z148" s="178">
        <f>ROUND(IFERROR(IF(($G148="加入"),VLOOKUP($I148,年金DB!$G$16:$P$65,6,TRUE),0),0)-0.1,0)</f>
        <v>0</v>
      </c>
      <c r="AA148" s="178">
        <f>ROUND(IFERROR(IF(AND($G148="加入",$D148&gt;=40,$D148&lt;=64),VLOOKUP($I148,年金DB!$G$16:$P$65,10,TRUE),0),0)-0.1,0)</f>
        <v>0</v>
      </c>
      <c r="AB148" s="178">
        <f>ROUND(IFERROR(IF(AND($G148="加入",$D148&lt;40),VLOOKUP($J148,年金DB!$G$16:$X$62,14,TRUE),IF(AND($G148="加入",$D148&gt;=40),VLOOKUP($J148,年金DB!$G$16:$X$62,14,TRUE),"0")),0)-0.1,0)</f>
        <v>0</v>
      </c>
      <c r="AC148" s="178">
        <f t="shared" si="20"/>
        <v>0</v>
      </c>
      <c r="AD148" s="21">
        <f t="shared" si="17"/>
        <v>0</v>
      </c>
      <c r="AE148" s="173">
        <f t="shared" si="18"/>
        <v>0</v>
      </c>
      <c r="AF148" s="14" t="str">
        <f t="shared" si="19"/>
        <v/>
      </c>
      <c r="AG148" s="14"/>
      <c r="AH148" s="14"/>
    </row>
    <row r="149" spans="1:34">
      <c r="A149" s="28"/>
      <c r="B149" s="180"/>
      <c r="C149" s="188"/>
      <c r="D149" s="161"/>
      <c r="E149" s="162"/>
      <c r="F149" s="162"/>
      <c r="G149" s="163"/>
      <c r="H149" s="285"/>
      <c r="I149" s="282"/>
      <c r="J149" s="16"/>
      <c r="K149" s="18">
        <f t="shared" si="15"/>
        <v>0</v>
      </c>
      <c r="L149" s="288">
        <v>0</v>
      </c>
      <c r="M149" s="291"/>
      <c r="N149" s="164"/>
      <c r="O149" s="164"/>
      <c r="P149" s="164"/>
      <c r="Q149" s="175">
        <f t="shared" si="21"/>
        <v>0</v>
      </c>
      <c r="R149" s="164"/>
      <c r="S149" s="197">
        <f t="shared" si="16"/>
        <v>0</v>
      </c>
      <c r="T149" s="201" t="str" cm="1">
        <f t="array" ref="T149">IFERROR(IF(F149="甲",IF(K149&gt;3500000,VLOOKUP(3500000,源泉DB!$B$261:$L$261,L149+3)+ROUNDDOWN((K149-3500000)*45.945%,0),IF(AND(K149&gt;2250000,K149&lt;3500000),VLOOKUP(2250000,源泉DB!$B$260:$K$260,L149+3)+ROUNDDOWN((K149-2250000)*40.84%,0),IF(AND(K149&gt;2210000,K149&lt;2250000),VLOOKUP(2210000,源泉DB!$B$259:$K$259,L149+3)+ROUNDDOWN((K149-2210000)*40.84%,0),IF(AND(K149&gt;2170000,K149&lt;2210000),VLOOKUP(2170000,源泉DB!$B$258:$K$258,L149+3)+ROUNDDOWN((K149-2170000)*40.84%,0),IF(AND(K149&gt;1700000,K149&lt;2170000),VLOOKUP(1700000,源泉DB!$B$257:$K$257,L149+3)+ROUNDDOWN((K149-1700000)*40.84%,0),IF(AND(K149&gt;950000,K149&lt;1700000),VLOOKUP(950000,源泉DB!$B$256:$K$256,L149+3)+ROUNDDOWN((K149-950000)*33.693%,0),IF(AND(K149&gt;780000,K149&lt;950000),VLOOKUP(780000,源泉DB!$B$255:$K$255,L149+3)+ROUNDDOWN((K149-780000)*23.483%,0),IF(AND(K149&gt;740000,K149&lt;780000),VLOOKUP(740000,源泉DB!$B$254:$K$254,L149+3)+ROUNDDOWN((K149-740000)*20.42%,0),VLOOKUP(K149,源泉DB!$B$8:$K$299,L149+3))))))))),IF(F149="乙",IF(K149&gt;1700000,651900+(K149-1700000) *45.945%,IF(K149=1700000,651900,IF(AND(K149&gt;740000,K149&lt;1700000),259800+(K149-740000)*40.84%,IF(K149=740000,259800,IF(K149&lt;88000,ROUNDDOWN(K149*3.063%,9),VLOOKUP(K149,源泉DB!$B$8:$L$254,11)))))),"")),"")</f>
        <v/>
      </c>
      <c r="U149" s="165"/>
      <c r="V149" s="166"/>
      <c r="W149" s="166"/>
      <c r="X149" s="166"/>
      <c r="Y149" s="166"/>
      <c r="Z149" s="178">
        <f>ROUND(IFERROR(IF(($G149="加入"),VLOOKUP($I149,年金DB!$G$16:$P$65,6,TRUE),0),0)-0.1,0)</f>
        <v>0</v>
      </c>
      <c r="AA149" s="178">
        <f>ROUND(IFERROR(IF(AND($G149="加入",$D149&gt;=40,$D149&lt;=64),VLOOKUP($I149,年金DB!$G$16:$P$65,10,TRUE),0),0)-0.1,0)</f>
        <v>0</v>
      </c>
      <c r="AB149" s="178">
        <f>ROUND(IFERROR(IF(AND($G149="加入",$D149&lt;40),VLOOKUP($J149,年金DB!$G$16:$X$62,14,TRUE),IF(AND($G149="加入",$D149&gt;=40),VLOOKUP($J149,年金DB!$G$16:$X$62,14,TRUE),"0")),0)-0.1,0)</f>
        <v>0</v>
      </c>
      <c r="AC149" s="178">
        <f t="shared" si="20"/>
        <v>0</v>
      </c>
      <c r="AD149" s="21">
        <f t="shared" si="17"/>
        <v>0</v>
      </c>
      <c r="AE149" s="173">
        <f t="shared" si="18"/>
        <v>0</v>
      </c>
      <c r="AF149" s="14" t="str">
        <f t="shared" si="19"/>
        <v/>
      </c>
      <c r="AG149" s="14"/>
      <c r="AH149" s="14"/>
    </row>
    <row r="150" spans="1:34">
      <c r="A150" s="28"/>
      <c r="B150" s="180"/>
      <c r="C150" s="188"/>
      <c r="D150" s="161"/>
      <c r="E150" s="162"/>
      <c r="F150" s="162"/>
      <c r="G150" s="163"/>
      <c r="H150" s="285"/>
      <c r="I150" s="282"/>
      <c r="J150" s="16"/>
      <c r="K150" s="18">
        <f t="shared" si="15"/>
        <v>0</v>
      </c>
      <c r="L150" s="288">
        <v>0</v>
      </c>
      <c r="M150" s="291"/>
      <c r="N150" s="164"/>
      <c r="O150" s="164"/>
      <c r="P150" s="164"/>
      <c r="Q150" s="175">
        <f t="shared" si="21"/>
        <v>0</v>
      </c>
      <c r="R150" s="164"/>
      <c r="S150" s="197">
        <f t="shared" si="16"/>
        <v>0</v>
      </c>
      <c r="T150" s="201" t="str" cm="1">
        <f t="array" ref="T150">IFERROR(IF(F150="甲",IF(K150&gt;3500000,VLOOKUP(3500000,源泉DB!$B$261:$L$261,L150+3)+ROUNDDOWN((K150-3500000)*45.945%,0),IF(AND(K150&gt;2250000,K150&lt;3500000),VLOOKUP(2250000,源泉DB!$B$260:$K$260,L150+3)+ROUNDDOWN((K150-2250000)*40.84%,0),IF(AND(K150&gt;2210000,K150&lt;2250000),VLOOKUP(2210000,源泉DB!$B$259:$K$259,L150+3)+ROUNDDOWN((K150-2210000)*40.84%,0),IF(AND(K150&gt;2170000,K150&lt;2210000),VLOOKUP(2170000,源泉DB!$B$258:$K$258,L150+3)+ROUNDDOWN((K150-2170000)*40.84%,0),IF(AND(K150&gt;1700000,K150&lt;2170000),VLOOKUP(1700000,源泉DB!$B$257:$K$257,L150+3)+ROUNDDOWN((K150-1700000)*40.84%,0),IF(AND(K150&gt;950000,K150&lt;1700000),VLOOKUP(950000,源泉DB!$B$256:$K$256,L150+3)+ROUNDDOWN((K150-950000)*33.693%,0),IF(AND(K150&gt;780000,K150&lt;950000),VLOOKUP(780000,源泉DB!$B$255:$K$255,L150+3)+ROUNDDOWN((K150-780000)*23.483%,0),IF(AND(K150&gt;740000,K150&lt;780000),VLOOKUP(740000,源泉DB!$B$254:$K$254,L150+3)+ROUNDDOWN((K150-740000)*20.42%,0),VLOOKUP(K150,源泉DB!$B$8:$K$299,L150+3))))))))),IF(F150="乙",IF(K150&gt;1700000,651900+(K150-1700000) *45.945%,IF(K150=1700000,651900,IF(AND(K150&gt;740000,K150&lt;1700000),259800+(K150-740000)*40.84%,IF(K150=740000,259800,IF(K150&lt;88000,ROUNDDOWN(K150*3.063%,9),VLOOKUP(K150,源泉DB!$B$8:$L$254,11)))))),"")),"")</f>
        <v/>
      </c>
      <c r="U150" s="165"/>
      <c r="V150" s="166"/>
      <c r="W150" s="166"/>
      <c r="X150" s="166"/>
      <c r="Y150" s="166"/>
      <c r="Z150" s="178">
        <f>ROUND(IFERROR(IF(($G150="加入"),VLOOKUP($I150,年金DB!$G$16:$P$65,6,TRUE),0),0)-0.1,0)</f>
        <v>0</v>
      </c>
      <c r="AA150" s="178">
        <f>ROUND(IFERROR(IF(AND($G150="加入",$D150&gt;=40,$D150&lt;=64),VLOOKUP($I150,年金DB!$G$16:$P$65,10,TRUE),0),0)-0.1,0)</f>
        <v>0</v>
      </c>
      <c r="AB150" s="178">
        <f>ROUND(IFERROR(IF(AND($G150="加入",$D150&lt;40),VLOOKUP($J150,年金DB!$G$16:$X$62,14,TRUE),IF(AND($G150="加入",$D150&gt;=40),VLOOKUP($J150,年金DB!$G$16:$X$62,14,TRUE),"0")),0)-0.1,0)</f>
        <v>0</v>
      </c>
      <c r="AC150" s="178">
        <f t="shared" si="20"/>
        <v>0</v>
      </c>
      <c r="AD150" s="21">
        <f t="shared" si="17"/>
        <v>0</v>
      </c>
      <c r="AE150" s="173">
        <f t="shared" si="18"/>
        <v>0</v>
      </c>
      <c r="AF150" s="14" t="str">
        <f t="shared" si="19"/>
        <v/>
      </c>
      <c r="AG150" s="14"/>
      <c r="AH150" s="14"/>
    </row>
    <row r="151" spans="1:34">
      <c r="A151" s="28"/>
      <c r="B151" s="180"/>
      <c r="C151" s="188"/>
      <c r="D151" s="161"/>
      <c r="E151" s="162"/>
      <c r="F151" s="162"/>
      <c r="G151" s="163"/>
      <c r="H151" s="285"/>
      <c r="I151" s="282"/>
      <c r="J151" s="16"/>
      <c r="K151" s="18">
        <f t="shared" si="15"/>
        <v>0</v>
      </c>
      <c r="L151" s="288">
        <v>0</v>
      </c>
      <c r="M151" s="291"/>
      <c r="N151" s="164"/>
      <c r="O151" s="164"/>
      <c r="P151" s="164"/>
      <c r="Q151" s="175">
        <f t="shared" si="21"/>
        <v>0</v>
      </c>
      <c r="R151" s="164"/>
      <c r="S151" s="197">
        <f t="shared" si="16"/>
        <v>0</v>
      </c>
      <c r="T151" s="201" t="str" cm="1">
        <f t="array" ref="T151">IFERROR(IF(F151="甲",IF(K151&gt;3500000,VLOOKUP(3500000,源泉DB!$B$261:$L$261,L151+3)+ROUNDDOWN((K151-3500000)*45.945%,0),IF(AND(K151&gt;2250000,K151&lt;3500000),VLOOKUP(2250000,源泉DB!$B$260:$K$260,L151+3)+ROUNDDOWN((K151-2250000)*40.84%,0),IF(AND(K151&gt;2210000,K151&lt;2250000),VLOOKUP(2210000,源泉DB!$B$259:$K$259,L151+3)+ROUNDDOWN((K151-2210000)*40.84%,0),IF(AND(K151&gt;2170000,K151&lt;2210000),VLOOKUP(2170000,源泉DB!$B$258:$K$258,L151+3)+ROUNDDOWN((K151-2170000)*40.84%,0),IF(AND(K151&gt;1700000,K151&lt;2170000),VLOOKUP(1700000,源泉DB!$B$257:$K$257,L151+3)+ROUNDDOWN((K151-1700000)*40.84%,0),IF(AND(K151&gt;950000,K151&lt;1700000),VLOOKUP(950000,源泉DB!$B$256:$K$256,L151+3)+ROUNDDOWN((K151-950000)*33.693%,0),IF(AND(K151&gt;780000,K151&lt;950000),VLOOKUP(780000,源泉DB!$B$255:$K$255,L151+3)+ROUNDDOWN((K151-780000)*23.483%,0),IF(AND(K151&gt;740000,K151&lt;780000),VLOOKUP(740000,源泉DB!$B$254:$K$254,L151+3)+ROUNDDOWN((K151-740000)*20.42%,0),VLOOKUP(K151,源泉DB!$B$8:$K$299,L151+3))))))))),IF(F151="乙",IF(K151&gt;1700000,651900+(K151-1700000) *45.945%,IF(K151=1700000,651900,IF(AND(K151&gt;740000,K151&lt;1700000),259800+(K151-740000)*40.84%,IF(K151=740000,259800,IF(K151&lt;88000,ROUNDDOWN(K151*3.063%,9),VLOOKUP(K151,源泉DB!$B$8:$L$254,11)))))),"")),"")</f>
        <v/>
      </c>
      <c r="U151" s="165"/>
      <c r="V151" s="166"/>
      <c r="W151" s="166"/>
      <c r="X151" s="166"/>
      <c r="Y151" s="166"/>
      <c r="Z151" s="178">
        <f>ROUND(IFERROR(IF(($G151="加入"),VLOOKUP($I151,年金DB!$G$16:$P$65,6,TRUE),0),0)-0.1,0)</f>
        <v>0</v>
      </c>
      <c r="AA151" s="178">
        <f>ROUND(IFERROR(IF(AND($G151="加入",$D151&gt;=40,$D151&lt;=64),VLOOKUP($I151,年金DB!$G$16:$P$65,10,TRUE),0),0)-0.1,0)</f>
        <v>0</v>
      </c>
      <c r="AB151" s="178">
        <f>ROUND(IFERROR(IF(AND($G151="加入",$D151&lt;40),VLOOKUP($J151,年金DB!$G$16:$X$62,14,TRUE),IF(AND($G151="加入",$D151&gt;=40),VLOOKUP($J151,年金DB!$G$16:$X$62,14,TRUE),"0")),0)-0.1,0)</f>
        <v>0</v>
      </c>
      <c r="AC151" s="178">
        <f t="shared" si="20"/>
        <v>0</v>
      </c>
      <c r="AD151" s="21">
        <f t="shared" si="17"/>
        <v>0</v>
      </c>
      <c r="AE151" s="173">
        <f t="shared" si="18"/>
        <v>0</v>
      </c>
      <c r="AF151" s="14" t="str">
        <f t="shared" si="19"/>
        <v/>
      </c>
      <c r="AG151" s="14"/>
      <c r="AH151" s="14"/>
    </row>
    <row r="152" spans="1:34">
      <c r="A152" s="28"/>
      <c r="B152" s="180"/>
      <c r="C152" s="188"/>
      <c r="D152" s="161"/>
      <c r="E152" s="162"/>
      <c r="F152" s="162"/>
      <c r="G152" s="163"/>
      <c r="H152" s="285"/>
      <c r="I152" s="282"/>
      <c r="J152" s="16"/>
      <c r="K152" s="18">
        <f t="shared" si="15"/>
        <v>0</v>
      </c>
      <c r="L152" s="288">
        <v>0</v>
      </c>
      <c r="M152" s="291"/>
      <c r="N152" s="164"/>
      <c r="O152" s="164"/>
      <c r="P152" s="164"/>
      <c r="Q152" s="175">
        <f t="shared" si="21"/>
        <v>0</v>
      </c>
      <c r="R152" s="164"/>
      <c r="S152" s="197">
        <f t="shared" si="16"/>
        <v>0</v>
      </c>
      <c r="T152" s="201" t="str" cm="1">
        <f t="array" ref="T152">IFERROR(IF(F152="甲",IF(K152&gt;3500000,VLOOKUP(3500000,源泉DB!$B$261:$L$261,L152+3)+ROUNDDOWN((K152-3500000)*45.945%,0),IF(AND(K152&gt;2250000,K152&lt;3500000),VLOOKUP(2250000,源泉DB!$B$260:$K$260,L152+3)+ROUNDDOWN((K152-2250000)*40.84%,0),IF(AND(K152&gt;2210000,K152&lt;2250000),VLOOKUP(2210000,源泉DB!$B$259:$K$259,L152+3)+ROUNDDOWN((K152-2210000)*40.84%,0),IF(AND(K152&gt;2170000,K152&lt;2210000),VLOOKUP(2170000,源泉DB!$B$258:$K$258,L152+3)+ROUNDDOWN((K152-2170000)*40.84%,0),IF(AND(K152&gt;1700000,K152&lt;2170000),VLOOKUP(1700000,源泉DB!$B$257:$K$257,L152+3)+ROUNDDOWN((K152-1700000)*40.84%,0),IF(AND(K152&gt;950000,K152&lt;1700000),VLOOKUP(950000,源泉DB!$B$256:$K$256,L152+3)+ROUNDDOWN((K152-950000)*33.693%,0),IF(AND(K152&gt;780000,K152&lt;950000),VLOOKUP(780000,源泉DB!$B$255:$K$255,L152+3)+ROUNDDOWN((K152-780000)*23.483%,0),IF(AND(K152&gt;740000,K152&lt;780000),VLOOKUP(740000,源泉DB!$B$254:$K$254,L152+3)+ROUNDDOWN((K152-740000)*20.42%,0),VLOOKUP(K152,源泉DB!$B$8:$K$299,L152+3))))))))),IF(F152="乙",IF(K152&gt;1700000,651900+(K152-1700000) *45.945%,IF(K152=1700000,651900,IF(AND(K152&gt;740000,K152&lt;1700000),259800+(K152-740000)*40.84%,IF(K152=740000,259800,IF(K152&lt;88000,ROUNDDOWN(K152*3.063%,9),VLOOKUP(K152,源泉DB!$B$8:$L$254,11)))))),"")),"")</f>
        <v/>
      </c>
      <c r="U152" s="165"/>
      <c r="V152" s="166"/>
      <c r="W152" s="166"/>
      <c r="X152" s="166"/>
      <c r="Y152" s="166"/>
      <c r="Z152" s="178">
        <f>ROUND(IFERROR(IF(($G152="加入"),VLOOKUP($I152,年金DB!$G$16:$P$65,6,TRUE),0),0)-0.1,0)</f>
        <v>0</v>
      </c>
      <c r="AA152" s="178">
        <f>ROUND(IFERROR(IF(AND($G152="加入",$D152&gt;=40,$D152&lt;=64),VLOOKUP($I152,年金DB!$G$16:$P$65,10,TRUE),0),0)-0.1,0)</f>
        <v>0</v>
      </c>
      <c r="AB152" s="178">
        <f>ROUND(IFERROR(IF(AND($G152="加入",$D152&lt;40),VLOOKUP($J152,年金DB!$G$16:$X$62,14,TRUE),IF(AND($G152="加入",$D152&gt;=40),VLOOKUP($J152,年金DB!$G$16:$X$62,14,TRUE),"0")),0)-0.1,0)</f>
        <v>0</v>
      </c>
      <c r="AC152" s="178">
        <f t="shared" si="20"/>
        <v>0</v>
      </c>
      <c r="AD152" s="21">
        <f t="shared" si="17"/>
        <v>0</v>
      </c>
      <c r="AE152" s="173">
        <f t="shared" si="18"/>
        <v>0</v>
      </c>
      <c r="AF152" s="14" t="str">
        <f t="shared" si="19"/>
        <v/>
      </c>
      <c r="AG152" s="14"/>
      <c r="AH152" s="14"/>
    </row>
    <row r="153" spans="1:34">
      <c r="A153" s="28"/>
      <c r="B153" s="180"/>
      <c r="C153" s="188"/>
      <c r="D153" s="161"/>
      <c r="E153" s="162"/>
      <c r="F153" s="162"/>
      <c r="G153" s="163"/>
      <c r="H153" s="285"/>
      <c r="I153" s="282"/>
      <c r="J153" s="16"/>
      <c r="K153" s="18">
        <f t="shared" si="15"/>
        <v>0</v>
      </c>
      <c r="L153" s="288">
        <v>0</v>
      </c>
      <c r="M153" s="291"/>
      <c r="N153" s="164"/>
      <c r="O153" s="164"/>
      <c r="P153" s="164"/>
      <c r="Q153" s="175">
        <f t="shared" si="21"/>
        <v>0</v>
      </c>
      <c r="R153" s="164"/>
      <c r="S153" s="197">
        <f t="shared" si="16"/>
        <v>0</v>
      </c>
      <c r="T153" s="201" t="str" cm="1">
        <f t="array" ref="T153">IFERROR(IF(F153="甲",IF(K153&gt;3500000,VLOOKUP(3500000,源泉DB!$B$261:$L$261,L153+3)+ROUNDDOWN((K153-3500000)*45.945%,0),IF(AND(K153&gt;2250000,K153&lt;3500000),VLOOKUP(2250000,源泉DB!$B$260:$K$260,L153+3)+ROUNDDOWN((K153-2250000)*40.84%,0),IF(AND(K153&gt;2210000,K153&lt;2250000),VLOOKUP(2210000,源泉DB!$B$259:$K$259,L153+3)+ROUNDDOWN((K153-2210000)*40.84%,0),IF(AND(K153&gt;2170000,K153&lt;2210000),VLOOKUP(2170000,源泉DB!$B$258:$K$258,L153+3)+ROUNDDOWN((K153-2170000)*40.84%,0),IF(AND(K153&gt;1700000,K153&lt;2170000),VLOOKUP(1700000,源泉DB!$B$257:$K$257,L153+3)+ROUNDDOWN((K153-1700000)*40.84%,0),IF(AND(K153&gt;950000,K153&lt;1700000),VLOOKUP(950000,源泉DB!$B$256:$K$256,L153+3)+ROUNDDOWN((K153-950000)*33.693%,0),IF(AND(K153&gt;780000,K153&lt;950000),VLOOKUP(780000,源泉DB!$B$255:$K$255,L153+3)+ROUNDDOWN((K153-780000)*23.483%,0),IF(AND(K153&gt;740000,K153&lt;780000),VLOOKUP(740000,源泉DB!$B$254:$K$254,L153+3)+ROUNDDOWN((K153-740000)*20.42%,0),VLOOKUP(K153,源泉DB!$B$8:$K$299,L153+3))))))))),IF(F153="乙",IF(K153&gt;1700000,651900+(K153-1700000) *45.945%,IF(K153=1700000,651900,IF(AND(K153&gt;740000,K153&lt;1700000),259800+(K153-740000)*40.84%,IF(K153=740000,259800,IF(K153&lt;88000,ROUNDDOWN(K153*3.063%,9),VLOOKUP(K153,源泉DB!$B$8:$L$254,11)))))),"")),"")</f>
        <v/>
      </c>
      <c r="U153" s="165"/>
      <c r="V153" s="166"/>
      <c r="W153" s="166"/>
      <c r="X153" s="166"/>
      <c r="Y153" s="166"/>
      <c r="Z153" s="178">
        <f>ROUND(IFERROR(IF(($G153="加入"),VLOOKUP($I153,年金DB!$G$16:$P$65,6,TRUE),0),0)-0.1,0)</f>
        <v>0</v>
      </c>
      <c r="AA153" s="178">
        <f>ROUND(IFERROR(IF(AND($G153="加入",$D153&gt;=40,$D153&lt;=64),VLOOKUP($I153,年金DB!$G$16:$P$65,10,TRUE),0),0)-0.1,0)</f>
        <v>0</v>
      </c>
      <c r="AB153" s="178">
        <f>ROUND(IFERROR(IF(AND($G153="加入",$D153&lt;40),VLOOKUP($J153,年金DB!$G$16:$X$62,14,TRUE),IF(AND($G153="加入",$D153&gt;=40),VLOOKUP($J153,年金DB!$G$16:$X$62,14,TRUE),"0")),0)-0.1,0)</f>
        <v>0</v>
      </c>
      <c r="AC153" s="178">
        <f t="shared" si="20"/>
        <v>0</v>
      </c>
      <c r="AD153" s="21">
        <f t="shared" si="17"/>
        <v>0</v>
      </c>
      <c r="AE153" s="173">
        <f t="shared" si="18"/>
        <v>0</v>
      </c>
      <c r="AF153" s="14" t="str">
        <f t="shared" si="19"/>
        <v/>
      </c>
      <c r="AG153" s="14"/>
      <c r="AH153" s="14"/>
    </row>
    <row r="154" spans="1:34">
      <c r="A154" s="28"/>
      <c r="B154" s="180"/>
      <c r="C154" s="188"/>
      <c r="D154" s="161"/>
      <c r="E154" s="162"/>
      <c r="F154" s="162"/>
      <c r="G154" s="163"/>
      <c r="H154" s="285"/>
      <c r="I154" s="282"/>
      <c r="J154" s="16"/>
      <c r="K154" s="18">
        <f t="shared" si="15"/>
        <v>0</v>
      </c>
      <c r="L154" s="288">
        <v>0</v>
      </c>
      <c r="M154" s="291"/>
      <c r="N154" s="164"/>
      <c r="O154" s="164"/>
      <c r="P154" s="164"/>
      <c r="Q154" s="175">
        <f t="shared" si="21"/>
        <v>0</v>
      </c>
      <c r="R154" s="164"/>
      <c r="S154" s="197">
        <f t="shared" si="16"/>
        <v>0</v>
      </c>
      <c r="T154" s="201" t="str" cm="1">
        <f t="array" ref="T154">IFERROR(IF(F154="甲",IF(K154&gt;3500000,VLOOKUP(3500000,源泉DB!$B$261:$L$261,L154+3)+ROUNDDOWN((K154-3500000)*45.945%,0),IF(AND(K154&gt;2250000,K154&lt;3500000),VLOOKUP(2250000,源泉DB!$B$260:$K$260,L154+3)+ROUNDDOWN((K154-2250000)*40.84%,0),IF(AND(K154&gt;2210000,K154&lt;2250000),VLOOKUP(2210000,源泉DB!$B$259:$K$259,L154+3)+ROUNDDOWN((K154-2210000)*40.84%,0),IF(AND(K154&gt;2170000,K154&lt;2210000),VLOOKUP(2170000,源泉DB!$B$258:$K$258,L154+3)+ROUNDDOWN((K154-2170000)*40.84%,0),IF(AND(K154&gt;1700000,K154&lt;2170000),VLOOKUP(1700000,源泉DB!$B$257:$K$257,L154+3)+ROUNDDOWN((K154-1700000)*40.84%,0),IF(AND(K154&gt;950000,K154&lt;1700000),VLOOKUP(950000,源泉DB!$B$256:$K$256,L154+3)+ROUNDDOWN((K154-950000)*33.693%,0),IF(AND(K154&gt;780000,K154&lt;950000),VLOOKUP(780000,源泉DB!$B$255:$K$255,L154+3)+ROUNDDOWN((K154-780000)*23.483%,0),IF(AND(K154&gt;740000,K154&lt;780000),VLOOKUP(740000,源泉DB!$B$254:$K$254,L154+3)+ROUNDDOWN((K154-740000)*20.42%,0),VLOOKUP(K154,源泉DB!$B$8:$K$299,L154+3))))))))),IF(F154="乙",IF(K154&gt;1700000,651900+(K154-1700000) *45.945%,IF(K154=1700000,651900,IF(AND(K154&gt;740000,K154&lt;1700000),259800+(K154-740000)*40.84%,IF(K154=740000,259800,IF(K154&lt;88000,ROUNDDOWN(K154*3.063%,9),VLOOKUP(K154,源泉DB!$B$8:$L$254,11)))))),"")),"")</f>
        <v/>
      </c>
      <c r="U154" s="165"/>
      <c r="V154" s="166"/>
      <c r="W154" s="166"/>
      <c r="X154" s="166"/>
      <c r="Y154" s="166"/>
      <c r="Z154" s="178">
        <f>ROUND(IFERROR(IF(($G154="加入"),VLOOKUP($I154,年金DB!$G$16:$P$65,6,TRUE),0),0)-0.1,0)</f>
        <v>0</v>
      </c>
      <c r="AA154" s="178">
        <f>ROUND(IFERROR(IF(AND($G154="加入",$D154&gt;=40,$D154&lt;=64),VLOOKUP($I154,年金DB!$G$16:$P$65,10,TRUE),0),0)-0.1,0)</f>
        <v>0</v>
      </c>
      <c r="AB154" s="178">
        <f>ROUND(IFERROR(IF(AND($G154="加入",$D154&lt;40),VLOOKUP($J154,年金DB!$G$16:$X$62,14,TRUE),IF(AND($G154="加入",$D154&gt;=40),VLOOKUP($J154,年金DB!$G$16:$X$62,14,TRUE),"0")),0)-0.1,0)</f>
        <v>0</v>
      </c>
      <c r="AC154" s="178">
        <f t="shared" si="20"/>
        <v>0</v>
      </c>
      <c r="AD154" s="21">
        <f t="shared" si="17"/>
        <v>0</v>
      </c>
      <c r="AE154" s="173">
        <f t="shared" si="18"/>
        <v>0</v>
      </c>
      <c r="AF154" s="14" t="str">
        <f t="shared" si="19"/>
        <v/>
      </c>
      <c r="AG154" s="14"/>
      <c r="AH154" s="14"/>
    </row>
    <row r="155" spans="1:34">
      <c r="A155" s="28"/>
      <c r="B155" s="180"/>
      <c r="C155" s="188"/>
      <c r="D155" s="161"/>
      <c r="E155" s="162"/>
      <c r="F155" s="162"/>
      <c r="G155" s="163"/>
      <c r="H155" s="285"/>
      <c r="I155" s="282"/>
      <c r="J155" s="16"/>
      <c r="K155" s="18">
        <f t="shared" si="15"/>
        <v>0</v>
      </c>
      <c r="L155" s="288">
        <v>0</v>
      </c>
      <c r="M155" s="291"/>
      <c r="N155" s="164"/>
      <c r="O155" s="164"/>
      <c r="P155" s="164"/>
      <c r="Q155" s="175">
        <f t="shared" si="21"/>
        <v>0</v>
      </c>
      <c r="R155" s="164"/>
      <c r="S155" s="197">
        <f t="shared" si="16"/>
        <v>0</v>
      </c>
      <c r="T155" s="201" t="str" cm="1">
        <f t="array" ref="T155">IFERROR(IF(F155="甲",IF(K155&gt;3500000,VLOOKUP(3500000,源泉DB!$B$261:$L$261,L155+3)+ROUNDDOWN((K155-3500000)*45.945%,0),IF(AND(K155&gt;2250000,K155&lt;3500000),VLOOKUP(2250000,源泉DB!$B$260:$K$260,L155+3)+ROUNDDOWN((K155-2250000)*40.84%,0),IF(AND(K155&gt;2210000,K155&lt;2250000),VLOOKUP(2210000,源泉DB!$B$259:$K$259,L155+3)+ROUNDDOWN((K155-2210000)*40.84%,0),IF(AND(K155&gt;2170000,K155&lt;2210000),VLOOKUP(2170000,源泉DB!$B$258:$K$258,L155+3)+ROUNDDOWN((K155-2170000)*40.84%,0),IF(AND(K155&gt;1700000,K155&lt;2170000),VLOOKUP(1700000,源泉DB!$B$257:$K$257,L155+3)+ROUNDDOWN((K155-1700000)*40.84%,0),IF(AND(K155&gt;950000,K155&lt;1700000),VLOOKUP(950000,源泉DB!$B$256:$K$256,L155+3)+ROUNDDOWN((K155-950000)*33.693%,0),IF(AND(K155&gt;780000,K155&lt;950000),VLOOKUP(780000,源泉DB!$B$255:$K$255,L155+3)+ROUNDDOWN((K155-780000)*23.483%,0),IF(AND(K155&gt;740000,K155&lt;780000),VLOOKUP(740000,源泉DB!$B$254:$K$254,L155+3)+ROUNDDOWN((K155-740000)*20.42%,0),VLOOKUP(K155,源泉DB!$B$8:$K$299,L155+3))))))))),IF(F155="乙",IF(K155&gt;1700000,651900+(K155-1700000) *45.945%,IF(K155=1700000,651900,IF(AND(K155&gt;740000,K155&lt;1700000),259800+(K155-740000)*40.84%,IF(K155=740000,259800,IF(K155&lt;88000,ROUNDDOWN(K155*3.063%,9),VLOOKUP(K155,源泉DB!$B$8:$L$254,11)))))),"")),"")</f>
        <v/>
      </c>
      <c r="U155" s="165"/>
      <c r="V155" s="166"/>
      <c r="W155" s="166"/>
      <c r="X155" s="166"/>
      <c r="Y155" s="166"/>
      <c r="Z155" s="178">
        <f>ROUND(IFERROR(IF(($G155="加入"),VLOOKUP($I155,年金DB!$G$16:$P$65,6,TRUE),0),0)-0.1,0)</f>
        <v>0</v>
      </c>
      <c r="AA155" s="178">
        <f>ROUND(IFERROR(IF(AND($G155="加入",$D155&gt;=40,$D155&lt;=64),VLOOKUP($I155,年金DB!$G$16:$P$65,10,TRUE),0),0)-0.1,0)</f>
        <v>0</v>
      </c>
      <c r="AB155" s="178">
        <f>ROUND(IFERROR(IF(AND($G155="加入",$D155&lt;40),VLOOKUP($J155,年金DB!$G$16:$X$62,14,TRUE),IF(AND($G155="加入",$D155&gt;=40),VLOOKUP($J155,年金DB!$G$16:$X$62,14,TRUE),"0")),0)-0.1,0)</f>
        <v>0</v>
      </c>
      <c r="AC155" s="178">
        <f t="shared" si="20"/>
        <v>0</v>
      </c>
      <c r="AD155" s="21">
        <f t="shared" si="17"/>
        <v>0</v>
      </c>
      <c r="AE155" s="173">
        <f t="shared" si="18"/>
        <v>0</v>
      </c>
      <c r="AF155" s="14" t="str">
        <f t="shared" si="19"/>
        <v/>
      </c>
      <c r="AG155" s="14"/>
      <c r="AH155" s="14"/>
    </row>
    <row r="156" spans="1:34">
      <c r="A156" s="28"/>
      <c r="B156" s="180"/>
      <c r="C156" s="188"/>
      <c r="D156" s="161"/>
      <c r="E156" s="162"/>
      <c r="F156" s="162"/>
      <c r="G156" s="163"/>
      <c r="H156" s="285"/>
      <c r="I156" s="282"/>
      <c r="J156" s="16"/>
      <c r="K156" s="18">
        <f t="shared" si="15"/>
        <v>0</v>
      </c>
      <c r="L156" s="288">
        <v>0</v>
      </c>
      <c r="M156" s="291"/>
      <c r="N156" s="164"/>
      <c r="O156" s="164"/>
      <c r="P156" s="164"/>
      <c r="Q156" s="175">
        <f t="shared" si="21"/>
        <v>0</v>
      </c>
      <c r="R156" s="164"/>
      <c r="S156" s="197">
        <f t="shared" si="16"/>
        <v>0</v>
      </c>
      <c r="T156" s="201" t="str" cm="1">
        <f t="array" ref="T156">IFERROR(IF(F156="甲",IF(K156&gt;3500000,VLOOKUP(3500000,源泉DB!$B$261:$L$261,L156+3)+ROUNDDOWN((K156-3500000)*45.945%,0),IF(AND(K156&gt;2250000,K156&lt;3500000),VLOOKUP(2250000,源泉DB!$B$260:$K$260,L156+3)+ROUNDDOWN((K156-2250000)*40.84%,0),IF(AND(K156&gt;2210000,K156&lt;2250000),VLOOKUP(2210000,源泉DB!$B$259:$K$259,L156+3)+ROUNDDOWN((K156-2210000)*40.84%,0),IF(AND(K156&gt;2170000,K156&lt;2210000),VLOOKUP(2170000,源泉DB!$B$258:$K$258,L156+3)+ROUNDDOWN((K156-2170000)*40.84%,0),IF(AND(K156&gt;1700000,K156&lt;2170000),VLOOKUP(1700000,源泉DB!$B$257:$K$257,L156+3)+ROUNDDOWN((K156-1700000)*40.84%,0),IF(AND(K156&gt;950000,K156&lt;1700000),VLOOKUP(950000,源泉DB!$B$256:$K$256,L156+3)+ROUNDDOWN((K156-950000)*33.693%,0),IF(AND(K156&gt;780000,K156&lt;950000),VLOOKUP(780000,源泉DB!$B$255:$K$255,L156+3)+ROUNDDOWN((K156-780000)*23.483%,0),IF(AND(K156&gt;740000,K156&lt;780000),VLOOKUP(740000,源泉DB!$B$254:$K$254,L156+3)+ROUNDDOWN((K156-740000)*20.42%,0),VLOOKUP(K156,源泉DB!$B$8:$K$299,L156+3))))))))),IF(F156="乙",IF(K156&gt;1700000,651900+(K156-1700000) *45.945%,IF(K156=1700000,651900,IF(AND(K156&gt;740000,K156&lt;1700000),259800+(K156-740000)*40.84%,IF(K156=740000,259800,IF(K156&lt;88000,ROUNDDOWN(K156*3.063%,9),VLOOKUP(K156,源泉DB!$B$8:$L$254,11)))))),"")),"")</f>
        <v/>
      </c>
      <c r="U156" s="165"/>
      <c r="V156" s="166"/>
      <c r="W156" s="166"/>
      <c r="X156" s="166"/>
      <c r="Y156" s="166"/>
      <c r="Z156" s="178">
        <f>ROUND(IFERROR(IF(($G156="加入"),VLOOKUP($I156,年金DB!$G$16:$P$65,6,TRUE),0),0)-0.1,0)</f>
        <v>0</v>
      </c>
      <c r="AA156" s="178">
        <f>ROUND(IFERROR(IF(AND($G156="加入",$D156&gt;=40,$D156&lt;=64),VLOOKUP($I156,年金DB!$G$16:$P$65,10,TRUE),0),0)-0.1,0)</f>
        <v>0</v>
      </c>
      <c r="AB156" s="178">
        <f>ROUND(IFERROR(IF(AND($G156="加入",$D156&lt;40),VLOOKUP($J156,年金DB!$G$16:$X$62,14,TRUE),IF(AND($G156="加入",$D156&gt;=40),VLOOKUP($J156,年金DB!$G$16:$X$62,14,TRUE),"0")),0)-0.1,0)</f>
        <v>0</v>
      </c>
      <c r="AC156" s="178">
        <f t="shared" si="20"/>
        <v>0</v>
      </c>
      <c r="AD156" s="21">
        <f t="shared" si="17"/>
        <v>0</v>
      </c>
      <c r="AE156" s="173">
        <f t="shared" si="18"/>
        <v>0</v>
      </c>
      <c r="AF156" s="14" t="str">
        <f t="shared" si="19"/>
        <v/>
      </c>
      <c r="AG156" s="14"/>
      <c r="AH156" s="14"/>
    </row>
    <row r="157" spans="1:34">
      <c r="A157" s="28"/>
      <c r="B157" s="180"/>
      <c r="C157" s="188"/>
      <c r="D157" s="161"/>
      <c r="E157" s="162"/>
      <c r="F157" s="162"/>
      <c r="G157" s="163"/>
      <c r="H157" s="285"/>
      <c r="I157" s="282"/>
      <c r="J157" s="16"/>
      <c r="K157" s="18">
        <f t="shared" si="15"/>
        <v>0</v>
      </c>
      <c r="L157" s="288">
        <v>0</v>
      </c>
      <c r="M157" s="291"/>
      <c r="N157" s="164"/>
      <c r="O157" s="164"/>
      <c r="P157" s="164"/>
      <c r="Q157" s="175">
        <f t="shared" si="21"/>
        <v>0</v>
      </c>
      <c r="R157" s="164"/>
      <c r="S157" s="197">
        <f t="shared" si="16"/>
        <v>0</v>
      </c>
      <c r="T157" s="201" t="str" cm="1">
        <f t="array" ref="T157">IFERROR(IF(F157="甲",IF(K157&gt;3500000,VLOOKUP(3500000,源泉DB!$B$261:$L$261,L157+3)+ROUNDDOWN((K157-3500000)*45.945%,0),IF(AND(K157&gt;2250000,K157&lt;3500000),VLOOKUP(2250000,源泉DB!$B$260:$K$260,L157+3)+ROUNDDOWN((K157-2250000)*40.84%,0),IF(AND(K157&gt;2210000,K157&lt;2250000),VLOOKUP(2210000,源泉DB!$B$259:$K$259,L157+3)+ROUNDDOWN((K157-2210000)*40.84%,0),IF(AND(K157&gt;2170000,K157&lt;2210000),VLOOKUP(2170000,源泉DB!$B$258:$K$258,L157+3)+ROUNDDOWN((K157-2170000)*40.84%,0),IF(AND(K157&gt;1700000,K157&lt;2170000),VLOOKUP(1700000,源泉DB!$B$257:$K$257,L157+3)+ROUNDDOWN((K157-1700000)*40.84%,0),IF(AND(K157&gt;950000,K157&lt;1700000),VLOOKUP(950000,源泉DB!$B$256:$K$256,L157+3)+ROUNDDOWN((K157-950000)*33.693%,0),IF(AND(K157&gt;780000,K157&lt;950000),VLOOKUP(780000,源泉DB!$B$255:$K$255,L157+3)+ROUNDDOWN((K157-780000)*23.483%,0),IF(AND(K157&gt;740000,K157&lt;780000),VLOOKUP(740000,源泉DB!$B$254:$K$254,L157+3)+ROUNDDOWN((K157-740000)*20.42%,0),VLOOKUP(K157,源泉DB!$B$8:$K$299,L157+3))))))))),IF(F157="乙",IF(K157&gt;1700000,651900+(K157-1700000) *45.945%,IF(K157=1700000,651900,IF(AND(K157&gt;740000,K157&lt;1700000),259800+(K157-740000)*40.84%,IF(K157=740000,259800,IF(K157&lt;88000,ROUNDDOWN(K157*3.063%,9),VLOOKUP(K157,源泉DB!$B$8:$L$254,11)))))),"")),"")</f>
        <v/>
      </c>
      <c r="U157" s="165"/>
      <c r="V157" s="166"/>
      <c r="W157" s="166"/>
      <c r="X157" s="166"/>
      <c r="Y157" s="166"/>
      <c r="Z157" s="178">
        <f>ROUND(IFERROR(IF(($G157="加入"),VLOOKUP($I157,年金DB!$G$16:$P$65,6,TRUE),0),0)-0.1,0)</f>
        <v>0</v>
      </c>
      <c r="AA157" s="178">
        <f>ROUND(IFERROR(IF(AND($G157="加入",$D157&gt;=40,$D157&lt;=64),VLOOKUP($I157,年金DB!$G$16:$P$65,10,TRUE),0),0)-0.1,0)</f>
        <v>0</v>
      </c>
      <c r="AB157" s="178">
        <f>ROUND(IFERROR(IF(AND($G157="加入",$D157&lt;40),VLOOKUP($J157,年金DB!$G$16:$X$62,14,TRUE),IF(AND($G157="加入",$D157&gt;=40),VLOOKUP($J157,年金DB!$G$16:$X$62,14,TRUE),"0")),0)-0.1,0)</f>
        <v>0</v>
      </c>
      <c r="AC157" s="178">
        <f t="shared" si="20"/>
        <v>0</v>
      </c>
      <c r="AD157" s="21">
        <f t="shared" si="17"/>
        <v>0</v>
      </c>
      <c r="AE157" s="173">
        <f t="shared" si="18"/>
        <v>0</v>
      </c>
      <c r="AF157" s="14" t="str">
        <f t="shared" si="19"/>
        <v/>
      </c>
      <c r="AG157" s="14"/>
      <c r="AH157" s="14"/>
    </row>
    <row r="158" spans="1:34">
      <c r="A158" s="28"/>
      <c r="B158" s="180"/>
      <c r="C158" s="188"/>
      <c r="D158" s="161"/>
      <c r="E158" s="162"/>
      <c r="F158" s="162"/>
      <c r="G158" s="163"/>
      <c r="H158" s="285"/>
      <c r="I158" s="282"/>
      <c r="J158" s="16"/>
      <c r="K158" s="18">
        <f t="shared" si="15"/>
        <v>0</v>
      </c>
      <c r="L158" s="288">
        <v>0</v>
      </c>
      <c r="M158" s="291"/>
      <c r="N158" s="164"/>
      <c r="O158" s="164"/>
      <c r="P158" s="164"/>
      <c r="Q158" s="175">
        <f t="shared" si="21"/>
        <v>0</v>
      </c>
      <c r="R158" s="164"/>
      <c r="S158" s="197">
        <f t="shared" si="16"/>
        <v>0</v>
      </c>
      <c r="T158" s="201" t="str" cm="1">
        <f t="array" ref="T158">IFERROR(IF(F158="甲",IF(K158&gt;3500000,VLOOKUP(3500000,源泉DB!$B$261:$L$261,L158+3)+ROUNDDOWN((K158-3500000)*45.945%,0),IF(AND(K158&gt;2250000,K158&lt;3500000),VLOOKUP(2250000,源泉DB!$B$260:$K$260,L158+3)+ROUNDDOWN((K158-2250000)*40.84%,0),IF(AND(K158&gt;2210000,K158&lt;2250000),VLOOKUP(2210000,源泉DB!$B$259:$K$259,L158+3)+ROUNDDOWN((K158-2210000)*40.84%,0),IF(AND(K158&gt;2170000,K158&lt;2210000),VLOOKUP(2170000,源泉DB!$B$258:$K$258,L158+3)+ROUNDDOWN((K158-2170000)*40.84%,0),IF(AND(K158&gt;1700000,K158&lt;2170000),VLOOKUP(1700000,源泉DB!$B$257:$K$257,L158+3)+ROUNDDOWN((K158-1700000)*40.84%,0),IF(AND(K158&gt;950000,K158&lt;1700000),VLOOKUP(950000,源泉DB!$B$256:$K$256,L158+3)+ROUNDDOWN((K158-950000)*33.693%,0),IF(AND(K158&gt;780000,K158&lt;950000),VLOOKUP(780000,源泉DB!$B$255:$K$255,L158+3)+ROUNDDOWN((K158-780000)*23.483%,0),IF(AND(K158&gt;740000,K158&lt;780000),VLOOKUP(740000,源泉DB!$B$254:$K$254,L158+3)+ROUNDDOWN((K158-740000)*20.42%,0),VLOOKUP(K158,源泉DB!$B$8:$K$299,L158+3))))))))),IF(F158="乙",IF(K158&gt;1700000,651900+(K158-1700000) *45.945%,IF(K158=1700000,651900,IF(AND(K158&gt;740000,K158&lt;1700000),259800+(K158-740000)*40.84%,IF(K158=740000,259800,IF(K158&lt;88000,ROUNDDOWN(K158*3.063%,9),VLOOKUP(K158,源泉DB!$B$8:$L$254,11)))))),"")),"")</f>
        <v/>
      </c>
      <c r="U158" s="165"/>
      <c r="V158" s="166"/>
      <c r="W158" s="166"/>
      <c r="X158" s="166"/>
      <c r="Y158" s="166"/>
      <c r="Z158" s="178">
        <f>ROUND(IFERROR(IF(($G158="加入"),VLOOKUP($I158,年金DB!$G$16:$P$65,6,TRUE),0),0)-0.1,0)</f>
        <v>0</v>
      </c>
      <c r="AA158" s="178">
        <f>ROUND(IFERROR(IF(AND($G158="加入",$D158&gt;=40,$D158&lt;=64),VLOOKUP($I158,年金DB!$G$16:$P$65,10,TRUE),0),0)-0.1,0)</f>
        <v>0</v>
      </c>
      <c r="AB158" s="178">
        <f>ROUND(IFERROR(IF(AND($G158="加入",$D158&lt;40),VLOOKUP($J158,年金DB!$G$16:$X$62,14,TRUE),IF(AND($G158="加入",$D158&gt;=40),VLOOKUP($J158,年金DB!$G$16:$X$62,14,TRUE),"0")),0)-0.1,0)</f>
        <v>0</v>
      </c>
      <c r="AC158" s="178">
        <f t="shared" si="20"/>
        <v>0</v>
      </c>
      <c r="AD158" s="21">
        <f t="shared" si="17"/>
        <v>0</v>
      </c>
      <c r="AE158" s="173">
        <f t="shared" si="18"/>
        <v>0</v>
      </c>
      <c r="AF158" s="14" t="str">
        <f t="shared" si="19"/>
        <v/>
      </c>
      <c r="AG158" s="14"/>
      <c r="AH158" s="14"/>
    </row>
    <row r="159" spans="1:34">
      <c r="A159" s="28"/>
      <c r="B159" s="180"/>
      <c r="C159" s="188"/>
      <c r="D159" s="161"/>
      <c r="E159" s="162"/>
      <c r="F159" s="162"/>
      <c r="G159" s="163"/>
      <c r="H159" s="285"/>
      <c r="I159" s="282"/>
      <c r="J159" s="16"/>
      <c r="K159" s="18">
        <f t="shared" si="15"/>
        <v>0</v>
      </c>
      <c r="L159" s="288">
        <v>0</v>
      </c>
      <c r="M159" s="291"/>
      <c r="N159" s="164"/>
      <c r="O159" s="164"/>
      <c r="P159" s="164"/>
      <c r="Q159" s="175">
        <f t="shared" si="21"/>
        <v>0</v>
      </c>
      <c r="R159" s="164"/>
      <c r="S159" s="197">
        <f t="shared" si="16"/>
        <v>0</v>
      </c>
      <c r="T159" s="201" t="str" cm="1">
        <f t="array" ref="T159">IFERROR(IF(F159="甲",IF(K159&gt;3500000,VLOOKUP(3500000,源泉DB!$B$261:$L$261,L159+3)+ROUNDDOWN((K159-3500000)*45.945%,0),IF(AND(K159&gt;2250000,K159&lt;3500000),VLOOKUP(2250000,源泉DB!$B$260:$K$260,L159+3)+ROUNDDOWN((K159-2250000)*40.84%,0),IF(AND(K159&gt;2210000,K159&lt;2250000),VLOOKUP(2210000,源泉DB!$B$259:$K$259,L159+3)+ROUNDDOWN((K159-2210000)*40.84%,0),IF(AND(K159&gt;2170000,K159&lt;2210000),VLOOKUP(2170000,源泉DB!$B$258:$K$258,L159+3)+ROUNDDOWN((K159-2170000)*40.84%,0),IF(AND(K159&gt;1700000,K159&lt;2170000),VLOOKUP(1700000,源泉DB!$B$257:$K$257,L159+3)+ROUNDDOWN((K159-1700000)*40.84%,0),IF(AND(K159&gt;950000,K159&lt;1700000),VLOOKUP(950000,源泉DB!$B$256:$K$256,L159+3)+ROUNDDOWN((K159-950000)*33.693%,0),IF(AND(K159&gt;780000,K159&lt;950000),VLOOKUP(780000,源泉DB!$B$255:$K$255,L159+3)+ROUNDDOWN((K159-780000)*23.483%,0),IF(AND(K159&gt;740000,K159&lt;780000),VLOOKUP(740000,源泉DB!$B$254:$K$254,L159+3)+ROUNDDOWN((K159-740000)*20.42%,0),VLOOKUP(K159,源泉DB!$B$8:$K$299,L159+3))))))))),IF(F159="乙",IF(K159&gt;1700000,651900+(K159-1700000) *45.945%,IF(K159=1700000,651900,IF(AND(K159&gt;740000,K159&lt;1700000),259800+(K159-740000)*40.84%,IF(K159=740000,259800,IF(K159&lt;88000,ROUNDDOWN(K159*3.063%,9),VLOOKUP(K159,源泉DB!$B$8:$L$254,11)))))),"")),"")</f>
        <v/>
      </c>
      <c r="U159" s="165"/>
      <c r="V159" s="166"/>
      <c r="W159" s="166"/>
      <c r="X159" s="166"/>
      <c r="Y159" s="166"/>
      <c r="Z159" s="178">
        <f>ROUND(IFERROR(IF(($G159="加入"),VLOOKUP($I159,年金DB!$G$16:$P$65,6,TRUE),0),0)-0.1,0)</f>
        <v>0</v>
      </c>
      <c r="AA159" s="178">
        <f>ROUND(IFERROR(IF(AND($G159="加入",$D159&gt;=40,$D159&lt;=64),VLOOKUP($I159,年金DB!$G$16:$P$65,10,TRUE),0),0)-0.1,0)</f>
        <v>0</v>
      </c>
      <c r="AB159" s="178">
        <f>ROUND(IFERROR(IF(AND($G159="加入",$D159&lt;40),VLOOKUP($J159,年金DB!$G$16:$X$62,14,TRUE),IF(AND($G159="加入",$D159&gt;=40),VLOOKUP($J159,年金DB!$G$16:$X$62,14,TRUE),"0")),0)-0.1,0)</f>
        <v>0</v>
      </c>
      <c r="AC159" s="178">
        <f t="shared" si="20"/>
        <v>0</v>
      </c>
      <c r="AD159" s="21">
        <f t="shared" si="17"/>
        <v>0</v>
      </c>
      <c r="AE159" s="173">
        <f t="shared" si="18"/>
        <v>0</v>
      </c>
      <c r="AF159" s="14" t="str">
        <f t="shared" si="19"/>
        <v/>
      </c>
      <c r="AG159" s="14"/>
      <c r="AH159" s="14"/>
    </row>
    <row r="160" spans="1:34">
      <c r="A160" s="28"/>
      <c r="B160" s="180"/>
      <c r="C160" s="188"/>
      <c r="D160" s="161"/>
      <c r="E160" s="162"/>
      <c r="F160" s="162"/>
      <c r="G160" s="163"/>
      <c r="H160" s="285"/>
      <c r="I160" s="282"/>
      <c r="J160" s="16"/>
      <c r="K160" s="18">
        <f t="shared" si="15"/>
        <v>0</v>
      </c>
      <c r="L160" s="288">
        <v>0</v>
      </c>
      <c r="M160" s="291"/>
      <c r="N160" s="164"/>
      <c r="O160" s="164"/>
      <c r="P160" s="164"/>
      <c r="Q160" s="175">
        <f t="shared" si="21"/>
        <v>0</v>
      </c>
      <c r="R160" s="164"/>
      <c r="S160" s="197">
        <f t="shared" si="16"/>
        <v>0</v>
      </c>
      <c r="T160" s="201" t="str" cm="1">
        <f t="array" ref="T160">IFERROR(IF(F160="甲",IF(K160&gt;3500000,VLOOKUP(3500000,源泉DB!$B$261:$L$261,L160+3)+ROUNDDOWN((K160-3500000)*45.945%,0),IF(AND(K160&gt;2250000,K160&lt;3500000),VLOOKUP(2250000,源泉DB!$B$260:$K$260,L160+3)+ROUNDDOWN((K160-2250000)*40.84%,0),IF(AND(K160&gt;2210000,K160&lt;2250000),VLOOKUP(2210000,源泉DB!$B$259:$K$259,L160+3)+ROUNDDOWN((K160-2210000)*40.84%,0),IF(AND(K160&gt;2170000,K160&lt;2210000),VLOOKUP(2170000,源泉DB!$B$258:$K$258,L160+3)+ROUNDDOWN((K160-2170000)*40.84%,0),IF(AND(K160&gt;1700000,K160&lt;2170000),VLOOKUP(1700000,源泉DB!$B$257:$K$257,L160+3)+ROUNDDOWN((K160-1700000)*40.84%,0),IF(AND(K160&gt;950000,K160&lt;1700000),VLOOKUP(950000,源泉DB!$B$256:$K$256,L160+3)+ROUNDDOWN((K160-950000)*33.693%,0),IF(AND(K160&gt;780000,K160&lt;950000),VLOOKUP(780000,源泉DB!$B$255:$K$255,L160+3)+ROUNDDOWN((K160-780000)*23.483%,0),IF(AND(K160&gt;740000,K160&lt;780000),VLOOKUP(740000,源泉DB!$B$254:$K$254,L160+3)+ROUNDDOWN((K160-740000)*20.42%,0),VLOOKUP(K160,源泉DB!$B$8:$K$299,L160+3))))))))),IF(F160="乙",IF(K160&gt;1700000,651900+(K160-1700000) *45.945%,IF(K160=1700000,651900,IF(AND(K160&gt;740000,K160&lt;1700000),259800+(K160-740000)*40.84%,IF(K160=740000,259800,IF(K160&lt;88000,ROUNDDOWN(K160*3.063%,9),VLOOKUP(K160,源泉DB!$B$8:$L$254,11)))))),"")),"")</f>
        <v/>
      </c>
      <c r="U160" s="165"/>
      <c r="V160" s="166"/>
      <c r="W160" s="166"/>
      <c r="X160" s="166"/>
      <c r="Y160" s="166"/>
      <c r="Z160" s="178">
        <f>ROUND(IFERROR(IF(($G160="加入"),VLOOKUP($I160,年金DB!$G$16:$P$65,6,TRUE),0),0)-0.1,0)</f>
        <v>0</v>
      </c>
      <c r="AA160" s="178">
        <f>ROUND(IFERROR(IF(AND($G160="加入",$D160&gt;=40,$D160&lt;=64),VLOOKUP($I160,年金DB!$G$16:$P$65,10,TRUE),0),0)-0.1,0)</f>
        <v>0</v>
      </c>
      <c r="AB160" s="178">
        <f>ROUND(IFERROR(IF(AND($G160="加入",$D160&lt;40),VLOOKUP($J160,年金DB!$G$16:$X$62,14,TRUE),IF(AND($G160="加入",$D160&gt;=40),VLOOKUP($J160,年金DB!$G$16:$X$62,14,TRUE),"0")),0)-0.1,0)</f>
        <v>0</v>
      </c>
      <c r="AC160" s="178">
        <f t="shared" si="20"/>
        <v>0</v>
      </c>
      <c r="AD160" s="21">
        <f t="shared" si="17"/>
        <v>0</v>
      </c>
      <c r="AE160" s="173">
        <f t="shared" si="18"/>
        <v>0</v>
      </c>
      <c r="AF160" s="14" t="str">
        <f t="shared" si="19"/>
        <v/>
      </c>
      <c r="AG160" s="14"/>
      <c r="AH160" s="14"/>
    </row>
    <row r="161" spans="1:34">
      <c r="A161" s="28"/>
      <c r="B161" s="180"/>
      <c r="C161" s="188"/>
      <c r="D161" s="161"/>
      <c r="E161" s="162"/>
      <c r="F161" s="162"/>
      <c r="G161" s="163"/>
      <c r="H161" s="285"/>
      <c r="I161" s="282"/>
      <c r="J161" s="16"/>
      <c r="K161" s="18">
        <f t="shared" si="15"/>
        <v>0</v>
      </c>
      <c r="L161" s="288">
        <v>0</v>
      </c>
      <c r="M161" s="291"/>
      <c r="N161" s="164"/>
      <c r="O161" s="164"/>
      <c r="P161" s="164"/>
      <c r="Q161" s="175">
        <f t="shared" si="21"/>
        <v>0</v>
      </c>
      <c r="R161" s="164"/>
      <c r="S161" s="197">
        <f t="shared" si="16"/>
        <v>0</v>
      </c>
      <c r="T161" s="201" t="str" cm="1">
        <f t="array" ref="T161">IFERROR(IF(F161="甲",IF(K161&gt;3500000,VLOOKUP(3500000,源泉DB!$B$261:$L$261,L161+3)+ROUNDDOWN((K161-3500000)*45.945%,0),IF(AND(K161&gt;2250000,K161&lt;3500000),VLOOKUP(2250000,源泉DB!$B$260:$K$260,L161+3)+ROUNDDOWN((K161-2250000)*40.84%,0),IF(AND(K161&gt;2210000,K161&lt;2250000),VLOOKUP(2210000,源泉DB!$B$259:$K$259,L161+3)+ROUNDDOWN((K161-2210000)*40.84%,0),IF(AND(K161&gt;2170000,K161&lt;2210000),VLOOKUP(2170000,源泉DB!$B$258:$K$258,L161+3)+ROUNDDOWN((K161-2170000)*40.84%,0),IF(AND(K161&gt;1700000,K161&lt;2170000),VLOOKUP(1700000,源泉DB!$B$257:$K$257,L161+3)+ROUNDDOWN((K161-1700000)*40.84%,0),IF(AND(K161&gt;950000,K161&lt;1700000),VLOOKUP(950000,源泉DB!$B$256:$K$256,L161+3)+ROUNDDOWN((K161-950000)*33.693%,0),IF(AND(K161&gt;780000,K161&lt;950000),VLOOKUP(780000,源泉DB!$B$255:$K$255,L161+3)+ROUNDDOWN((K161-780000)*23.483%,0),IF(AND(K161&gt;740000,K161&lt;780000),VLOOKUP(740000,源泉DB!$B$254:$K$254,L161+3)+ROUNDDOWN((K161-740000)*20.42%,0),VLOOKUP(K161,源泉DB!$B$8:$K$299,L161+3))))))))),IF(F161="乙",IF(K161&gt;1700000,651900+(K161-1700000) *45.945%,IF(K161=1700000,651900,IF(AND(K161&gt;740000,K161&lt;1700000),259800+(K161-740000)*40.84%,IF(K161=740000,259800,IF(K161&lt;88000,ROUNDDOWN(K161*3.063%,9),VLOOKUP(K161,源泉DB!$B$8:$L$254,11)))))),"")),"")</f>
        <v/>
      </c>
      <c r="U161" s="165"/>
      <c r="V161" s="166"/>
      <c r="W161" s="166"/>
      <c r="X161" s="166"/>
      <c r="Y161" s="166"/>
      <c r="Z161" s="178">
        <f>ROUND(IFERROR(IF(($G161="加入"),VLOOKUP($I161,年金DB!$G$16:$P$65,6,TRUE),0),0)-0.1,0)</f>
        <v>0</v>
      </c>
      <c r="AA161" s="178">
        <f>ROUND(IFERROR(IF(AND($G161="加入",$D161&gt;=40,$D161&lt;=64),VLOOKUP($I161,年金DB!$G$16:$P$65,10,TRUE),0),0)-0.1,0)</f>
        <v>0</v>
      </c>
      <c r="AB161" s="178">
        <f>ROUND(IFERROR(IF(AND($G161="加入",$D161&lt;40),VLOOKUP($J161,年金DB!$G$16:$X$62,14,TRUE),IF(AND($G161="加入",$D161&gt;=40),VLOOKUP($J161,年金DB!$G$16:$X$62,14,TRUE),"0")),0)-0.1,0)</f>
        <v>0</v>
      </c>
      <c r="AC161" s="178">
        <f t="shared" si="20"/>
        <v>0</v>
      </c>
      <c r="AD161" s="21">
        <f t="shared" si="17"/>
        <v>0</v>
      </c>
      <c r="AE161" s="173">
        <f t="shared" si="18"/>
        <v>0</v>
      </c>
      <c r="AF161" s="14" t="str">
        <f t="shared" si="19"/>
        <v/>
      </c>
      <c r="AG161" s="14"/>
      <c r="AH161" s="14"/>
    </row>
    <row r="162" spans="1:34">
      <c r="A162" s="28"/>
      <c r="B162" s="180"/>
      <c r="C162" s="188"/>
      <c r="D162" s="161"/>
      <c r="E162" s="162"/>
      <c r="F162" s="162"/>
      <c r="G162" s="163"/>
      <c r="H162" s="285"/>
      <c r="I162" s="282"/>
      <c r="J162" s="16"/>
      <c r="K162" s="18">
        <f t="shared" si="15"/>
        <v>0</v>
      </c>
      <c r="L162" s="288">
        <v>0</v>
      </c>
      <c r="M162" s="291"/>
      <c r="N162" s="164"/>
      <c r="O162" s="164"/>
      <c r="P162" s="164"/>
      <c r="Q162" s="175">
        <f t="shared" si="21"/>
        <v>0</v>
      </c>
      <c r="R162" s="164"/>
      <c r="S162" s="197">
        <f t="shared" si="16"/>
        <v>0</v>
      </c>
      <c r="T162" s="201" t="str" cm="1">
        <f t="array" ref="T162">IFERROR(IF(F162="甲",IF(K162&gt;3500000,VLOOKUP(3500000,源泉DB!$B$261:$L$261,L162+3)+ROUNDDOWN((K162-3500000)*45.945%,0),IF(AND(K162&gt;2250000,K162&lt;3500000),VLOOKUP(2250000,源泉DB!$B$260:$K$260,L162+3)+ROUNDDOWN((K162-2250000)*40.84%,0),IF(AND(K162&gt;2210000,K162&lt;2250000),VLOOKUP(2210000,源泉DB!$B$259:$K$259,L162+3)+ROUNDDOWN((K162-2210000)*40.84%,0),IF(AND(K162&gt;2170000,K162&lt;2210000),VLOOKUP(2170000,源泉DB!$B$258:$K$258,L162+3)+ROUNDDOWN((K162-2170000)*40.84%,0),IF(AND(K162&gt;1700000,K162&lt;2170000),VLOOKUP(1700000,源泉DB!$B$257:$K$257,L162+3)+ROUNDDOWN((K162-1700000)*40.84%,0),IF(AND(K162&gt;950000,K162&lt;1700000),VLOOKUP(950000,源泉DB!$B$256:$K$256,L162+3)+ROUNDDOWN((K162-950000)*33.693%,0),IF(AND(K162&gt;780000,K162&lt;950000),VLOOKUP(780000,源泉DB!$B$255:$K$255,L162+3)+ROUNDDOWN((K162-780000)*23.483%,0),IF(AND(K162&gt;740000,K162&lt;780000),VLOOKUP(740000,源泉DB!$B$254:$K$254,L162+3)+ROUNDDOWN((K162-740000)*20.42%,0),VLOOKUP(K162,源泉DB!$B$8:$K$299,L162+3))))))))),IF(F162="乙",IF(K162&gt;1700000,651900+(K162-1700000) *45.945%,IF(K162=1700000,651900,IF(AND(K162&gt;740000,K162&lt;1700000),259800+(K162-740000)*40.84%,IF(K162=740000,259800,IF(K162&lt;88000,ROUNDDOWN(K162*3.063%,9),VLOOKUP(K162,源泉DB!$B$8:$L$254,11)))))),"")),"")</f>
        <v/>
      </c>
      <c r="U162" s="165"/>
      <c r="V162" s="166"/>
      <c r="W162" s="166"/>
      <c r="X162" s="166"/>
      <c r="Y162" s="166"/>
      <c r="Z162" s="178">
        <f>ROUND(IFERROR(IF(($G162="加入"),VLOOKUP($I162,年金DB!$G$16:$P$65,6,TRUE),0),0)-0.1,0)</f>
        <v>0</v>
      </c>
      <c r="AA162" s="178">
        <f>ROUND(IFERROR(IF(AND($G162="加入",$D162&gt;=40,$D162&lt;=64),VLOOKUP($I162,年金DB!$G$16:$P$65,10,TRUE),0),0)-0.1,0)</f>
        <v>0</v>
      </c>
      <c r="AB162" s="178">
        <f>ROUND(IFERROR(IF(AND($G162="加入",$D162&lt;40),VLOOKUP($J162,年金DB!$G$16:$X$62,14,TRUE),IF(AND($G162="加入",$D162&gt;=40),VLOOKUP($J162,年金DB!$G$16:$X$62,14,TRUE),"0")),0)-0.1,0)</f>
        <v>0</v>
      </c>
      <c r="AC162" s="178">
        <f t="shared" si="20"/>
        <v>0</v>
      </c>
      <c r="AD162" s="21">
        <f t="shared" si="17"/>
        <v>0</v>
      </c>
      <c r="AE162" s="173">
        <f t="shared" si="18"/>
        <v>0</v>
      </c>
      <c r="AF162" s="14" t="str">
        <f t="shared" si="19"/>
        <v/>
      </c>
      <c r="AG162" s="14"/>
      <c r="AH162" s="14"/>
    </row>
    <row r="163" spans="1:34">
      <c r="A163" s="28"/>
      <c r="B163" s="180"/>
      <c r="C163" s="188"/>
      <c r="D163" s="161"/>
      <c r="E163" s="162"/>
      <c r="F163" s="162"/>
      <c r="G163" s="163"/>
      <c r="H163" s="285"/>
      <c r="I163" s="282"/>
      <c r="J163" s="16"/>
      <c r="K163" s="18">
        <f t="shared" si="15"/>
        <v>0</v>
      </c>
      <c r="L163" s="288">
        <v>0</v>
      </c>
      <c r="M163" s="291"/>
      <c r="N163" s="164"/>
      <c r="O163" s="164"/>
      <c r="P163" s="164"/>
      <c r="Q163" s="175">
        <f t="shared" si="21"/>
        <v>0</v>
      </c>
      <c r="R163" s="164"/>
      <c r="S163" s="197">
        <f t="shared" si="16"/>
        <v>0</v>
      </c>
      <c r="T163" s="201" t="str" cm="1">
        <f t="array" ref="T163">IFERROR(IF(F163="甲",IF(K163&gt;3500000,VLOOKUP(3500000,源泉DB!$B$261:$L$261,L163+3)+ROUNDDOWN((K163-3500000)*45.945%,0),IF(AND(K163&gt;2250000,K163&lt;3500000),VLOOKUP(2250000,源泉DB!$B$260:$K$260,L163+3)+ROUNDDOWN((K163-2250000)*40.84%,0),IF(AND(K163&gt;2210000,K163&lt;2250000),VLOOKUP(2210000,源泉DB!$B$259:$K$259,L163+3)+ROUNDDOWN((K163-2210000)*40.84%,0),IF(AND(K163&gt;2170000,K163&lt;2210000),VLOOKUP(2170000,源泉DB!$B$258:$K$258,L163+3)+ROUNDDOWN((K163-2170000)*40.84%,0),IF(AND(K163&gt;1700000,K163&lt;2170000),VLOOKUP(1700000,源泉DB!$B$257:$K$257,L163+3)+ROUNDDOWN((K163-1700000)*40.84%,0),IF(AND(K163&gt;950000,K163&lt;1700000),VLOOKUP(950000,源泉DB!$B$256:$K$256,L163+3)+ROUNDDOWN((K163-950000)*33.693%,0),IF(AND(K163&gt;780000,K163&lt;950000),VLOOKUP(780000,源泉DB!$B$255:$K$255,L163+3)+ROUNDDOWN((K163-780000)*23.483%,0),IF(AND(K163&gt;740000,K163&lt;780000),VLOOKUP(740000,源泉DB!$B$254:$K$254,L163+3)+ROUNDDOWN((K163-740000)*20.42%,0),VLOOKUP(K163,源泉DB!$B$8:$K$299,L163+3))))))))),IF(F163="乙",IF(K163&gt;1700000,651900+(K163-1700000) *45.945%,IF(K163=1700000,651900,IF(AND(K163&gt;740000,K163&lt;1700000),259800+(K163-740000)*40.84%,IF(K163=740000,259800,IF(K163&lt;88000,ROUNDDOWN(K163*3.063%,9),VLOOKUP(K163,源泉DB!$B$8:$L$254,11)))))),"")),"")</f>
        <v/>
      </c>
      <c r="U163" s="165"/>
      <c r="V163" s="166"/>
      <c r="W163" s="166"/>
      <c r="X163" s="166"/>
      <c r="Y163" s="166"/>
      <c r="Z163" s="178">
        <f>ROUND(IFERROR(IF(($G163="加入"),VLOOKUP($I163,年金DB!$G$16:$P$65,6,TRUE),0),0)-0.1,0)</f>
        <v>0</v>
      </c>
      <c r="AA163" s="178">
        <f>ROUND(IFERROR(IF(AND($G163="加入",$D163&gt;=40,$D163&lt;=64),VLOOKUP($I163,年金DB!$G$16:$P$65,10,TRUE),0),0)-0.1,0)</f>
        <v>0</v>
      </c>
      <c r="AB163" s="178">
        <f>ROUND(IFERROR(IF(AND($G163="加入",$D163&lt;40),VLOOKUP($J163,年金DB!$G$16:$X$62,14,TRUE),IF(AND($G163="加入",$D163&gt;=40),VLOOKUP($J163,年金DB!$G$16:$X$62,14,TRUE),"0")),0)-0.1,0)</f>
        <v>0</v>
      </c>
      <c r="AC163" s="178">
        <f t="shared" si="20"/>
        <v>0</v>
      </c>
      <c r="AD163" s="21">
        <f t="shared" si="17"/>
        <v>0</v>
      </c>
      <c r="AE163" s="173">
        <f t="shared" si="18"/>
        <v>0</v>
      </c>
      <c r="AF163" s="14" t="str">
        <f t="shared" si="19"/>
        <v/>
      </c>
      <c r="AG163" s="14"/>
      <c r="AH163" s="14"/>
    </row>
    <row r="164" spans="1:34">
      <c r="A164" s="28"/>
      <c r="B164" s="180"/>
      <c r="C164" s="188"/>
      <c r="D164" s="161"/>
      <c r="E164" s="162"/>
      <c r="F164" s="162"/>
      <c r="G164" s="163"/>
      <c r="H164" s="285"/>
      <c r="I164" s="282"/>
      <c r="J164" s="16"/>
      <c r="K164" s="18">
        <f t="shared" si="15"/>
        <v>0</v>
      </c>
      <c r="L164" s="288">
        <v>0</v>
      </c>
      <c r="M164" s="291"/>
      <c r="N164" s="164"/>
      <c r="O164" s="164"/>
      <c r="P164" s="164"/>
      <c r="Q164" s="175">
        <f t="shared" si="21"/>
        <v>0</v>
      </c>
      <c r="R164" s="164"/>
      <c r="S164" s="197">
        <f t="shared" si="16"/>
        <v>0</v>
      </c>
      <c r="T164" s="201" t="str" cm="1">
        <f t="array" ref="T164">IFERROR(IF(F164="甲",IF(K164&gt;3500000,VLOOKUP(3500000,源泉DB!$B$261:$L$261,L164+3)+ROUNDDOWN((K164-3500000)*45.945%,0),IF(AND(K164&gt;2250000,K164&lt;3500000),VLOOKUP(2250000,源泉DB!$B$260:$K$260,L164+3)+ROUNDDOWN((K164-2250000)*40.84%,0),IF(AND(K164&gt;2210000,K164&lt;2250000),VLOOKUP(2210000,源泉DB!$B$259:$K$259,L164+3)+ROUNDDOWN((K164-2210000)*40.84%,0),IF(AND(K164&gt;2170000,K164&lt;2210000),VLOOKUP(2170000,源泉DB!$B$258:$K$258,L164+3)+ROUNDDOWN((K164-2170000)*40.84%,0),IF(AND(K164&gt;1700000,K164&lt;2170000),VLOOKUP(1700000,源泉DB!$B$257:$K$257,L164+3)+ROUNDDOWN((K164-1700000)*40.84%,0),IF(AND(K164&gt;950000,K164&lt;1700000),VLOOKUP(950000,源泉DB!$B$256:$K$256,L164+3)+ROUNDDOWN((K164-950000)*33.693%,0),IF(AND(K164&gt;780000,K164&lt;950000),VLOOKUP(780000,源泉DB!$B$255:$K$255,L164+3)+ROUNDDOWN((K164-780000)*23.483%,0),IF(AND(K164&gt;740000,K164&lt;780000),VLOOKUP(740000,源泉DB!$B$254:$K$254,L164+3)+ROUNDDOWN((K164-740000)*20.42%,0),VLOOKUP(K164,源泉DB!$B$8:$K$299,L164+3))))))))),IF(F164="乙",IF(K164&gt;1700000,651900+(K164-1700000) *45.945%,IF(K164=1700000,651900,IF(AND(K164&gt;740000,K164&lt;1700000),259800+(K164-740000)*40.84%,IF(K164=740000,259800,IF(K164&lt;88000,ROUNDDOWN(K164*3.063%,9),VLOOKUP(K164,源泉DB!$B$8:$L$254,11)))))),"")),"")</f>
        <v/>
      </c>
      <c r="U164" s="165"/>
      <c r="V164" s="166"/>
      <c r="W164" s="166"/>
      <c r="X164" s="166"/>
      <c r="Y164" s="166"/>
      <c r="Z164" s="178">
        <f>ROUND(IFERROR(IF(($G164="加入"),VLOOKUP($I164,年金DB!$G$16:$P$65,6,TRUE),0),0)-0.1,0)</f>
        <v>0</v>
      </c>
      <c r="AA164" s="178">
        <f>ROUND(IFERROR(IF(AND($G164="加入",$D164&gt;=40,$D164&lt;=64),VLOOKUP($I164,年金DB!$G$16:$P$65,10,TRUE),0),0)-0.1,0)</f>
        <v>0</v>
      </c>
      <c r="AB164" s="178">
        <f>ROUND(IFERROR(IF(AND($G164="加入",$D164&lt;40),VLOOKUP($J164,年金DB!$G$16:$X$62,14,TRUE),IF(AND($G164="加入",$D164&gt;=40),VLOOKUP($J164,年金DB!$G$16:$X$62,14,TRUE),"0")),0)-0.1,0)</f>
        <v>0</v>
      </c>
      <c r="AC164" s="178">
        <f t="shared" si="20"/>
        <v>0</v>
      </c>
      <c r="AD164" s="21">
        <f t="shared" si="17"/>
        <v>0</v>
      </c>
      <c r="AE164" s="173">
        <f t="shared" si="18"/>
        <v>0</v>
      </c>
      <c r="AF164" s="14" t="str">
        <f t="shared" si="19"/>
        <v/>
      </c>
      <c r="AG164" s="14"/>
      <c r="AH164" s="14"/>
    </row>
    <row r="165" spans="1:34">
      <c r="A165" s="28"/>
      <c r="B165" s="180"/>
      <c r="C165" s="188"/>
      <c r="D165" s="161"/>
      <c r="E165" s="162"/>
      <c r="F165" s="162"/>
      <c r="G165" s="163"/>
      <c r="H165" s="285"/>
      <c r="I165" s="282"/>
      <c r="J165" s="16"/>
      <c r="K165" s="18">
        <f t="shared" si="15"/>
        <v>0</v>
      </c>
      <c r="L165" s="288">
        <v>0</v>
      </c>
      <c r="M165" s="291"/>
      <c r="N165" s="164"/>
      <c r="O165" s="164"/>
      <c r="P165" s="164"/>
      <c r="Q165" s="175">
        <f t="shared" si="21"/>
        <v>0</v>
      </c>
      <c r="R165" s="164"/>
      <c r="S165" s="197">
        <f t="shared" si="16"/>
        <v>0</v>
      </c>
      <c r="T165" s="201" t="str" cm="1">
        <f t="array" ref="T165">IFERROR(IF(F165="甲",IF(K165&gt;3500000,VLOOKUP(3500000,源泉DB!$B$261:$L$261,L165+3)+ROUNDDOWN((K165-3500000)*45.945%,0),IF(AND(K165&gt;2250000,K165&lt;3500000),VLOOKUP(2250000,源泉DB!$B$260:$K$260,L165+3)+ROUNDDOWN((K165-2250000)*40.84%,0),IF(AND(K165&gt;2210000,K165&lt;2250000),VLOOKUP(2210000,源泉DB!$B$259:$K$259,L165+3)+ROUNDDOWN((K165-2210000)*40.84%,0),IF(AND(K165&gt;2170000,K165&lt;2210000),VLOOKUP(2170000,源泉DB!$B$258:$K$258,L165+3)+ROUNDDOWN((K165-2170000)*40.84%,0),IF(AND(K165&gt;1700000,K165&lt;2170000),VLOOKUP(1700000,源泉DB!$B$257:$K$257,L165+3)+ROUNDDOWN((K165-1700000)*40.84%,0),IF(AND(K165&gt;950000,K165&lt;1700000),VLOOKUP(950000,源泉DB!$B$256:$K$256,L165+3)+ROUNDDOWN((K165-950000)*33.693%,0),IF(AND(K165&gt;780000,K165&lt;950000),VLOOKUP(780000,源泉DB!$B$255:$K$255,L165+3)+ROUNDDOWN((K165-780000)*23.483%,0),IF(AND(K165&gt;740000,K165&lt;780000),VLOOKUP(740000,源泉DB!$B$254:$K$254,L165+3)+ROUNDDOWN((K165-740000)*20.42%,0),VLOOKUP(K165,源泉DB!$B$8:$K$299,L165+3))))))))),IF(F165="乙",IF(K165&gt;1700000,651900+(K165-1700000) *45.945%,IF(K165=1700000,651900,IF(AND(K165&gt;740000,K165&lt;1700000),259800+(K165-740000)*40.84%,IF(K165=740000,259800,IF(K165&lt;88000,ROUNDDOWN(K165*3.063%,9),VLOOKUP(K165,源泉DB!$B$8:$L$254,11)))))),"")),"")</f>
        <v/>
      </c>
      <c r="U165" s="165"/>
      <c r="V165" s="166"/>
      <c r="W165" s="166"/>
      <c r="X165" s="166"/>
      <c r="Y165" s="166"/>
      <c r="Z165" s="178">
        <f>ROUND(IFERROR(IF(($G165="加入"),VLOOKUP($I165,年金DB!$G$16:$P$65,6,TRUE),0),0)-0.1,0)</f>
        <v>0</v>
      </c>
      <c r="AA165" s="178">
        <f>ROUND(IFERROR(IF(AND($G165="加入",$D165&gt;=40,$D165&lt;=64),VLOOKUP($I165,年金DB!$G$16:$P$65,10,TRUE),0),0)-0.1,0)</f>
        <v>0</v>
      </c>
      <c r="AB165" s="178">
        <f>ROUND(IFERROR(IF(AND($G165="加入",$D165&lt;40),VLOOKUP($J165,年金DB!$G$16:$X$62,14,TRUE),IF(AND($G165="加入",$D165&gt;=40),VLOOKUP($J165,年金DB!$G$16:$X$62,14,TRUE),"0")),0)-0.1,0)</f>
        <v>0</v>
      </c>
      <c r="AC165" s="178">
        <f t="shared" si="20"/>
        <v>0</v>
      </c>
      <c r="AD165" s="21">
        <f t="shared" si="17"/>
        <v>0</v>
      </c>
      <c r="AE165" s="173">
        <f t="shared" si="18"/>
        <v>0</v>
      </c>
      <c r="AF165" s="14" t="str">
        <f t="shared" si="19"/>
        <v/>
      </c>
      <c r="AG165" s="14"/>
      <c r="AH165" s="14"/>
    </row>
    <row r="166" spans="1:34">
      <c r="A166" s="28"/>
      <c r="B166" s="180"/>
      <c r="C166" s="188"/>
      <c r="D166" s="161"/>
      <c r="E166" s="162"/>
      <c r="F166" s="162"/>
      <c r="G166" s="163"/>
      <c r="H166" s="285"/>
      <c r="I166" s="282"/>
      <c r="J166" s="16"/>
      <c r="K166" s="18">
        <f t="shared" si="15"/>
        <v>0</v>
      </c>
      <c r="L166" s="288">
        <v>0</v>
      </c>
      <c r="M166" s="291"/>
      <c r="N166" s="164"/>
      <c r="O166" s="164"/>
      <c r="P166" s="164"/>
      <c r="Q166" s="175">
        <f t="shared" si="21"/>
        <v>0</v>
      </c>
      <c r="R166" s="164"/>
      <c r="S166" s="197">
        <f t="shared" si="16"/>
        <v>0</v>
      </c>
      <c r="T166" s="201" t="str" cm="1">
        <f t="array" ref="T166">IFERROR(IF(F166="甲",IF(K166&gt;3500000,VLOOKUP(3500000,源泉DB!$B$261:$L$261,L166+3)+ROUNDDOWN((K166-3500000)*45.945%,0),IF(AND(K166&gt;2250000,K166&lt;3500000),VLOOKUP(2250000,源泉DB!$B$260:$K$260,L166+3)+ROUNDDOWN((K166-2250000)*40.84%,0),IF(AND(K166&gt;2210000,K166&lt;2250000),VLOOKUP(2210000,源泉DB!$B$259:$K$259,L166+3)+ROUNDDOWN((K166-2210000)*40.84%,0),IF(AND(K166&gt;2170000,K166&lt;2210000),VLOOKUP(2170000,源泉DB!$B$258:$K$258,L166+3)+ROUNDDOWN((K166-2170000)*40.84%,0),IF(AND(K166&gt;1700000,K166&lt;2170000),VLOOKUP(1700000,源泉DB!$B$257:$K$257,L166+3)+ROUNDDOWN((K166-1700000)*40.84%,0),IF(AND(K166&gt;950000,K166&lt;1700000),VLOOKUP(950000,源泉DB!$B$256:$K$256,L166+3)+ROUNDDOWN((K166-950000)*33.693%,0),IF(AND(K166&gt;780000,K166&lt;950000),VLOOKUP(780000,源泉DB!$B$255:$K$255,L166+3)+ROUNDDOWN((K166-780000)*23.483%,0),IF(AND(K166&gt;740000,K166&lt;780000),VLOOKUP(740000,源泉DB!$B$254:$K$254,L166+3)+ROUNDDOWN((K166-740000)*20.42%,0),VLOOKUP(K166,源泉DB!$B$8:$K$299,L166+3))))))))),IF(F166="乙",IF(K166&gt;1700000,651900+(K166-1700000) *45.945%,IF(K166=1700000,651900,IF(AND(K166&gt;740000,K166&lt;1700000),259800+(K166-740000)*40.84%,IF(K166=740000,259800,IF(K166&lt;88000,ROUNDDOWN(K166*3.063%,9),VLOOKUP(K166,源泉DB!$B$8:$L$254,11)))))),"")),"")</f>
        <v/>
      </c>
      <c r="U166" s="165"/>
      <c r="V166" s="166"/>
      <c r="W166" s="166"/>
      <c r="X166" s="166"/>
      <c r="Y166" s="166"/>
      <c r="Z166" s="178">
        <f>ROUND(IFERROR(IF(($G166="加入"),VLOOKUP($I166,年金DB!$G$16:$P$65,6,TRUE),0),0)-0.1,0)</f>
        <v>0</v>
      </c>
      <c r="AA166" s="178">
        <f>ROUND(IFERROR(IF(AND($G166="加入",$D166&gt;=40,$D166&lt;=64),VLOOKUP($I166,年金DB!$G$16:$P$65,10,TRUE),0),0)-0.1,0)</f>
        <v>0</v>
      </c>
      <c r="AB166" s="178">
        <f>ROUND(IFERROR(IF(AND($G166="加入",$D166&lt;40),VLOOKUP($J166,年金DB!$G$16:$X$62,14,TRUE),IF(AND($G166="加入",$D166&gt;=40),VLOOKUP($J166,年金DB!$G$16:$X$62,14,TRUE),"0")),0)-0.1,0)</f>
        <v>0</v>
      </c>
      <c r="AC166" s="178">
        <f t="shared" si="20"/>
        <v>0</v>
      </c>
      <c r="AD166" s="21">
        <f t="shared" si="17"/>
        <v>0</v>
      </c>
      <c r="AE166" s="173">
        <f t="shared" si="18"/>
        <v>0</v>
      </c>
      <c r="AF166" s="14" t="str">
        <f t="shared" si="19"/>
        <v/>
      </c>
      <c r="AG166" s="14"/>
      <c r="AH166" s="14"/>
    </row>
    <row r="167" spans="1:34">
      <c r="A167" s="28"/>
      <c r="B167" s="180"/>
      <c r="C167" s="188"/>
      <c r="D167" s="161"/>
      <c r="E167" s="162"/>
      <c r="F167" s="162"/>
      <c r="G167" s="163"/>
      <c r="H167" s="285"/>
      <c r="I167" s="282"/>
      <c r="J167" s="16"/>
      <c r="K167" s="18">
        <f t="shared" si="15"/>
        <v>0</v>
      </c>
      <c r="L167" s="288">
        <v>0</v>
      </c>
      <c r="M167" s="291"/>
      <c r="N167" s="164"/>
      <c r="O167" s="164"/>
      <c r="P167" s="164"/>
      <c r="Q167" s="175">
        <f t="shared" si="21"/>
        <v>0</v>
      </c>
      <c r="R167" s="164"/>
      <c r="S167" s="197">
        <f t="shared" si="16"/>
        <v>0</v>
      </c>
      <c r="T167" s="201" t="str" cm="1">
        <f t="array" ref="T167">IFERROR(IF(F167="甲",IF(K167&gt;3500000,VLOOKUP(3500000,源泉DB!$B$261:$L$261,L167+3)+ROUNDDOWN((K167-3500000)*45.945%,0),IF(AND(K167&gt;2250000,K167&lt;3500000),VLOOKUP(2250000,源泉DB!$B$260:$K$260,L167+3)+ROUNDDOWN((K167-2250000)*40.84%,0),IF(AND(K167&gt;2210000,K167&lt;2250000),VLOOKUP(2210000,源泉DB!$B$259:$K$259,L167+3)+ROUNDDOWN((K167-2210000)*40.84%,0),IF(AND(K167&gt;2170000,K167&lt;2210000),VLOOKUP(2170000,源泉DB!$B$258:$K$258,L167+3)+ROUNDDOWN((K167-2170000)*40.84%,0),IF(AND(K167&gt;1700000,K167&lt;2170000),VLOOKUP(1700000,源泉DB!$B$257:$K$257,L167+3)+ROUNDDOWN((K167-1700000)*40.84%,0),IF(AND(K167&gt;950000,K167&lt;1700000),VLOOKUP(950000,源泉DB!$B$256:$K$256,L167+3)+ROUNDDOWN((K167-950000)*33.693%,0),IF(AND(K167&gt;780000,K167&lt;950000),VLOOKUP(780000,源泉DB!$B$255:$K$255,L167+3)+ROUNDDOWN((K167-780000)*23.483%,0),IF(AND(K167&gt;740000,K167&lt;780000),VLOOKUP(740000,源泉DB!$B$254:$K$254,L167+3)+ROUNDDOWN((K167-740000)*20.42%,0),VLOOKUP(K167,源泉DB!$B$8:$K$299,L167+3))))))))),IF(F167="乙",IF(K167&gt;1700000,651900+(K167-1700000) *45.945%,IF(K167=1700000,651900,IF(AND(K167&gt;740000,K167&lt;1700000),259800+(K167-740000)*40.84%,IF(K167=740000,259800,IF(K167&lt;88000,ROUNDDOWN(K167*3.063%,9),VLOOKUP(K167,源泉DB!$B$8:$L$254,11)))))),"")),"")</f>
        <v/>
      </c>
      <c r="U167" s="165"/>
      <c r="V167" s="166"/>
      <c r="W167" s="166"/>
      <c r="X167" s="166"/>
      <c r="Y167" s="166"/>
      <c r="Z167" s="178">
        <f>ROUND(IFERROR(IF(($G167="加入"),VLOOKUP($I167,年金DB!$G$16:$P$65,6,TRUE),0),0)-0.1,0)</f>
        <v>0</v>
      </c>
      <c r="AA167" s="178">
        <f>ROUND(IFERROR(IF(AND($G167="加入",$D167&gt;=40,$D167&lt;=64),VLOOKUP($I167,年金DB!$G$16:$P$65,10,TRUE),0),0)-0.1,0)</f>
        <v>0</v>
      </c>
      <c r="AB167" s="178">
        <f>ROUND(IFERROR(IF(AND($G167="加入",$D167&lt;40),VLOOKUP($J167,年金DB!$G$16:$X$62,14,TRUE),IF(AND($G167="加入",$D167&gt;=40),VLOOKUP($J167,年金DB!$G$16:$X$62,14,TRUE),"0")),0)-0.1,0)</f>
        <v>0</v>
      </c>
      <c r="AC167" s="178">
        <f t="shared" si="20"/>
        <v>0</v>
      </c>
      <c r="AD167" s="21">
        <f t="shared" si="17"/>
        <v>0</v>
      </c>
      <c r="AE167" s="173">
        <f t="shared" si="18"/>
        <v>0</v>
      </c>
      <c r="AF167" s="14" t="str">
        <f t="shared" si="19"/>
        <v/>
      </c>
      <c r="AG167" s="14"/>
      <c r="AH167" s="14"/>
    </row>
    <row r="168" spans="1:34">
      <c r="A168" s="28"/>
      <c r="B168" s="180"/>
      <c r="C168" s="188"/>
      <c r="D168" s="161"/>
      <c r="E168" s="162"/>
      <c r="F168" s="162"/>
      <c r="G168" s="163"/>
      <c r="H168" s="285"/>
      <c r="I168" s="282"/>
      <c r="J168" s="16"/>
      <c r="K168" s="18">
        <f t="shared" si="15"/>
        <v>0</v>
      </c>
      <c r="L168" s="288">
        <v>0</v>
      </c>
      <c r="M168" s="291"/>
      <c r="N168" s="164"/>
      <c r="O168" s="164"/>
      <c r="P168" s="164"/>
      <c r="Q168" s="175">
        <f t="shared" si="21"/>
        <v>0</v>
      </c>
      <c r="R168" s="164"/>
      <c r="S168" s="197">
        <f t="shared" si="16"/>
        <v>0</v>
      </c>
      <c r="T168" s="201" t="str" cm="1">
        <f t="array" ref="T168">IFERROR(IF(F168="甲",IF(K168&gt;3500000,VLOOKUP(3500000,源泉DB!$B$261:$L$261,L168+3)+ROUNDDOWN((K168-3500000)*45.945%,0),IF(AND(K168&gt;2250000,K168&lt;3500000),VLOOKUP(2250000,源泉DB!$B$260:$K$260,L168+3)+ROUNDDOWN((K168-2250000)*40.84%,0),IF(AND(K168&gt;2210000,K168&lt;2250000),VLOOKUP(2210000,源泉DB!$B$259:$K$259,L168+3)+ROUNDDOWN((K168-2210000)*40.84%,0),IF(AND(K168&gt;2170000,K168&lt;2210000),VLOOKUP(2170000,源泉DB!$B$258:$K$258,L168+3)+ROUNDDOWN((K168-2170000)*40.84%,0),IF(AND(K168&gt;1700000,K168&lt;2170000),VLOOKUP(1700000,源泉DB!$B$257:$K$257,L168+3)+ROUNDDOWN((K168-1700000)*40.84%,0),IF(AND(K168&gt;950000,K168&lt;1700000),VLOOKUP(950000,源泉DB!$B$256:$K$256,L168+3)+ROUNDDOWN((K168-950000)*33.693%,0),IF(AND(K168&gt;780000,K168&lt;950000),VLOOKUP(780000,源泉DB!$B$255:$K$255,L168+3)+ROUNDDOWN((K168-780000)*23.483%,0),IF(AND(K168&gt;740000,K168&lt;780000),VLOOKUP(740000,源泉DB!$B$254:$K$254,L168+3)+ROUNDDOWN((K168-740000)*20.42%,0),VLOOKUP(K168,源泉DB!$B$8:$K$299,L168+3))))))))),IF(F168="乙",IF(K168&gt;1700000,651900+(K168-1700000) *45.945%,IF(K168=1700000,651900,IF(AND(K168&gt;740000,K168&lt;1700000),259800+(K168-740000)*40.84%,IF(K168=740000,259800,IF(K168&lt;88000,ROUNDDOWN(K168*3.063%,9),VLOOKUP(K168,源泉DB!$B$8:$L$254,11)))))),"")),"")</f>
        <v/>
      </c>
      <c r="U168" s="165"/>
      <c r="V168" s="166"/>
      <c r="W168" s="166"/>
      <c r="X168" s="166"/>
      <c r="Y168" s="166"/>
      <c r="Z168" s="178">
        <f>ROUND(IFERROR(IF(($G168="加入"),VLOOKUP($I168,年金DB!$G$16:$P$65,6,TRUE),0),0)-0.1,0)</f>
        <v>0</v>
      </c>
      <c r="AA168" s="178">
        <f>ROUND(IFERROR(IF(AND($G168="加入",$D168&gt;=40,$D168&lt;=64),VLOOKUP($I168,年金DB!$G$16:$P$65,10,TRUE),0),0)-0.1,0)</f>
        <v>0</v>
      </c>
      <c r="AB168" s="178">
        <f>ROUND(IFERROR(IF(AND($G168="加入",$D168&lt;40),VLOOKUP($J168,年金DB!$G$16:$X$62,14,TRUE),IF(AND($G168="加入",$D168&gt;=40),VLOOKUP($J168,年金DB!$G$16:$X$62,14,TRUE),"0")),0)-0.1,0)</f>
        <v>0</v>
      </c>
      <c r="AC168" s="178">
        <f t="shared" si="20"/>
        <v>0</v>
      </c>
      <c r="AD168" s="21">
        <f t="shared" si="17"/>
        <v>0</v>
      </c>
      <c r="AE168" s="173">
        <f t="shared" si="18"/>
        <v>0</v>
      </c>
      <c r="AF168" s="14" t="str">
        <f t="shared" si="19"/>
        <v/>
      </c>
      <c r="AG168" s="14"/>
      <c r="AH168" s="14"/>
    </row>
    <row r="169" spans="1:34">
      <c r="A169" s="28"/>
      <c r="B169" s="180"/>
      <c r="C169" s="188"/>
      <c r="D169" s="161"/>
      <c r="E169" s="162"/>
      <c r="F169" s="162"/>
      <c r="G169" s="163"/>
      <c r="H169" s="285"/>
      <c r="I169" s="282"/>
      <c r="J169" s="16"/>
      <c r="K169" s="18">
        <f t="shared" si="15"/>
        <v>0</v>
      </c>
      <c r="L169" s="288">
        <v>0</v>
      </c>
      <c r="M169" s="291"/>
      <c r="N169" s="164"/>
      <c r="O169" s="164"/>
      <c r="P169" s="164"/>
      <c r="Q169" s="175">
        <f t="shared" si="21"/>
        <v>0</v>
      </c>
      <c r="R169" s="164"/>
      <c r="S169" s="197">
        <f t="shared" si="16"/>
        <v>0</v>
      </c>
      <c r="T169" s="201" t="str" cm="1">
        <f t="array" ref="T169">IFERROR(IF(F169="甲",IF(K169&gt;3500000,VLOOKUP(3500000,源泉DB!$B$261:$L$261,L169+3)+ROUNDDOWN((K169-3500000)*45.945%,0),IF(AND(K169&gt;2250000,K169&lt;3500000),VLOOKUP(2250000,源泉DB!$B$260:$K$260,L169+3)+ROUNDDOWN((K169-2250000)*40.84%,0),IF(AND(K169&gt;2210000,K169&lt;2250000),VLOOKUP(2210000,源泉DB!$B$259:$K$259,L169+3)+ROUNDDOWN((K169-2210000)*40.84%,0),IF(AND(K169&gt;2170000,K169&lt;2210000),VLOOKUP(2170000,源泉DB!$B$258:$K$258,L169+3)+ROUNDDOWN((K169-2170000)*40.84%,0),IF(AND(K169&gt;1700000,K169&lt;2170000),VLOOKUP(1700000,源泉DB!$B$257:$K$257,L169+3)+ROUNDDOWN((K169-1700000)*40.84%,0),IF(AND(K169&gt;950000,K169&lt;1700000),VLOOKUP(950000,源泉DB!$B$256:$K$256,L169+3)+ROUNDDOWN((K169-950000)*33.693%,0),IF(AND(K169&gt;780000,K169&lt;950000),VLOOKUP(780000,源泉DB!$B$255:$K$255,L169+3)+ROUNDDOWN((K169-780000)*23.483%,0),IF(AND(K169&gt;740000,K169&lt;780000),VLOOKUP(740000,源泉DB!$B$254:$K$254,L169+3)+ROUNDDOWN((K169-740000)*20.42%,0),VLOOKUP(K169,源泉DB!$B$8:$K$299,L169+3))))))))),IF(F169="乙",IF(K169&gt;1700000,651900+(K169-1700000) *45.945%,IF(K169=1700000,651900,IF(AND(K169&gt;740000,K169&lt;1700000),259800+(K169-740000)*40.84%,IF(K169=740000,259800,IF(K169&lt;88000,ROUNDDOWN(K169*3.063%,9),VLOOKUP(K169,源泉DB!$B$8:$L$254,11)))))),"")),"")</f>
        <v/>
      </c>
      <c r="U169" s="165"/>
      <c r="V169" s="166"/>
      <c r="W169" s="166"/>
      <c r="X169" s="166"/>
      <c r="Y169" s="166"/>
      <c r="Z169" s="178">
        <f>ROUND(IFERROR(IF(($G169="加入"),VLOOKUP($I169,年金DB!$G$16:$P$65,6,TRUE),0),0)-0.1,0)</f>
        <v>0</v>
      </c>
      <c r="AA169" s="178">
        <f>ROUND(IFERROR(IF(AND($G169="加入",$D169&gt;=40,$D169&lt;=64),VLOOKUP($I169,年金DB!$G$16:$P$65,10,TRUE),0),0)-0.1,0)</f>
        <v>0</v>
      </c>
      <c r="AB169" s="178">
        <f>ROUND(IFERROR(IF(AND($G169="加入",$D169&lt;40),VLOOKUP($J169,年金DB!$G$16:$X$62,14,TRUE),IF(AND($G169="加入",$D169&gt;=40),VLOOKUP($J169,年金DB!$G$16:$X$62,14,TRUE),"0")),0)-0.1,0)</f>
        <v>0</v>
      </c>
      <c r="AC169" s="178">
        <f t="shared" si="20"/>
        <v>0</v>
      </c>
      <c r="AD169" s="21">
        <f t="shared" si="17"/>
        <v>0</v>
      </c>
      <c r="AE169" s="173">
        <f t="shared" si="18"/>
        <v>0</v>
      </c>
      <c r="AF169" s="14" t="str">
        <f t="shared" si="19"/>
        <v/>
      </c>
      <c r="AG169" s="14"/>
      <c r="AH169" s="14"/>
    </row>
    <row r="170" spans="1:34">
      <c r="A170" s="28"/>
      <c r="B170" s="180"/>
      <c r="C170" s="188"/>
      <c r="D170" s="161"/>
      <c r="E170" s="162"/>
      <c r="F170" s="162"/>
      <c r="G170" s="163"/>
      <c r="H170" s="285"/>
      <c r="I170" s="282"/>
      <c r="J170" s="16"/>
      <c r="K170" s="18">
        <f t="shared" si="15"/>
        <v>0</v>
      </c>
      <c r="L170" s="288">
        <v>0</v>
      </c>
      <c r="M170" s="291"/>
      <c r="N170" s="164"/>
      <c r="O170" s="164"/>
      <c r="P170" s="164"/>
      <c r="Q170" s="175">
        <f t="shared" si="21"/>
        <v>0</v>
      </c>
      <c r="R170" s="164"/>
      <c r="S170" s="197">
        <f t="shared" si="16"/>
        <v>0</v>
      </c>
      <c r="T170" s="201" t="str" cm="1">
        <f t="array" ref="T170">IFERROR(IF(F170="甲",IF(K170&gt;3500000,VLOOKUP(3500000,源泉DB!$B$261:$L$261,L170+3)+ROUNDDOWN((K170-3500000)*45.945%,0),IF(AND(K170&gt;2250000,K170&lt;3500000),VLOOKUP(2250000,源泉DB!$B$260:$K$260,L170+3)+ROUNDDOWN((K170-2250000)*40.84%,0),IF(AND(K170&gt;2210000,K170&lt;2250000),VLOOKUP(2210000,源泉DB!$B$259:$K$259,L170+3)+ROUNDDOWN((K170-2210000)*40.84%,0),IF(AND(K170&gt;2170000,K170&lt;2210000),VLOOKUP(2170000,源泉DB!$B$258:$K$258,L170+3)+ROUNDDOWN((K170-2170000)*40.84%,0),IF(AND(K170&gt;1700000,K170&lt;2170000),VLOOKUP(1700000,源泉DB!$B$257:$K$257,L170+3)+ROUNDDOWN((K170-1700000)*40.84%,0),IF(AND(K170&gt;950000,K170&lt;1700000),VLOOKUP(950000,源泉DB!$B$256:$K$256,L170+3)+ROUNDDOWN((K170-950000)*33.693%,0),IF(AND(K170&gt;780000,K170&lt;950000),VLOOKUP(780000,源泉DB!$B$255:$K$255,L170+3)+ROUNDDOWN((K170-780000)*23.483%,0),IF(AND(K170&gt;740000,K170&lt;780000),VLOOKUP(740000,源泉DB!$B$254:$K$254,L170+3)+ROUNDDOWN((K170-740000)*20.42%,0),VLOOKUP(K170,源泉DB!$B$8:$K$299,L170+3))))))))),IF(F170="乙",IF(K170&gt;1700000,651900+(K170-1700000) *45.945%,IF(K170=1700000,651900,IF(AND(K170&gt;740000,K170&lt;1700000),259800+(K170-740000)*40.84%,IF(K170=740000,259800,IF(K170&lt;88000,ROUNDDOWN(K170*3.063%,9),VLOOKUP(K170,源泉DB!$B$8:$L$254,11)))))),"")),"")</f>
        <v/>
      </c>
      <c r="U170" s="165"/>
      <c r="V170" s="166"/>
      <c r="W170" s="166"/>
      <c r="X170" s="166"/>
      <c r="Y170" s="166"/>
      <c r="Z170" s="178">
        <f>ROUND(IFERROR(IF(($G170="加入"),VLOOKUP($I170,年金DB!$G$16:$P$65,6,TRUE),0),0)-0.1,0)</f>
        <v>0</v>
      </c>
      <c r="AA170" s="178">
        <f>ROUND(IFERROR(IF(AND($G170="加入",$D170&gt;=40,$D170&lt;=64),VLOOKUP($I170,年金DB!$G$16:$P$65,10,TRUE),0),0)-0.1,0)</f>
        <v>0</v>
      </c>
      <c r="AB170" s="178">
        <f>ROUND(IFERROR(IF(AND($G170="加入",$D170&lt;40),VLOOKUP($J170,年金DB!$G$16:$X$62,14,TRUE),IF(AND($G170="加入",$D170&gt;=40),VLOOKUP($J170,年金DB!$G$16:$X$62,14,TRUE),"0")),0)-0.1,0)</f>
        <v>0</v>
      </c>
      <c r="AC170" s="178">
        <f t="shared" si="20"/>
        <v>0</v>
      </c>
      <c r="AD170" s="21">
        <f t="shared" si="17"/>
        <v>0</v>
      </c>
      <c r="AE170" s="173">
        <f t="shared" si="18"/>
        <v>0</v>
      </c>
      <c r="AF170" s="14" t="str">
        <f t="shared" si="19"/>
        <v/>
      </c>
      <c r="AG170" s="14"/>
      <c r="AH170" s="14"/>
    </row>
    <row r="171" spans="1:34">
      <c r="A171" s="28"/>
      <c r="B171" s="180"/>
      <c r="C171" s="188"/>
      <c r="D171" s="161"/>
      <c r="E171" s="162"/>
      <c r="F171" s="162"/>
      <c r="G171" s="163"/>
      <c r="H171" s="285"/>
      <c r="I171" s="282"/>
      <c r="J171" s="16"/>
      <c r="K171" s="18">
        <f t="shared" si="15"/>
        <v>0</v>
      </c>
      <c r="L171" s="288">
        <v>0</v>
      </c>
      <c r="M171" s="291"/>
      <c r="N171" s="164"/>
      <c r="O171" s="164"/>
      <c r="P171" s="164"/>
      <c r="Q171" s="175">
        <f t="shared" si="21"/>
        <v>0</v>
      </c>
      <c r="R171" s="164"/>
      <c r="S171" s="197">
        <f t="shared" si="16"/>
        <v>0</v>
      </c>
      <c r="T171" s="201" t="str" cm="1">
        <f t="array" ref="T171">IFERROR(IF(F171="甲",IF(K171&gt;3500000,VLOOKUP(3500000,源泉DB!$B$261:$L$261,L171+3)+ROUNDDOWN((K171-3500000)*45.945%,0),IF(AND(K171&gt;2250000,K171&lt;3500000),VLOOKUP(2250000,源泉DB!$B$260:$K$260,L171+3)+ROUNDDOWN((K171-2250000)*40.84%,0),IF(AND(K171&gt;2210000,K171&lt;2250000),VLOOKUP(2210000,源泉DB!$B$259:$K$259,L171+3)+ROUNDDOWN((K171-2210000)*40.84%,0),IF(AND(K171&gt;2170000,K171&lt;2210000),VLOOKUP(2170000,源泉DB!$B$258:$K$258,L171+3)+ROUNDDOWN((K171-2170000)*40.84%,0),IF(AND(K171&gt;1700000,K171&lt;2170000),VLOOKUP(1700000,源泉DB!$B$257:$K$257,L171+3)+ROUNDDOWN((K171-1700000)*40.84%,0),IF(AND(K171&gt;950000,K171&lt;1700000),VLOOKUP(950000,源泉DB!$B$256:$K$256,L171+3)+ROUNDDOWN((K171-950000)*33.693%,0),IF(AND(K171&gt;780000,K171&lt;950000),VLOOKUP(780000,源泉DB!$B$255:$K$255,L171+3)+ROUNDDOWN((K171-780000)*23.483%,0),IF(AND(K171&gt;740000,K171&lt;780000),VLOOKUP(740000,源泉DB!$B$254:$K$254,L171+3)+ROUNDDOWN((K171-740000)*20.42%,0),VLOOKUP(K171,源泉DB!$B$8:$K$299,L171+3))))))))),IF(F171="乙",IF(K171&gt;1700000,651900+(K171-1700000) *45.945%,IF(K171=1700000,651900,IF(AND(K171&gt;740000,K171&lt;1700000),259800+(K171-740000)*40.84%,IF(K171=740000,259800,IF(K171&lt;88000,ROUNDDOWN(K171*3.063%,9),VLOOKUP(K171,源泉DB!$B$8:$L$254,11)))))),"")),"")</f>
        <v/>
      </c>
      <c r="U171" s="165"/>
      <c r="V171" s="166"/>
      <c r="W171" s="166"/>
      <c r="X171" s="166"/>
      <c r="Y171" s="166"/>
      <c r="Z171" s="178">
        <f>ROUND(IFERROR(IF(($G171="加入"),VLOOKUP($I171,年金DB!$G$16:$P$65,6,TRUE),0),0)-0.1,0)</f>
        <v>0</v>
      </c>
      <c r="AA171" s="178">
        <f>ROUND(IFERROR(IF(AND($G171="加入",$D171&gt;=40,$D171&lt;=64),VLOOKUP($I171,年金DB!$G$16:$P$65,10,TRUE),0),0)-0.1,0)</f>
        <v>0</v>
      </c>
      <c r="AB171" s="178">
        <f>ROUND(IFERROR(IF(AND($G171="加入",$D171&lt;40),VLOOKUP($J171,年金DB!$G$16:$X$62,14,TRUE),IF(AND($G171="加入",$D171&gt;=40),VLOOKUP($J171,年金DB!$G$16:$X$62,14,TRUE),"0")),0)-0.1,0)</f>
        <v>0</v>
      </c>
      <c r="AC171" s="178">
        <f t="shared" si="20"/>
        <v>0</v>
      </c>
      <c r="AD171" s="21">
        <f t="shared" si="17"/>
        <v>0</v>
      </c>
      <c r="AE171" s="173">
        <f t="shared" si="18"/>
        <v>0</v>
      </c>
      <c r="AF171" s="14" t="str">
        <f t="shared" si="19"/>
        <v/>
      </c>
      <c r="AG171" s="14"/>
      <c r="AH171" s="14"/>
    </row>
    <row r="172" spans="1:34">
      <c r="A172" s="28"/>
      <c r="B172" s="180"/>
      <c r="C172" s="188"/>
      <c r="D172" s="161"/>
      <c r="E172" s="162"/>
      <c r="F172" s="162"/>
      <c r="G172" s="163"/>
      <c r="H172" s="285"/>
      <c r="I172" s="282"/>
      <c r="J172" s="16"/>
      <c r="K172" s="18">
        <f t="shared" si="15"/>
        <v>0</v>
      </c>
      <c r="L172" s="288">
        <v>0</v>
      </c>
      <c r="M172" s="291"/>
      <c r="N172" s="164"/>
      <c r="O172" s="164"/>
      <c r="P172" s="164"/>
      <c r="Q172" s="175">
        <f t="shared" si="21"/>
        <v>0</v>
      </c>
      <c r="R172" s="164"/>
      <c r="S172" s="197">
        <f t="shared" si="16"/>
        <v>0</v>
      </c>
      <c r="T172" s="201" t="str" cm="1">
        <f t="array" ref="T172">IFERROR(IF(F172="甲",IF(K172&gt;3500000,VLOOKUP(3500000,源泉DB!$B$261:$L$261,L172+3)+ROUNDDOWN((K172-3500000)*45.945%,0),IF(AND(K172&gt;2250000,K172&lt;3500000),VLOOKUP(2250000,源泉DB!$B$260:$K$260,L172+3)+ROUNDDOWN((K172-2250000)*40.84%,0),IF(AND(K172&gt;2210000,K172&lt;2250000),VLOOKUP(2210000,源泉DB!$B$259:$K$259,L172+3)+ROUNDDOWN((K172-2210000)*40.84%,0),IF(AND(K172&gt;2170000,K172&lt;2210000),VLOOKUP(2170000,源泉DB!$B$258:$K$258,L172+3)+ROUNDDOWN((K172-2170000)*40.84%,0),IF(AND(K172&gt;1700000,K172&lt;2170000),VLOOKUP(1700000,源泉DB!$B$257:$K$257,L172+3)+ROUNDDOWN((K172-1700000)*40.84%,0),IF(AND(K172&gt;950000,K172&lt;1700000),VLOOKUP(950000,源泉DB!$B$256:$K$256,L172+3)+ROUNDDOWN((K172-950000)*33.693%,0),IF(AND(K172&gt;780000,K172&lt;950000),VLOOKUP(780000,源泉DB!$B$255:$K$255,L172+3)+ROUNDDOWN((K172-780000)*23.483%,0),IF(AND(K172&gt;740000,K172&lt;780000),VLOOKUP(740000,源泉DB!$B$254:$K$254,L172+3)+ROUNDDOWN((K172-740000)*20.42%,0),VLOOKUP(K172,源泉DB!$B$8:$K$299,L172+3))))))))),IF(F172="乙",IF(K172&gt;1700000,651900+(K172-1700000) *45.945%,IF(K172=1700000,651900,IF(AND(K172&gt;740000,K172&lt;1700000),259800+(K172-740000)*40.84%,IF(K172=740000,259800,IF(K172&lt;88000,ROUNDDOWN(K172*3.063%,9),VLOOKUP(K172,源泉DB!$B$8:$L$254,11)))))),"")),"")</f>
        <v/>
      </c>
      <c r="U172" s="165"/>
      <c r="V172" s="166"/>
      <c r="W172" s="166"/>
      <c r="X172" s="166"/>
      <c r="Y172" s="166"/>
      <c r="Z172" s="178">
        <f>ROUND(IFERROR(IF(($G172="加入"),VLOOKUP($I172,年金DB!$G$16:$P$65,6,TRUE),0),0)-0.1,0)</f>
        <v>0</v>
      </c>
      <c r="AA172" s="178">
        <f>ROUND(IFERROR(IF(AND($G172="加入",$D172&gt;=40,$D172&lt;=64),VLOOKUP($I172,年金DB!$G$16:$P$65,10,TRUE),0),0)-0.1,0)</f>
        <v>0</v>
      </c>
      <c r="AB172" s="178">
        <f>ROUND(IFERROR(IF(AND($G172="加入",$D172&lt;40),VLOOKUP($J172,年金DB!$G$16:$X$62,14,TRUE),IF(AND($G172="加入",$D172&gt;=40),VLOOKUP($J172,年金DB!$G$16:$X$62,14,TRUE),"0")),0)-0.1,0)</f>
        <v>0</v>
      </c>
      <c r="AC172" s="178">
        <f t="shared" si="20"/>
        <v>0</v>
      </c>
      <c r="AD172" s="21">
        <f t="shared" si="17"/>
        <v>0</v>
      </c>
      <c r="AE172" s="173">
        <f t="shared" si="18"/>
        <v>0</v>
      </c>
      <c r="AF172" s="14" t="str">
        <f t="shared" si="19"/>
        <v/>
      </c>
      <c r="AG172" s="14"/>
      <c r="AH172" s="14"/>
    </row>
    <row r="173" spans="1:34">
      <c r="A173" s="28"/>
      <c r="B173" s="180"/>
      <c r="C173" s="188"/>
      <c r="D173" s="161"/>
      <c r="E173" s="162"/>
      <c r="F173" s="162"/>
      <c r="G173" s="163"/>
      <c r="H173" s="285"/>
      <c r="I173" s="282"/>
      <c r="J173" s="16"/>
      <c r="K173" s="18">
        <f t="shared" si="15"/>
        <v>0</v>
      </c>
      <c r="L173" s="288">
        <v>0</v>
      </c>
      <c r="M173" s="291"/>
      <c r="N173" s="164"/>
      <c r="O173" s="164"/>
      <c r="P173" s="164"/>
      <c r="Q173" s="175">
        <f t="shared" si="21"/>
        <v>0</v>
      </c>
      <c r="R173" s="164"/>
      <c r="S173" s="197">
        <f t="shared" si="16"/>
        <v>0</v>
      </c>
      <c r="T173" s="201" t="str" cm="1">
        <f t="array" ref="T173">IFERROR(IF(F173="甲",IF(K173&gt;3500000,VLOOKUP(3500000,源泉DB!$B$261:$L$261,L173+3)+ROUNDDOWN((K173-3500000)*45.945%,0),IF(AND(K173&gt;2250000,K173&lt;3500000),VLOOKUP(2250000,源泉DB!$B$260:$K$260,L173+3)+ROUNDDOWN((K173-2250000)*40.84%,0),IF(AND(K173&gt;2210000,K173&lt;2250000),VLOOKUP(2210000,源泉DB!$B$259:$K$259,L173+3)+ROUNDDOWN((K173-2210000)*40.84%,0),IF(AND(K173&gt;2170000,K173&lt;2210000),VLOOKUP(2170000,源泉DB!$B$258:$K$258,L173+3)+ROUNDDOWN((K173-2170000)*40.84%,0),IF(AND(K173&gt;1700000,K173&lt;2170000),VLOOKUP(1700000,源泉DB!$B$257:$K$257,L173+3)+ROUNDDOWN((K173-1700000)*40.84%,0),IF(AND(K173&gt;950000,K173&lt;1700000),VLOOKUP(950000,源泉DB!$B$256:$K$256,L173+3)+ROUNDDOWN((K173-950000)*33.693%,0),IF(AND(K173&gt;780000,K173&lt;950000),VLOOKUP(780000,源泉DB!$B$255:$K$255,L173+3)+ROUNDDOWN((K173-780000)*23.483%,0),IF(AND(K173&gt;740000,K173&lt;780000),VLOOKUP(740000,源泉DB!$B$254:$K$254,L173+3)+ROUNDDOWN((K173-740000)*20.42%,0),VLOOKUP(K173,源泉DB!$B$8:$K$299,L173+3))))))))),IF(F173="乙",IF(K173&gt;1700000,651900+(K173-1700000) *45.945%,IF(K173=1700000,651900,IF(AND(K173&gt;740000,K173&lt;1700000),259800+(K173-740000)*40.84%,IF(K173=740000,259800,IF(K173&lt;88000,ROUNDDOWN(K173*3.063%,9),VLOOKUP(K173,源泉DB!$B$8:$L$254,11)))))),"")),"")</f>
        <v/>
      </c>
      <c r="U173" s="165"/>
      <c r="V173" s="166"/>
      <c r="W173" s="166"/>
      <c r="X173" s="166"/>
      <c r="Y173" s="166"/>
      <c r="Z173" s="178">
        <f>ROUND(IFERROR(IF(($G173="加入"),VLOOKUP($I173,年金DB!$G$16:$P$65,6,TRUE),0),0)-0.1,0)</f>
        <v>0</v>
      </c>
      <c r="AA173" s="178">
        <f>ROUND(IFERROR(IF(AND($G173="加入",$D173&gt;=40,$D173&lt;=64),VLOOKUP($I173,年金DB!$G$16:$P$65,10,TRUE),0),0)-0.1,0)</f>
        <v>0</v>
      </c>
      <c r="AB173" s="178">
        <f>ROUND(IFERROR(IF(AND($G173="加入",$D173&lt;40),VLOOKUP($J173,年金DB!$G$16:$X$62,14,TRUE),IF(AND($G173="加入",$D173&gt;=40),VLOOKUP($J173,年金DB!$G$16:$X$62,14,TRUE),"0")),0)-0.1,0)</f>
        <v>0</v>
      </c>
      <c r="AC173" s="178">
        <f t="shared" si="20"/>
        <v>0</v>
      </c>
      <c r="AD173" s="21">
        <f t="shared" si="17"/>
        <v>0</v>
      </c>
      <c r="AE173" s="173">
        <f t="shared" si="18"/>
        <v>0</v>
      </c>
      <c r="AF173" s="14" t="str">
        <f t="shared" si="19"/>
        <v/>
      </c>
      <c r="AG173" s="14"/>
      <c r="AH173" s="14"/>
    </row>
    <row r="174" spans="1:34">
      <c r="A174" s="28"/>
      <c r="B174" s="180"/>
      <c r="C174" s="188"/>
      <c r="D174" s="161"/>
      <c r="E174" s="162"/>
      <c r="F174" s="162"/>
      <c r="G174" s="163"/>
      <c r="H174" s="285"/>
      <c r="I174" s="282"/>
      <c r="J174" s="16"/>
      <c r="K174" s="18">
        <f t="shared" si="15"/>
        <v>0</v>
      </c>
      <c r="L174" s="288">
        <v>0</v>
      </c>
      <c r="M174" s="291"/>
      <c r="N174" s="164"/>
      <c r="O174" s="164"/>
      <c r="P174" s="164"/>
      <c r="Q174" s="175">
        <f t="shared" si="21"/>
        <v>0</v>
      </c>
      <c r="R174" s="164"/>
      <c r="S174" s="197">
        <f t="shared" si="16"/>
        <v>0</v>
      </c>
      <c r="T174" s="201" t="str" cm="1">
        <f t="array" ref="T174">IFERROR(IF(F174="甲",IF(K174&gt;3500000,VLOOKUP(3500000,源泉DB!$B$261:$L$261,L174+3)+ROUNDDOWN((K174-3500000)*45.945%,0),IF(AND(K174&gt;2250000,K174&lt;3500000),VLOOKUP(2250000,源泉DB!$B$260:$K$260,L174+3)+ROUNDDOWN((K174-2250000)*40.84%,0),IF(AND(K174&gt;2210000,K174&lt;2250000),VLOOKUP(2210000,源泉DB!$B$259:$K$259,L174+3)+ROUNDDOWN((K174-2210000)*40.84%,0),IF(AND(K174&gt;2170000,K174&lt;2210000),VLOOKUP(2170000,源泉DB!$B$258:$K$258,L174+3)+ROUNDDOWN((K174-2170000)*40.84%,0),IF(AND(K174&gt;1700000,K174&lt;2170000),VLOOKUP(1700000,源泉DB!$B$257:$K$257,L174+3)+ROUNDDOWN((K174-1700000)*40.84%,0),IF(AND(K174&gt;950000,K174&lt;1700000),VLOOKUP(950000,源泉DB!$B$256:$K$256,L174+3)+ROUNDDOWN((K174-950000)*33.693%,0),IF(AND(K174&gt;780000,K174&lt;950000),VLOOKUP(780000,源泉DB!$B$255:$K$255,L174+3)+ROUNDDOWN((K174-780000)*23.483%,0),IF(AND(K174&gt;740000,K174&lt;780000),VLOOKUP(740000,源泉DB!$B$254:$K$254,L174+3)+ROUNDDOWN((K174-740000)*20.42%,0),VLOOKUP(K174,源泉DB!$B$8:$K$299,L174+3))))))))),IF(F174="乙",IF(K174&gt;1700000,651900+(K174-1700000) *45.945%,IF(K174=1700000,651900,IF(AND(K174&gt;740000,K174&lt;1700000),259800+(K174-740000)*40.84%,IF(K174=740000,259800,IF(K174&lt;88000,ROUNDDOWN(K174*3.063%,9),VLOOKUP(K174,源泉DB!$B$8:$L$254,11)))))),"")),"")</f>
        <v/>
      </c>
      <c r="U174" s="165"/>
      <c r="V174" s="166"/>
      <c r="W174" s="166"/>
      <c r="X174" s="166"/>
      <c r="Y174" s="166"/>
      <c r="Z174" s="178">
        <f>ROUND(IFERROR(IF(($G174="加入"),VLOOKUP($I174,年金DB!$G$16:$P$65,6,TRUE),0),0)-0.1,0)</f>
        <v>0</v>
      </c>
      <c r="AA174" s="178">
        <f>ROUND(IFERROR(IF(AND($G174="加入",$D174&gt;=40,$D174&lt;=64),VLOOKUP($I174,年金DB!$G$16:$P$65,10,TRUE),0),0)-0.1,0)</f>
        <v>0</v>
      </c>
      <c r="AB174" s="178">
        <f>ROUND(IFERROR(IF(AND($G174="加入",$D174&lt;40),VLOOKUP($J174,年金DB!$G$16:$X$62,14,TRUE),IF(AND($G174="加入",$D174&gt;=40),VLOOKUP($J174,年金DB!$G$16:$X$62,14,TRUE),"0")),0)-0.1,0)</f>
        <v>0</v>
      </c>
      <c r="AC174" s="178">
        <f t="shared" si="20"/>
        <v>0</v>
      </c>
      <c r="AD174" s="21">
        <f t="shared" si="17"/>
        <v>0</v>
      </c>
      <c r="AE174" s="173">
        <f t="shared" si="18"/>
        <v>0</v>
      </c>
      <c r="AF174" s="14" t="str">
        <f t="shared" si="19"/>
        <v/>
      </c>
      <c r="AG174" s="14"/>
      <c r="AH174" s="14"/>
    </row>
    <row r="175" spans="1:34">
      <c r="A175" s="28"/>
      <c r="B175" s="180"/>
      <c r="C175" s="188"/>
      <c r="D175" s="161"/>
      <c r="E175" s="162"/>
      <c r="F175" s="162"/>
      <c r="G175" s="163"/>
      <c r="H175" s="285"/>
      <c r="I175" s="282"/>
      <c r="J175" s="16"/>
      <c r="K175" s="18">
        <f t="shared" si="15"/>
        <v>0</v>
      </c>
      <c r="L175" s="288">
        <v>0</v>
      </c>
      <c r="M175" s="291"/>
      <c r="N175" s="164"/>
      <c r="O175" s="164"/>
      <c r="P175" s="164"/>
      <c r="Q175" s="175">
        <f t="shared" si="21"/>
        <v>0</v>
      </c>
      <c r="R175" s="164"/>
      <c r="S175" s="197">
        <f t="shared" si="16"/>
        <v>0</v>
      </c>
      <c r="T175" s="201" t="str" cm="1">
        <f t="array" ref="T175">IFERROR(IF(F175="甲",IF(K175&gt;3500000,VLOOKUP(3500000,源泉DB!$B$261:$L$261,L175+3)+ROUNDDOWN((K175-3500000)*45.945%,0),IF(AND(K175&gt;2250000,K175&lt;3500000),VLOOKUP(2250000,源泉DB!$B$260:$K$260,L175+3)+ROUNDDOWN((K175-2250000)*40.84%,0),IF(AND(K175&gt;2210000,K175&lt;2250000),VLOOKUP(2210000,源泉DB!$B$259:$K$259,L175+3)+ROUNDDOWN((K175-2210000)*40.84%,0),IF(AND(K175&gt;2170000,K175&lt;2210000),VLOOKUP(2170000,源泉DB!$B$258:$K$258,L175+3)+ROUNDDOWN((K175-2170000)*40.84%,0),IF(AND(K175&gt;1700000,K175&lt;2170000),VLOOKUP(1700000,源泉DB!$B$257:$K$257,L175+3)+ROUNDDOWN((K175-1700000)*40.84%,0),IF(AND(K175&gt;950000,K175&lt;1700000),VLOOKUP(950000,源泉DB!$B$256:$K$256,L175+3)+ROUNDDOWN((K175-950000)*33.693%,0),IF(AND(K175&gt;780000,K175&lt;950000),VLOOKUP(780000,源泉DB!$B$255:$K$255,L175+3)+ROUNDDOWN((K175-780000)*23.483%,0),IF(AND(K175&gt;740000,K175&lt;780000),VLOOKUP(740000,源泉DB!$B$254:$K$254,L175+3)+ROUNDDOWN((K175-740000)*20.42%,0),VLOOKUP(K175,源泉DB!$B$8:$K$299,L175+3))))))))),IF(F175="乙",IF(K175&gt;1700000,651900+(K175-1700000) *45.945%,IF(K175=1700000,651900,IF(AND(K175&gt;740000,K175&lt;1700000),259800+(K175-740000)*40.84%,IF(K175=740000,259800,IF(K175&lt;88000,ROUNDDOWN(K175*3.063%,9),VLOOKUP(K175,源泉DB!$B$8:$L$254,11)))))),"")),"")</f>
        <v/>
      </c>
      <c r="U175" s="165"/>
      <c r="V175" s="166"/>
      <c r="W175" s="166"/>
      <c r="X175" s="166"/>
      <c r="Y175" s="166"/>
      <c r="Z175" s="178">
        <f>ROUND(IFERROR(IF(($G175="加入"),VLOOKUP($I175,年金DB!$G$16:$P$65,6,TRUE),0),0)-0.1,0)</f>
        <v>0</v>
      </c>
      <c r="AA175" s="178">
        <f>ROUND(IFERROR(IF(AND($G175="加入",$D175&gt;=40,$D175&lt;=64),VLOOKUP($I175,年金DB!$G$16:$P$65,10,TRUE),0),0)-0.1,0)</f>
        <v>0</v>
      </c>
      <c r="AB175" s="178">
        <f>ROUND(IFERROR(IF(AND($G175="加入",$D175&lt;40),VLOOKUP($J175,年金DB!$G$16:$X$62,14,TRUE),IF(AND($G175="加入",$D175&gt;=40),VLOOKUP($J175,年金DB!$G$16:$X$62,14,TRUE),"0")),0)-0.1,0)</f>
        <v>0</v>
      </c>
      <c r="AC175" s="178">
        <f t="shared" si="20"/>
        <v>0</v>
      </c>
      <c r="AD175" s="21">
        <f t="shared" si="17"/>
        <v>0</v>
      </c>
      <c r="AE175" s="173">
        <f t="shared" si="18"/>
        <v>0</v>
      </c>
      <c r="AF175" s="14" t="str">
        <f t="shared" si="19"/>
        <v/>
      </c>
      <c r="AG175" s="14"/>
      <c r="AH175" s="14"/>
    </row>
    <row r="176" spans="1:34">
      <c r="A176" s="28"/>
      <c r="B176" s="180"/>
      <c r="C176" s="188"/>
      <c r="D176" s="161"/>
      <c r="E176" s="162"/>
      <c r="F176" s="162"/>
      <c r="G176" s="163"/>
      <c r="H176" s="285"/>
      <c r="I176" s="282"/>
      <c r="J176" s="16"/>
      <c r="K176" s="18">
        <f t="shared" si="15"/>
        <v>0</v>
      </c>
      <c r="L176" s="288">
        <v>0</v>
      </c>
      <c r="M176" s="291"/>
      <c r="N176" s="164"/>
      <c r="O176" s="164"/>
      <c r="P176" s="164"/>
      <c r="Q176" s="175">
        <f t="shared" si="21"/>
        <v>0</v>
      </c>
      <c r="R176" s="164"/>
      <c r="S176" s="197">
        <f t="shared" si="16"/>
        <v>0</v>
      </c>
      <c r="T176" s="201" t="str" cm="1">
        <f t="array" ref="T176">IFERROR(IF(F176="甲",IF(K176&gt;3500000,VLOOKUP(3500000,源泉DB!$B$261:$L$261,L176+3)+ROUNDDOWN((K176-3500000)*45.945%,0),IF(AND(K176&gt;2250000,K176&lt;3500000),VLOOKUP(2250000,源泉DB!$B$260:$K$260,L176+3)+ROUNDDOWN((K176-2250000)*40.84%,0),IF(AND(K176&gt;2210000,K176&lt;2250000),VLOOKUP(2210000,源泉DB!$B$259:$K$259,L176+3)+ROUNDDOWN((K176-2210000)*40.84%,0),IF(AND(K176&gt;2170000,K176&lt;2210000),VLOOKUP(2170000,源泉DB!$B$258:$K$258,L176+3)+ROUNDDOWN((K176-2170000)*40.84%,0),IF(AND(K176&gt;1700000,K176&lt;2170000),VLOOKUP(1700000,源泉DB!$B$257:$K$257,L176+3)+ROUNDDOWN((K176-1700000)*40.84%,0),IF(AND(K176&gt;950000,K176&lt;1700000),VLOOKUP(950000,源泉DB!$B$256:$K$256,L176+3)+ROUNDDOWN((K176-950000)*33.693%,0),IF(AND(K176&gt;780000,K176&lt;950000),VLOOKUP(780000,源泉DB!$B$255:$K$255,L176+3)+ROUNDDOWN((K176-780000)*23.483%,0),IF(AND(K176&gt;740000,K176&lt;780000),VLOOKUP(740000,源泉DB!$B$254:$K$254,L176+3)+ROUNDDOWN((K176-740000)*20.42%,0),VLOOKUP(K176,源泉DB!$B$8:$K$299,L176+3))))))))),IF(F176="乙",IF(K176&gt;1700000,651900+(K176-1700000) *45.945%,IF(K176=1700000,651900,IF(AND(K176&gt;740000,K176&lt;1700000),259800+(K176-740000)*40.84%,IF(K176=740000,259800,IF(K176&lt;88000,ROUNDDOWN(K176*3.063%,9),VLOOKUP(K176,源泉DB!$B$8:$L$254,11)))))),"")),"")</f>
        <v/>
      </c>
      <c r="U176" s="165"/>
      <c r="V176" s="166"/>
      <c r="W176" s="166"/>
      <c r="X176" s="166"/>
      <c r="Y176" s="166"/>
      <c r="Z176" s="178">
        <f>ROUND(IFERROR(IF(($G176="加入"),VLOOKUP($I176,年金DB!$G$16:$P$65,6,TRUE),0),0)-0.1,0)</f>
        <v>0</v>
      </c>
      <c r="AA176" s="178">
        <f>ROUND(IFERROR(IF(AND($G176="加入",$D176&gt;=40,$D176&lt;=64),VLOOKUP($I176,年金DB!$G$16:$P$65,10,TRUE),0),0)-0.1,0)</f>
        <v>0</v>
      </c>
      <c r="AB176" s="178">
        <f>ROUND(IFERROR(IF(AND($G176="加入",$D176&lt;40),VLOOKUP($J176,年金DB!$G$16:$X$62,14,TRUE),IF(AND($G176="加入",$D176&gt;=40),VLOOKUP($J176,年金DB!$G$16:$X$62,14,TRUE),"0")),0)-0.1,0)</f>
        <v>0</v>
      </c>
      <c r="AC176" s="178">
        <f t="shared" si="20"/>
        <v>0</v>
      </c>
      <c r="AD176" s="21">
        <f t="shared" si="17"/>
        <v>0</v>
      </c>
      <c r="AE176" s="173">
        <f t="shared" si="18"/>
        <v>0</v>
      </c>
      <c r="AF176" s="14" t="str">
        <f t="shared" si="19"/>
        <v/>
      </c>
      <c r="AG176" s="14"/>
      <c r="AH176" s="14"/>
    </row>
    <row r="177" spans="1:34">
      <c r="A177" s="28"/>
      <c r="B177" s="180"/>
      <c r="C177" s="188"/>
      <c r="D177" s="161"/>
      <c r="E177" s="162"/>
      <c r="F177" s="162"/>
      <c r="G177" s="163"/>
      <c r="H177" s="285"/>
      <c r="I177" s="282"/>
      <c r="J177" s="16"/>
      <c r="K177" s="18">
        <f t="shared" si="15"/>
        <v>0</v>
      </c>
      <c r="L177" s="288">
        <v>0</v>
      </c>
      <c r="M177" s="291"/>
      <c r="N177" s="164"/>
      <c r="O177" s="164"/>
      <c r="P177" s="164"/>
      <c r="Q177" s="175">
        <f t="shared" si="21"/>
        <v>0</v>
      </c>
      <c r="R177" s="164"/>
      <c r="S177" s="197">
        <f t="shared" si="16"/>
        <v>0</v>
      </c>
      <c r="T177" s="201" t="str" cm="1">
        <f t="array" ref="T177">IFERROR(IF(F177="甲",IF(K177&gt;3500000,VLOOKUP(3500000,源泉DB!$B$261:$L$261,L177+3)+ROUNDDOWN((K177-3500000)*45.945%,0),IF(AND(K177&gt;2250000,K177&lt;3500000),VLOOKUP(2250000,源泉DB!$B$260:$K$260,L177+3)+ROUNDDOWN((K177-2250000)*40.84%,0),IF(AND(K177&gt;2210000,K177&lt;2250000),VLOOKUP(2210000,源泉DB!$B$259:$K$259,L177+3)+ROUNDDOWN((K177-2210000)*40.84%,0),IF(AND(K177&gt;2170000,K177&lt;2210000),VLOOKUP(2170000,源泉DB!$B$258:$K$258,L177+3)+ROUNDDOWN((K177-2170000)*40.84%,0),IF(AND(K177&gt;1700000,K177&lt;2170000),VLOOKUP(1700000,源泉DB!$B$257:$K$257,L177+3)+ROUNDDOWN((K177-1700000)*40.84%,0),IF(AND(K177&gt;950000,K177&lt;1700000),VLOOKUP(950000,源泉DB!$B$256:$K$256,L177+3)+ROUNDDOWN((K177-950000)*33.693%,0),IF(AND(K177&gt;780000,K177&lt;950000),VLOOKUP(780000,源泉DB!$B$255:$K$255,L177+3)+ROUNDDOWN((K177-780000)*23.483%,0),IF(AND(K177&gt;740000,K177&lt;780000),VLOOKUP(740000,源泉DB!$B$254:$K$254,L177+3)+ROUNDDOWN((K177-740000)*20.42%,0),VLOOKUP(K177,源泉DB!$B$8:$K$299,L177+3))))))))),IF(F177="乙",IF(K177&gt;1700000,651900+(K177-1700000) *45.945%,IF(K177=1700000,651900,IF(AND(K177&gt;740000,K177&lt;1700000),259800+(K177-740000)*40.84%,IF(K177=740000,259800,IF(K177&lt;88000,ROUNDDOWN(K177*3.063%,9),VLOOKUP(K177,源泉DB!$B$8:$L$254,11)))))),"")),"")</f>
        <v/>
      </c>
      <c r="U177" s="165"/>
      <c r="V177" s="166"/>
      <c r="W177" s="166"/>
      <c r="X177" s="166"/>
      <c r="Y177" s="166"/>
      <c r="Z177" s="178">
        <f>ROUND(IFERROR(IF(($G177="加入"),VLOOKUP($I177,年金DB!$G$16:$P$65,6,TRUE),0),0)-0.1,0)</f>
        <v>0</v>
      </c>
      <c r="AA177" s="178">
        <f>ROUND(IFERROR(IF(AND($G177="加入",$D177&gt;=40,$D177&lt;=64),VLOOKUP($I177,年金DB!$G$16:$P$65,10,TRUE),0),0)-0.1,0)</f>
        <v>0</v>
      </c>
      <c r="AB177" s="178">
        <f>ROUND(IFERROR(IF(AND($G177="加入",$D177&lt;40),VLOOKUP($J177,年金DB!$G$16:$X$62,14,TRUE),IF(AND($G177="加入",$D177&gt;=40),VLOOKUP($J177,年金DB!$G$16:$X$62,14,TRUE),"0")),0)-0.1,0)</f>
        <v>0</v>
      </c>
      <c r="AC177" s="178">
        <f t="shared" si="20"/>
        <v>0</v>
      </c>
      <c r="AD177" s="21">
        <f t="shared" si="17"/>
        <v>0</v>
      </c>
      <c r="AE177" s="173">
        <f t="shared" si="18"/>
        <v>0</v>
      </c>
      <c r="AF177" s="14" t="str">
        <f t="shared" si="19"/>
        <v/>
      </c>
      <c r="AG177" s="14"/>
      <c r="AH177" s="14"/>
    </row>
    <row r="178" spans="1:34">
      <c r="A178" s="28"/>
      <c r="B178" s="180"/>
      <c r="C178" s="188"/>
      <c r="D178" s="161"/>
      <c r="E178" s="162"/>
      <c r="F178" s="162"/>
      <c r="G178" s="163"/>
      <c r="H178" s="285"/>
      <c r="I178" s="282"/>
      <c r="J178" s="16"/>
      <c r="K178" s="18">
        <f t="shared" si="15"/>
        <v>0</v>
      </c>
      <c r="L178" s="288">
        <v>0</v>
      </c>
      <c r="M178" s="291"/>
      <c r="N178" s="164"/>
      <c r="O178" s="164"/>
      <c r="P178" s="164"/>
      <c r="Q178" s="175">
        <f t="shared" si="21"/>
        <v>0</v>
      </c>
      <c r="R178" s="164"/>
      <c r="S178" s="197">
        <f t="shared" si="16"/>
        <v>0</v>
      </c>
      <c r="T178" s="201" t="str" cm="1">
        <f t="array" ref="T178">IFERROR(IF(F178="甲",IF(K178&gt;3500000,VLOOKUP(3500000,源泉DB!$B$261:$L$261,L178+3)+ROUNDDOWN((K178-3500000)*45.945%,0),IF(AND(K178&gt;2250000,K178&lt;3500000),VLOOKUP(2250000,源泉DB!$B$260:$K$260,L178+3)+ROUNDDOWN((K178-2250000)*40.84%,0),IF(AND(K178&gt;2210000,K178&lt;2250000),VLOOKUP(2210000,源泉DB!$B$259:$K$259,L178+3)+ROUNDDOWN((K178-2210000)*40.84%,0),IF(AND(K178&gt;2170000,K178&lt;2210000),VLOOKUP(2170000,源泉DB!$B$258:$K$258,L178+3)+ROUNDDOWN((K178-2170000)*40.84%,0),IF(AND(K178&gt;1700000,K178&lt;2170000),VLOOKUP(1700000,源泉DB!$B$257:$K$257,L178+3)+ROUNDDOWN((K178-1700000)*40.84%,0),IF(AND(K178&gt;950000,K178&lt;1700000),VLOOKUP(950000,源泉DB!$B$256:$K$256,L178+3)+ROUNDDOWN((K178-950000)*33.693%,0),IF(AND(K178&gt;780000,K178&lt;950000),VLOOKUP(780000,源泉DB!$B$255:$K$255,L178+3)+ROUNDDOWN((K178-780000)*23.483%,0),IF(AND(K178&gt;740000,K178&lt;780000),VLOOKUP(740000,源泉DB!$B$254:$K$254,L178+3)+ROUNDDOWN((K178-740000)*20.42%,0),VLOOKUP(K178,源泉DB!$B$8:$K$299,L178+3))))))))),IF(F178="乙",IF(K178&gt;1700000,651900+(K178-1700000) *45.945%,IF(K178=1700000,651900,IF(AND(K178&gt;740000,K178&lt;1700000),259800+(K178-740000)*40.84%,IF(K178=740000,259800,IF(K178&lt;88000,ROUNDDOWN(K178*3.063%,9),VLOOKUP(K178,源泉DB!$B$8:$L$254,11)))))),"")),"")</f>
        <v/>
      </c>
      <c r="U178" s="165"/>
      <c r="V178" s="166"/>
      <c r="W178" s="166"/>
      <c r="X178" s="166"/>
      <c r="Y178" s="166"/>
      <c r="Z178" s="178">
        <f>ROUND(IFERROR(IF(($G178="加入"),VLOOKUP($I178,年金DB!$G$16:$P$65,6,TRUE),0),0)-0.1,0)</f>
        <v>0</v>
      </c>
      <c r="AA178" s="178">
        <f>ROUND(IFERROR(IF(AND($G178="加入",$D178&gt;=40,$D178&lt;=64),VLOOKUP($I178,年金DB!$G$16:$P$65,10,TRUE),0),0)-0.1,0)</f>
        <v>0</v>
      </c>
      <c r="AB178" s="178">
        <f>ROUND(IFERROR(IF(AND($G178="加入",$D178&lt;40),VLOOKUP($J178,年金DB!$G$16:$X$62,14,TRUE),IF(AND($G178="加入",$D178&gt;=40),VLOOKUP($J178,年金DB!$G$16:$X$62,14,TRUE),"0")),0)-0.1,0)</f>
        <v>0</v>
      </c>
      <c r="AC178" s="178">
        <f t="shared" si="20"/>
        <v>0</v>
      </c>
      <c r="AD178" s="21">
        <f t="shared" si="17"/>
        <v>0</v>
      </c>
      <c r="AE178" s="173">
        <f t="shared" si="18"/>
        <v>0</v>
      </c>
      <c r="AF178" s="14" t="str">
        <f t="shared" si="19"/>
        <v/>
      </c>
      <c r="AG178" s="14"/>
      <c r="AH178" s="14"/>
    </row>
    <row r="179" spans="1:34">
      <c r="A179" s="28"/>
      <c r="B179" s="180"/>
      <c r="C179" s="188"/>
      <c r="D179" s="161"/>
      <c r="E179" s="162"/>
      <c r="F179" s="162"/>
      <c r="G179" s="163"/>
      <c r="H179" s="285"/>
      <c r="I179" s="282"/>
      <c r="J179" s="16"/>
      <c r="K179" s="18">
        <f t="shared" si="15"/>
        <v>0</v>
      </c>
      <c r="L179" s="288">
        <v>0</v>
      </c>
      <c r="M179" s="291"/>
      <c r="N179" s="164"/>
      <c r="O179" s="164"/>
      <c r="P179" s="164"/>
      <c r="Q179" s="175">
        <f t="shared" si="21"/>
        <v>0</v>
      </c>
      <c r="R179" s="164"/>
      <c r="S179" s="197">
        <f t="shared" si="16"/>
        <v>0</v>
      </c>
      <c r="T179" s="201" t="str" cm="1">
        <f t="array" ref="T179">IFERROR(IF(F179="甲",IF(K179&gt;3500000,VLOOKUP(3500000,源泉DB!$B$261:$L$261,L179+3)+ROUNDDOWN((K179-3500000)*45.945%,0),IF(AND(K179&gt;2250000,K179&lt;3500000),VLOOKUP(2250000,源泉DB!$B$260:$K$260,L179+3)+ROUNDDOWN((K179-2250000)*40.84%,0),IF(AND(K179&gt;2210000,K179&lt;2250000),VLOOKUP(2210000,源泉DB!$B$259:$K$259,L179+3)+ROUNDDOWN((K179-2210000)*40.84%,0),IF(AND(K179&gt;2170000,K179&lt;2210000),VLOOKUP(2170000,源泉DB!$B$258:$K$258,L179+3)+ROUNDDOWN((K179-2170000)*40.84%,0),IF(AND(K179&gt;1700000,K179&lt;2170000),VLOOKUP(1700000,源泉DB!$B$257:$K$257,L179+3)+ROUNDDOWN((K179-1700000)*40.84%,0),IF(AND(K179&gt;950000,K179&lt;1700000),VLOOKUP(950000,源泉DB!$B$256:$K$256,L179+3)+ROUNDDOWN((K179-950000)*33.693%,0),IF(AND(K179&gt;780000,K179&lt;950000),VLOOKUP(780000,源泉DB!$B$255:$K$255,L179+3)+ROUNDDOWN((K179-780000)*23.483%,0),IF(AND(K179&gt;740000,K179&lt;780000),VLOOKUP(740000,源泉DB!$B$254:$K$254,L179+3)+ROUNDDOWN((K179-740000)*20.42%,0),VLOOKUP(K179,源泉DB!$B$8:$K$299,L179+3))))))))),IF(F179="乙",IF(K179&gt;1700000,651900+(K179-1700000) *45.945%,IF(K179=1700000,651900,IF(AND(K179&gt;740000,K179&lt;1700000),259800+(K179-740000)*40.84%,IF(K179=740000,259800,IF(K179&lt;88000,ROUNDDOWN(K179*3.063%,9),VLOOKUP(K179,源泉DB!$B$8:$L$254,11)))))),"")),"")</f>
        <v/>
      </c>
      <c r="U179" s="165"/>
      <c r="V179" s="166"/>
      <c r="W179" s="166"/>
      <c r="X179" s="166"/>
      <c r="Y179" s="166"/>
      <c r="Z179" s="178">
        <f>ROUND(IFERROR(IF(($G179="加入"),VLOOKUP($I179,年金DB!$G$16:$P$65,6,TRUE),0),0)-0.1,0)</f>
        <v>0</v>
      </c>
      <c r="AA179" s="178">
        <f>ROUND(IFERROR(IF(AND($G179="加入",$D179&gt;=40,$D179&lt;=64),VLOOKUP($I179,年金DB!$G$16:$P$65,10,TRUE),0),0)-0.1,0)</f>
        <v>0</v>
      </c>
      <c r="AB179" s="178">
        <f>ROUND(IFERROR(IF(AND($G179="加入",$D179&lt;40),VLOOKUP($J179,年金DB!$G$16:$X$62,14,TRUE),IF(AND($G179="加入",$D179&gt;=40),VLOOKUP($J179,年金DB!$G$16:$X$62,14,TRUE),"0")),0)-0.1,0)</f>
        <v>0</v>
      </c>
      <c r="AC179" s="178">
        <f t="shared" si="20"/>
        <v>0</v>
      </c>
      <c r="AD179" s="21">
        <f t="shared" si="17"/>
        <v>0</v>
      </c>
      <c r="AE179" s="173">
        <f t="shared" si="18"/>
        <v>0</v>
      </c>
      <c r="AF179" s="14" t="str">
        <f t="shared" si="19"/>
        <v/>
      </c>
      <c r="AG179" s="14"/>
      <c r="AH179" s="14"/>
    </row>
    <row r="180" spans="1:34">
      <c r="A180" s="28"/>
      <c r="B180" s="180"/>
      <c r="C180" s="188"/>
      <c r="D180" s="161"/>
      <c r="E180" s="162"/>
      <c r="F180" s="162"/>
      <c r="G180" s="163"/>
      <c r="H180" s="285"/>
      <c r="I180" s="282"/>
      <c r="J180" s="16"/>
      <c r="K180" s="18">
        <f t="shared" si="15"/>
        <v>0</v>
      </c>
      <c r="L180" s="288">
        <v>0</v>
      </c>
      <c r="M180" s="291"/>
      <c r="N180" s="164"/>
      <c r="O180" s="164"/>
      <c r="P180" s="164"/>
      <c r="Q180" s="175">
        <f t="shared" si="21"/>
        <v>0</v>
      </c>
      <c r="R180" s="164"/>
      <c r="S180" s="197">
        <f t="shared" si="16"/>
        <v>0</v>
      </c>
      <c r="T180" s="201" t="str" cm="1">
        <f t="array" ref="T180">IFERROR(IF(F180="甲",IF(K180&gt;3500000,VLOOKUP(3500000,源泉DB!$B$261:$L$261,L180+3)+ROUNDDOWN((K180-3500000)*45.945%,0),IF(AND(K180&gt;2250000,K180&lt;3500000),VLOOKUP(2250000,源泉DB!$B$260:$K$260,L180+3)+ROUNDDOWN((K180-2250000)*40.84%,0),IF(AND(K180&gt;2210000,K180&lt;2250000),VLOOKUP(2210000,源泉DB!$B$259:$K$259,L180+3)+ROUNDDOWN((K180-2210000)*40.84%,0),IF(AND(K180&gt;2170000,K180&lt;2210000),VLOOKUP(2170000,源泉DB!$B$258:$K$258,L180+3)+ROUNDDOWN((K180-2170000)*40.84%,0),IF(AND(K180&gt;1700000,K180&lt;2170000),VLOOKUP(1700000,源泉DB!$B$257:$K$257,L180+3)+ROUNDDOWN((K180-1700000)*40.84%,0),IF(AND(K180&gt;950000,K180&lt;1700000),VLOOKUP(950000,源泉DB!$B$256:$K$256,L180+3)+ROUNDDOWN((K180-950000)*33.693%,0),IF(AND(K180&gt;780000,K180&lt;950000),VLOOKUP(780000,源泉DB!$B$255:$K$255,L180+3)+ROUNDDOWN((K180-780000)*23.483%,0),IF(AND(K180&gt;740000,K180&lt;780000),VLOOKUP(740000,源泉DB!$B$254:$K$254,L180+3)+ROUNDDOWN((K180-740000)*20.42%,0),VLOOKUP(K180,源泉DB!$B$8:$K$299,L180+3))))))))),IF(F180="乙",IF(K180&gt;1700000,651900+(K180-1700000) *45.945%,IF(K180=1700000,651900,IF(AND(K180&gt;740000,K180&lt;1700000),259800+(K180-740000)*40.84%,IF(K180=740000,259800,IF(K180&lt;88000,ROUNDDOWN(K180*3.063%,9),VLOOKUP(K180,源泉DB!$B$8:$L$254,11)))))),"")),"")</f>
        <v/>
      </c>
      <c r="U180" s="165"/>
      <c r="V180" s="166"/>
      <c r="W180" s="166"/>
      <c r="X180" s="166"/>
      <c r="Y180" s="166"/>
      <c r="Z180" s="178">
        <f>ROUND(IFERROR(IF(($G180="加入"),VLOOKUP($I180,年金DB!$G$16:$P$65,6,TRUE),0),0)-0.1,0)</f>
        <v>0</v>
      </c>
      <c r="AA180" s="178">
        <f>ROUND(IFERROR(IF(AND($G180="加入",$D180&gt;=40,$D180&lt;=64),VLOOKUP($I180,年金DB!$G$16:$P$65,10,TRUE),0),0)-0.1,0)</f>
        <v>0</v>
      </c>
      <c r="AB180" s="178">
        <f>ROUND(IFERROR(IF(AND($G180="加入",$D180&lt;40),VLOOKUP($J180,年金DB!$G$16:$X$62,14,TRUE),IF(AND($G180="加入",$D180&gt;=40),VLOOKUP($J180,年金DB!$G$16:$X$62,14,TRUE),"0")),0)-0.1,0)</f>
        <v>0</v>
      </c>
      <c r="AC180" s="178">
        <f t="shared" si="20"/>
        <v>0</v>
      </c>
      <c r="AD180" s="21">
        <f t="shared" si="17"/>
        <v>0</v>
      </c>
      <c r="AE180" s="173">
        <f t="shared" si="18"/>
        <v>0</v>
      </c>
      <c r="AF180" s="14" t="str">
        <f t="shared" si="19"/>
        <v/>
      </c>
      <c r="AG180" s="14"/>
      <c r="AH180" s="14"/>
    </row>
    <row r="181" spans="1:34">
      <c r="A181" s="28"/>
      <c r="B181" s="180"/>
      <c r="C181" s="188"/>
      <c r="D181" s="161"/>
      <c r="E181" s="162"/>
      <c r="F181" s="162"/>
      <c r="G181" s="163"/>
      <c r="H181" s="285"/>
      <c r="I181" s="282"/>
      <c r="J181" s="16"/>
      <c r="K181" s="18">
        <f t="shared" si="15"/>
        <v>0</v>
      </c>
      <c r="L181" s="288">
        <v>0</v>
      </c>
      <c r="M181" s="291"/>
      <c r="N181" s="164"/>
      <c r="O181" s="164"/>
      <c r="P181" s="164"/>
      <c r="Q181" s="175">
        <f t="shared" si="21"/>
        <v>0</v>
      </c>
      <c r="R181" s="164"/>
      <c r="S181" s="197">
        <f t="shared" si="16"/>
        <v>0</v>
      </c>
      <c r="T181" s="201" t="str" cm="1">
        <f t="array" ref="T181">IFERROR(IF(F181="甲",IF(K181&gt;3500000,VLOOKUP(3500000,源泉DB!$B$261:$L$261,L181+3)+ROUNDDOWN((K181-3500000)*45.945%,0),IF(AND(K181&gt;2250000,K181&lt;3500000),VLOOKUP(2250000,源泉DB!$B$260:$K$260,L181+3)+ROUNDDOWN((K181-2250000)*40.84%,0),IF(AND(K181&gt;2210000,K181&lt;2250000),VLOOKUP(2210000,源泉DB!$B$259:$K$259,L181+3)+ROUNDDOWN((K181-2210000)*40.84%,0),IF(AND(K181&gt;2170000,K181&lt;2210000),VLOOKUP(2170000,源泉DB!$B$258:$K$258,L181+3)+ROUNDDOWN((K181-2170000)*40.84%,0),IF(AND(K181&gt;1700000,K181&lt;2170000),VLOOKUP(1700000,源泉DB!$B$257:$K$257,L181+3)+ROUNDDOWN((K181-1700000)*40.84%,0),IF(AND(K181&gt;950000,K181&lt;1700000),VLOOKUP(950000,源泉DB!$B$256:$K$256,L181+3)+ROUNDDOWN((K181-950000)*33.693%,0),IF(AND(K181&gt;780000,K181&lt;950000),VLOOKUP(780000,源泉DB!$B$255:$K$255,L181+3)+ROUNDDOWN((K181-780000)*23.483%,0),IF(AND(K181&gt;740000,K181&lt;780000),VLOOKUP(740000,源泉DB!$B$254:$K$254,L181+3)+ROUNDDOWN((K181-740000)*20.42%,0),VLOOKUP(K181,源泉DB!$B$8:$K$299,L181+3))))))))),IF(F181="乙",IF(K181&gt;1700000,651900+(K181-1700000) *45.945%,IF(K181=1700000,651900,IF(AND(K181&gt;740000,K181&lt;1700000),259800+(K181-740000)*40.84%,IF(K181=740000,259800,IF(K181&lt;88000,ROUNDDOWN(K181*3.063%,9),VLOOKUP(K181,源泉DB!$B$8:$L$254,11)))))),"")),"")</f>
        <v/>
      </c>
      <c r="U181" s="165"/>
      <c r="V181" s="166"/>
      <c r="W181" s="166"/>
      <c r="X181" s="166"/>
      <c r="Y181" s="166"/>
      <c r="Z181" s="178">
        <f>ROUND(IFERROR(IF(($G181="加入"),VLOOKUP($I181,年金DB!$G$16:$P$65,6,TRUE),0),0)-0.1,0)</f>
        <v>0</v>
      </c>
      <c r="AA181" s="178">
        <f>ROUND(IFERROR(IF(AND($G181="加入",$D181&gt;=40,$D181&lt;=64),VLOOKUP($I181,年金DB!$G$16:$P$65,10,TRUE),0),0)-0.1,0)</f>
        <v>0</v>
      </c>
      <c r="AB181" s="178">
        <f>ROUND(IFERROR(IF(AND($G181="加入",$D181&lt;40),VLOOKUP($J181,年金DB!$G$16:$X$62,14,TRUE),IF(AND($G181="加入",$D181&gt;=40),VLOOKUP($J181,年金DB!$G$16:$X$62,14,TRUE),"0")),0)-0.1,0)</f>
        <v>0</v>
      </c>
      <c r="AC181" s="178">
        <f t="shared" si="20"/>
        <v>0</v>
      </c>
      <c r="AD181" s="21">
        <f t="shared" si="17"/>
        <v>0</v>
      </c>
      <c r="AE181" s="173">
        <f t="shared" si="18"/>
        <v>0</v>
      </c>
      <c r="AF181" s="14" t="str">
        <f t="shared" si="19"/>
        <v/>
      </c>
      <c r="AG181" s="14"/>
      <c r="AH181" s="14"/>
    </row>
    <row r="182" spans="1:34">
      <c r="A182" s="28"/>
      <c r="B182" s="180"/>
      <c r="C182" s="188"/>
      <c r="D182" s="161"/>
      <c r="E182" s="162"/>
      <c r="F182" s="162"/>
      <c r="G182" s="163"/>
      <c r="H182" s="285"/>
      <c r="I182" s="282"/>
      <c r="J182" s="16"/>
      <c r="K182" s="18">
        <f t="shared" si="15"/>
        <v>0</v>
      </c>
      <c r="L182" s="288">
        <v>0</v>
      </c>
      <c r="M182" s="291"/>
      <c r="N182" s="164"/>
      <c r="O182" s="164"/>
      <c r="P182" s="164"/>
      <c r="Q182" s="175">
        <f t="shared" si="21"/>
        <v>0</v>
      </c>
      <c r="R182" s="164"/>
      <c r="S182" s="197">
        <f t="shared" si="16"/>
        <v>0</v>
      </c>
      <c r="T182" s="201" t="str" cm="1">
        <f t="array" ref="T182">IFERROR(IF(F182="甲",IF(K182&gt;3500000,VLOOKUP(3500000,源泉DB!$B$261:$L$261,L182+3)+ROUNDDOWN((K182-3500000)*45.945%,0),IF(AND(K182&gt;2250000,K182&lt;3500000),VLOOKUP(2250000,源泉DB!$B$260:$K$260,L182+3)+ROUNDDOWN((K182-2250000)*40.84%,0),IF(AND(K182&gt;2210000,K182&lt;2250000),VLOOKUP(2210000,源泉DB!$B$259:$K$259,L182+3)+ROUNDDOWN((K182-2210000)*40.84%,0),IF(AND(K182&gt;2170000,K182&lt;2210000),VLOOKUP(2170000,源泉DB!$B$258:$K$258,L182+3)+ROUNDDOWN((K182-2170000)*40.84%,0),IF(AND(K182&gt;1700000,K182&lt;2170000),VLOOKUP(1700000,源泉DB!$B$257:$K$257,L182+3)+ROUNDDOWN((K182-1700000)*40.84%,0),IF(AND(K182&gt;950000,K182&lt;1700000),VLOOKUP(950000,源泉DB!$B$256:$K$256,L182+3)+ROUNDDOWN((K182-950000)*33.693%,0),IF(AND(K182&gt;780000,K182&lt;950000),VLOOKUP(780000,源泉DB!$B$255:$K$255,L182+3)+ROUNDDOWN((K182-780000)*23.483%,0),IF(AND(K182&gt;740000,K182&lt;780000),VLOOKUP(740000,源泉DB!$B$254:$K$254,L182+3)+ROUNDDOWN((K182-740000)*20.42%,0),VLOOKUP(K182,源泉DB!$B$8:$K$299,L182+3))))))))),IF(F182="乙",IF(K182&gt;1700000,651900+(K182-1700000) *45.945%,IF(K182=1700000,651900,IF(AND(K182&gt;740000,K182&lt;1700000),259800+(K182-740000)*40.84%,IF(K182=740000,259800,IF(K182&lt;88000,ROUNDDOWN(K182*3.063%,9),VLOOKUP(K182,源泉DB!$B$8:$L$254,11)))))),"")),"")</f>
        <v/>
      </c>
      <c r="U182" s="165"/>
      <c r="V182" s="166"/>
      <c r="W182" s="166"/>
      <c r="X182" s="166"/>
      <c r="Y182" s="166"/>
      <c r="Z182" s="178">
        <f>ROUND(IFERROR(IF(($G182="加入"),VLOOKUP($I182,年金DB!$G$16:$P$65,6,TRUE),0),0)-0.1,0)</f>
        <v>0</v>
      </c>
      <c r="AA182" s="178">
        <f>ROUND(IFERROR(IF(AND($G182="加入",$D182&gt;=40,$D182&lt;=64),VLOOKUP($I182,年金DB!$G$16:$P$65,10,TRUE),0),0)-0.1,0)</f>
        <v>0</v>
      </c>
      <c r="AB182" s="178">
        <f>ROUND(IFERROR(IF(AND($G182="加入",$D182&lt;40),VLOOKUP($J182,年金DB!$G$16:$X$62,14,TRUE),IF(AND($G182="加入",$D182&gt;=40),VLOOKUP($J182,年金DB!$G$16:$X$62,14,TRUE),"0")),0)-0.1,0)</f>
        <v>0</v>
      </c>
      <c r="AC182" s="178">
        <f t="shared" si="20"/>
        <v>0</v>
      </c>
      <c r="AD182" s="21">
        <f t="shared" si="17"/>
        <v>0</v>
      </c>
      <c r="AE182" s="173">
        <f t="shared" si="18"/>
        <v>0</v>
      </c>
      <c r="AF182" s="14" t="str">
        <f t="shared" si="19"/>
        <v/>
      </c>
      <c r="AG182" s="14"/>
      <c r="AH182" s="14"/>
    </row>
    <row r="183" spans="1:34">
      <c r="A183" s="28"/>
      <c r="B183" s="180"/>
      <c r="C183" s="188"/>
      <c r="D183" s="161"/>
      <c r="E183" s="162"/>
      <c r="F183" s="162"/>
      <c r="G183" s="163"/>
      <c r="H183" s="285"/>
      <c r="I183" s="282"/>
      <c r="J183" s="16"/>
      <c r="K183" s="18">
        <f t="shared" si="15"/>
        <v>0</v>
      </c>
      <c r="L183" s="288">
        <v>0</v>
      </c>
      <c r="M183" s="291"/>
      <c r="N183" s="164"/>
      <c r="O183" s="164"/>
      <c r="P183" s="164"/>
      <c r="Q183" s="175">
        <f t="shared" si="21"/>
        <v>0</v>
      </c>
      <c r="R183" s="164"/>
      <c r="S183" s="197">
        <f t="shared" si="16"/>
        <v>0</v>
      </c>
      <c r="T183" s="201" t="str" cm="1">
        <f t="array" ref="T183">IFERROR(IF(F183="甲",IF(K183&gt;3500000,VLOOKUP(3500000,源泉DB!$B$261:$L$261,L183+3)+ROUNDDOWN((K183-3500000)*45.945%,0),IF(AND(K183&gt;2250000,K183&lt;3500000),VLOOKUP(2250000,源泉DB!$B$260:$K$260,L183+3)+ROUNDDOWN((K183-2250000)*40.84%,0),IF(AND(K183&gt;2210000,K183&lt;2250000),VLOOKUP(2210000,源泉DB!$B$259:$K$259,L183+3)+ROUNDDOWN((K183-2210000)*40.84%,0),IF(AND(K183&gt;2170000,K183&lt;2210000),VLOOKUP(2170000,源泉DB!$B$258:$K$258,L183+3)+ROUNDDOWN((K183-2170000)*40.84%,0),IF(AND(K183&gt;1700000,K183&lt;2170000),VLOOKUP(1700000,源泉DB!$B$257:$K$257,L183+3)+ROUNDDOWN((K183-1700000)*40.84%,0),IF(AND(K183&gt;950000,K183&lt;1700000),VLOOKUP(950000,源泉DB!$B$256:$K$256,L183+3)+ROUNDDOWN((K183-950000)*33.693%,0),IF(AND(K183&gt;780000,K183&lt;950000),VLOOKUP(780000,源泉DB!$B$255:$K$255,L183+3)+ROUNDDOWN((K183-780000)*23.483%,0),IF(AND(K183&gt;740000,K183&lt;780000),VLOOKUP(740000,源泉DB!$B$254:$K$254,L183+3)+ROUNDDOWN((K183-740000)*20.42%,0),VLOOKUP(K183,源泉DB!$B$8:$K$299,L183+3))))))))),IF(F183="乙",IF(K183&gt;1700000,651900+(K183-1700000) *45.945%,IF(K183=1700000,651900,IF(AND(K183&gt;740000,K183&lt;1700000),259800+(K183-740000)*40.84%,IF(K183=740000,259800,IF(K183&lt;88000,ROUNDDOWN(K183*3.063%,9),VLOOKUP(K183,源泉DB!$B$8:$L$254,11)))))),"")),"")</f>
        <v/>
      </c>
      <c r="U183" s="165"/>
      <c r="V183" s="166"/>
      <c r="W183" s="166"/>
      <c r="X183" s="166"/>
      <c r="Y183" s="166"/>
      <c r="Z183" s="178">
        <f>ROUND(IFERROR(IF(($G183="加入"),VLOOKUP($I183,年金DB!$G$16:$P$65,6,TRUE),0),0)-0.1,0)</f>
        <v>0</v>
      </c>
      <c r="AA183" s="178">
        <f>ROUND(IFERROR(IF(AND($G183="加入",$D183&gt;=40,$D183&lt;=64),VLOOKUP($I183,年金DB!$G$16:$P$65,10,TRUE),0),0)-0.1,0)</f>
        <v>0</v>
      </c>
      <c r="AB183" s="178">
        <f>ROUND(IFERROR(IF(AND($G183="加入",$D183&lt;40),VLOOKUP($J183,年金DB!$G$16:$X$62,14,TRUE),IF(AND($G183="加入",$D183&gt;=40),VLOOKUP($J183,年金DB!$G$16:$X$62,14,TRUE),"0")),0)-0.1,0)</f>
        <v>0</v>
      </c>
      <c r="AC183" s="178">
        <f t="shared" si="20"/>
        <v>0</v>
      </c>
      <c r="AD183" s="21">
        <f t="shared" si="17"/>
        <v>0</v>
      </c>
      <c r="AE183" s="173">
        <f t="shared" si="18"/>
        <v>0</v>
      </c>
      <c r="AF183" s="14" t="str">
        <f t="shared" si="19"/>
        <v/>
      </c>
      <c r="AG183" s="14"/>
      <c r="AH183" s="14"/>
    </row>
    <row r="184" spans="1:34">
      <c r="A184" s="28"/>
      <c r="B184" s="180"/>
      <c r="C184" s="188"/>
      <c r="D184" s="161"/>
      <c r="E184" s="162"/>
      <c r="F184" s="162"/>
      <c r="G184" s="163"/>
      <c r="H184" s="285"/>
      <c r="I184" s="282"/>
      <c r="J184" s="16"/>
      <c r="K184" s="18">
        <f t="shared" si="15"/>
        <v>0</v>
      </c>
      <c r="L184" s="288">
        <v>0</v>
      </c>
      <c r="M184" s="291"/>
      <c r="N184" s="164"/>
      <c r="O184" s="164"/>
      <c r="P184" s="164"/>
      <c r="Q184" s="175">
        <f t="shared" si="21"/>
        <v>0</v>
      </c>
      <c r="R184" s="164"/>
      <c r="S184" s="197">
        <f t="shared" si="16"/>
        <v>0</v>
      </c>
      <c r="T184" s="201" t="str" cm="1">
        <f t="array" ref="T184">IFERROR(IF(F184="甲",IF(K184&gt;3500000,VLOOKUP(3500000,源泉DB!$B$261:$L$261,L184+3)+ROUNDDOWN((K184-3500000)*45.945%,0),IF(AND(K184&gt;2250000,K184&lt;3500000),VLOOKUP(2250000,源泉DB!$B$260:$K$260,L184+3)+ROUNDDOWN((K184-2250000)*40.84%,0),IF(AND(K184&gt;2210000,K184&lt;2250000),VLOOKUP(2210000,源泉DB!$B$259:$K$259,L184+3)+ROUNDDOWN((K184-2210000)*40.84%,0),IF(AND(K184&gt;2170000,K184&lt;2210000),VLOOKUP(2170000,源泉DB!$B$258:$K$258,L184+3)+ROUNDDOWN((K184-2170000)*40.84%,0),IF(AND(K184&gt;1700000,K184&lt;2170000),VLOOKUP(1700000,源泉DB!$B$257:$K$257,L184+3)+ROUNDDOWN((K184-1700000)*40.84%,0),IF(AND(K184&gt;950000,K184&lt;1700000),VLOOKUP(950000,源泉DB!$B$256:$K$256,L184+3)+ROUNDDOWN((K184-950000)*33.693%,0),IF(AND(K184&gt;780000,K184&lt;950000),VLOOKUP(780000,源泉DB!$B$255:$K$255,L184+3)+ROUNDDOWN((K184-780000)*23.483%,0),IF(AND(K184&gt;740000,K184&lt;780000),VLOOKUP(740000,源泉DB!$B$254:$K$254,L184+3)+ROUNDDOWN((K184-740000)*20.42%,0),VLOOKUP(K184,源泉DB!$B$8:$K$299,L184+3))))))))),IF(F184="乙",IF(K184&gt;1700000,651900+(K184-1700000) *45.945%,IF(K184=1700000,651900,IF(AND(K184&gt;740000,K184&lt;1700000),259800+(K184-740000)*40.84%,IF(K184=740000,259800,IF(K184&lt;88000,ROUNDDOWN(K184*3.063%,9),VLOOKUP(K184,源泉DB!$B$8:$L$254,11)))))),"")),"")</f>
        <v/>
      </c>
      <c r="U184" s="165"/>
      <c r="V184" s="166"/>
      <c r="W184" s="166"/>
      <c r="X184" s="166"/>
      <c r="Y184" s="166"/>
      <c r="Z184" s="178">
        <f>ROUND(IFERROR(IF(($G184="加入"),VLOOKUP($I184,年金DB!$G$16:$P$65,6,TRUE),0),0)-0.1,0)</f>
        <v>0</v>
      </c>
      <c r="AA184" s="178">
        <f>ROUND(IFERROR(IF(AND($G184="加入",$D184&gt;=40,$D184&lt;=64),VLOOKUP($I184,年金DB!$G$16:$P$65,10,TRUE),0),0)-0.1,0)</f>
        <v>0</v>
      </c>
      <c r="AB184" s="178">
        <f>ROUND(IFERROR(IF(AND($G184="加入",$D184&lt;40),VLOOKUP($J184,年金DB!$G$16:$X$62,14,TRUE),IF(AND($G184="加入",$D184&gt;=40),VLOOKUP($J184,年金DB!$G$16:$X$62,14,TRUE),"0")),0)-0.1,0)</f>
        <v>0</v>
      </c>
      <c r="AC184" s="178">
        <f t="shared" si="20"/>
        <v>0</v>
      </c>
      <c r="AD184" s="21">
        <f t="shared" si="17"/>
        <v>0</v>
      </c>
      <c r="AE184" s="173">
        <f t="shared" si="18"/>
        <v>0</v>
      </c>
      <c r="AF184" s="14" t="str">
        <f t="shared" si="19"/>
        <v/>
      </c>
      <c r="AG184" s="14"/>
      <c r="AH184" s="14"/>
    </row>
    <row r="185" spans="1:34">
      <c r="A185" s="28"/>
      <c r="B185" s="180"/>
      <c r="C185" s="188"/>
      <c r="D185" s="161"/>
      <c r="E185" s="162"/>
      <c r="F185" s="162"/>
      <c r="G185" s="163"/>
      <c r="H185" s="285"/>
      <c r="I185" s="282"/>
      <c r="J185" s="16"/>
      <c r="K185" s="18">
        <f t="shared" si="15"/>
        <v>0</v>
      </c>
      <c r="L185" s="288">
        <v>0</v>
      </c>
      <c r="M185" s="291"/>
      <c r="N185" s="164"/>
      <c r="O185" s="164"/>
      <c r="P185" s="164"/>
      <c r="Q185" s="175">
        <f t="shared" si="21"/>
        <v>0</v>
      </c>
      <c r="R185" s="164"/>
      <c r="S185" s="197">
        <f t="shared" si="16"/>
        <v>0</v>
      </c>
      <c r="T185" s="201" t="str" cm="1">
        <f t="array" ref="T185">IFERROR(IF(F185="甲",IF(K185&gt;3500000,VLOOKUP(3500000,源泉DB!$B$261:$L$261,L185+3)+ROUNDDOWN((K185-3500000)*45.945%,0),IF(AND(K185&gt;2250000,K185&lt;3500000),VLOOKUP(2250000,源泉DB!$B$260:$K$260,L185+3)+ROUNDDOWN((K185-2250000)*40.84%,0),IF(AND(K185&gt;2210000,K185&lt;2250000),VLOOKUP(2210000,源泉DB!$B$259:$K$259,L185+3)+ROUNDDOWN((K185-2210000)*40.84%,0),IF(AND(K185&gt;2170000,K185&lt;2210000),VLOOKUP(2170000,源泉DB!$B$258:$K$258,L185+3)+ROUNDDOWN((K185-2170000)*40.84%,0),IF(AND(K185&gt;1700000,K185&lt;2170000),VLOOKUP(1700000,源泉DB!$B$257:$K$257,L185+3)+ROUNDDOWN((K185-1700000)*40.84%,0),IF(AND(K185&gt;950000,K185&lt;1700000),VLOOKUP(950000,源泉DB!$B$256:$K$256,L185+3)+ROUNDDOWN((K185-950000)*33.693%,0),IF(AND(K185&gt;780000,K185&lt;950000),VLOOKUP(780000,源泉DB!$B$255:$K$255,L185+3)+ROUNDDOWN((K185-780000)*23.483%,0),IF(AND(K185&gt;740000,K185&lt;780000),VLOOKUP(740000,源泉DB!$B$254:$K$254,L185+3)+ROUNDDOWN((K185-740000)*20.42%,0),VLOOKUP(K185,源泉DB!$B$8:$K$299,L185+3))))))))),IF(F185="乙",IF(K185&gt;1700000,651900+(K185-1700000) *45.945%,IF(K185=1700000,651900,IF(AND(K185&gt;740000,K185&lt;1700000),259800+(K185-740000)*40.84%,IF(K185=740000,259800,IF(K185&lt;88000,ROUNDDOWN(K185*3.063%,9),VLOOKUP(K185,源泉DB!$B$8:$L$254,11)))))),"")),"")</f>
        <v/>
      </c>
      <c r="U185" s="165"/>
      <c r="V185" s="166"/>
      <c r="W185" s="166"/>
      <c r="X185" s="166"/>
      <c r="Y185" s="166"/>
      <c r="Z185" s="178">
        <f>ROUND(IFERROR(IF(($G185="加入"),VLOOKUP($I185,年金DB!$G$16:$P$65,6,TRUE),0),0)-0.1,0)</f>
        <v>0</v>
      </c>
      <c r="AA185" s="178">
        <f>ROUND(IFERROR(IF(AND($G185="加入",$D185&gt;=40,$D185&lt;=64),VLOOKUP($I185,年金DB!$G$16:$P$65,10,TRUE),0),0)-0.1,0)</f>
        <v>0</v>
      </c>
      <c r="AB185" s="178">
        <f>ROUND(IFERROR(IF(AND($G185="加入",$D185&lt;40),VLOOKUP($J185,年金DB!$G$16:$X$62,14,TRUE),IF(AND($G185="加入",$D185&gt;=40),VLOOKUP($J185,年金DB!$G$16:$X$62,14,TRUE),"0")),0)-0.1,0)</f>
        <v>0</v>
      </c>
      <c r="AC185" s="178">
        <f t="shared" si="20"/>
        <v>0</v>
      </c>
      <c r="AD185" s="21">
        <f t="shared" si="17"/>
        <v>0</v>
      </c>
      <c r="AE185" s="173">
        <f t="shared" si="18"/>
        <v>0</v>
      </c>
      <c r="AF185" s="14" t="str">
        <f t="shared" si="19"/>
        <v/>
      </c>
      <c r="AG185" s="14"/>
      <c r="AH185" s="14"/>
    </row>
    <row r="186" spans="1:34">
      <c r="A186" s="28"/>
      <c r="B186" s="180"/>
      <c r="C186" s="188"/>
      <c r="D186" s="161"/>
      <c r="E186" s="162"/>
      <c r="F186" s="162"/>
      <c r="G186" s="163"/>
      <c r="H186" s="285"/>
      <c r="I186" s="282"/>
      <c r="J186" s="16"/>
      <c r="K186" s="18">
        <f t="shared" si="15"/>
        <v>0</v>
      </c>
      <c r="L186" s="288">
        <v>0</v>
      </c>
      <c r="M186" s="291"/>
      <c r="N186" s="164"/>
      <c r="O186" s="164"/>
      <c r="P186" s="164"/>
      <c r="Q186" s="175">
        <f t="shared" si="21"/>
        <v>0</v>
      </c>
      <c r="R186" s="164"/>
      <c r="S186" s="197">
        <f t="shared" si="16"/>
        <v>0</v>
      </c>
      <c r="T186" s="201" t="str" cm="1">
        <f t="array" ref="T186">IFERROR(IF(F186="甲",IF(K186&gt;3500000,VLOOKUP(3500000,源泉DB!$B$261:$L$261,L186+3)+ROUNDDOWN((K186-3500000)*45.945%,0),IF(AND(K186&gt;2250000,K186&lt;3500000),VLOOKUP(2250000,源泉DB!$B$260:$K$260,L186+3)+ROUNDDOWN((K186-2250000)*40.84%,0),IF(AND(K186&gt;2210000,K186&lt;2250000),VLOOKUP(2210000,源泉DB!$B$259:$K$259,L186+3)+ROUNDDOWN((K186-2210000)*40.84%,0),IF(AND(K186&gt;2170000,K186&lt;2210000),VLOOKUP(2170000,源泉DB!$B$258:$K$258,L186+3)+ROUNDDOWN((K186-2170000)*40.84%,0),IF(AND(K186&gt;1700000,K186&lt;2170000),VLOOKUP(1700000,源泉DB!$B$257:$K$257,L186+3)+ROUNDDOWN((K186-1700000)*40.84%,0),IF(AND(K186&gt;950000,K186&lt;1700000),VLOOKUP(950000,源泉DB!$B$256:$K$256,L186+3)+ROUNDDOWN((K186-950000)*33.693%,0),IF(AND(K186&gt;780000,K186&lt;950000),VLOOKUP(780000,源泉DB!$B$255:$K$255,L186+3)+ROUNDDOWN((K186-780000)*23.483%,0),IF(AND(K186&gt;740000,K186&lt;780000),VLOOKUP(740000,源泉DB!$B$254:$K$254,L186+3)+ROUNDDOWN((K186-740000)*20.42%,0),VLOOKUP(K186,源泉DB!$B$8:$K$299,L186+3))))))))),IF(F186="乙",IF(K186&gt;1700000,651900+(K186-1700000) *45.945%,IF(K186=1700000,651900,IF(AND(K186&gt;740000,K186&lt;1700000),259800+(K186-740000)*40.84%,IF(K186=740000,259800,IF(K186&lt;88000,ROUNDDOWN(K186*3.063%,9),VLOOKUP(K186,源泉DB!$B$8:$L$254,11)))))),"")),"")</f>
        <v/>
      </c>
      <c r="U186" s="165"/>
      <c r="V186" s="166"/>
      <c r="W186" s="166"/>
      <c r="X186" s="166"/>
      <c r="Y186" s="166"/>
      <c r="Z186" s="178">
        <f>ROUND(IFERROR(IF(($G186="加入"),VLOOKUP($I186,年金DB!$G$16:$P$65,6,TRUE),0),0)-0.1,0)</f>
        <v>0</v>
      </c>
      <c r="AA186" s="178">
        <f>ROUND(IFERROR(IF(AND($G186="加入",$D186&gt;=40,$D186&lt;=64),VLOOKUP($I186,年金DB!$G$16:$P$65,10,TRUE),0),0)-0.1,0)</f>
        <v>0</v>
      </c>
      <c r="AB186" s="178">
        <f>ROUND(IFERROR(IF(AND($G186="加入",$D186&lt;40),VLOOKUP($J186,年金DB!$G$16:$X$62,14,TRUE),IF(AND($G186="加入",$D186&gt;=40),VLOOKUP($J186,年金DB!$G$16:$X$62,14,TRUE),"0")),0)-0.1,0)</f>
        <v>0</v>
      </c>
      <c r="AC186" s="178">
        <f t="shared" si="20"/>
        <v>0</v>
      </c>
      <c r="AD186" s="21">
        <f t="shared" si="17"/>
        <v>0</v>
      </c>
      <c r="AE186" s="173">
        <f t="shared" si="18"/>
        <v>0</v>
      </c>
      <c r="AF186" s="14" t="str">
        <f t="shared" si="19"/>
        <v/>
      </c>
      <c r="AG186" s="14"/>
      <c r="AH186" s="14"/>
    </row>
    <row r="187" spans="1:34">
      <c r="A187" s="28"/>
      <c r="B187" s="180"/>
      <c r="C187" s="188"/>
      <c r="D187" s="161"/>
      <c r="E187" s="162"/>
      <c r="F187" s="162"/>
      <c r="G187" s="163"/>
      <c r="H187" s="285"/>
      <c r="I187" s="282"/>
      <c r="J187" s="16"/>
      <c r="K187" s="18">
        <f t="shared" si="15"/>
        <v>0</v>
      </c>
      <c r="L187" s="288">
        <v>0</v>
      </c>
      <c r="M187" s="291"/>
      <c r="N187" s="164"/>
      <c r="O187" s="164"/>
      <c r="P187" s="164"/>
      <c r="Q187" s="175">
        <f t="shared" si="21"/>
        <v>0</v>
      </c>
      <c r="R187" s="164"/>
      <c r="S187" s="197">
        <f t="shared" si="16"/>
        <v>0</v>
      </c>
      <c r="T187" s="201" t="str" cm="1">
        <f t="array" ref="T187">IFERROR(IF(F187="甲",IF(K187&gt;3500000,VLOOKUP(3500000,源泉DB!$B$261:$L$261,L187+3)+ROUNDDOWN((K187-3500000)*45.945%,0),IF(AND(K187&gt;2250000,K187&lt;3500000),VLOOKUP(2250000,源泉DB!$B$260:$K$260,L187+3)+ROUNDDOWN((K187-2250000)*40.84%,0),IF(AND(K187&gt;2210000,K187&lt;2250000),VLOOKUP(2210000,源泉DB!$B$259:$K$259,L187+3)+ROUNDDOWN((K187-2210000)*40.84%,0),IF(AND(K187&gt;2170000,K187&lt;2210000),VLOOKUP(2170000,源泉DB!$B$258:$K$258,L187+3)+ROUNDDOWN((K187-2170000)*40.84%,0),IF(AND(K187&gt;1700000,K187&lt;2170000),VLOOKUP(1700000,源泉DB!$B$257:$K$257,L187+3)+ROUNDDOWN((K187-1700000)*40.84%,0),IF(AND(K187&gt;950000,K187&lt;1700000),VLOOKUP(950000,源泉DB!$B$256:$K$256,L187+3)+ROUNDDOWN((K187-950000)*33.693%,0),IF(AND(K187&gt;780000,K187&lt;950000),VLOOKUP(780000,源泉DB!$B$255:$K$255,L187+3)+ROUNDDOWN((K187-780000)*23.483%,0),IF(AND(K187&gt;740000,K187&lt;780000),VLOOKUP(740000,源泉DB!$B$254:$K$254,L187+3)+ROUNDDOWN((K187-740000)*20.42%,0),VLOOKUP(K187,源泉DB!$B$8:$K$299,L187+3))))))))),IF(F187="乙",IF(K187&gt;1700000,651900+(K187-1700000) *45.945%,IF(K187=1700000,651900,IF(AND(K187&gt;740000,K187&lt;1700000),259800+(K187-740000)*40.84%,IF(K187=740000,259800,IF(K187&lt;88000,ROUNDDOWN(K187*3.063%,9),VLOOKUP(K187,源泉DB!$B$8:$L$254,11)))))),"")),"")</f>
        <v/>
      </c>
      <c r="U187" s="165"/>
      <c r="V187" s="166"/>
      <c r="W187" s="166"/>
      <c r="X187" s="166"/>
      <c r="Y187" s="166"/>
      <c r="Z187" s="178">
        <f>ROUND(IFERROR(IF(($G187="加入"),VLOOKUP($I187,年金DB!$G$16:$P$65,6,TRUE),0),0)-0.1,0)</f>
        <v>0</v>
      </c>
      <c r="AA187" s="178">
        <f>ROUND(IFERROR(IF(AND($G187="加入",$D187&gt;=40,$D187&lt;=64),VLOOKUP($I187,年金DB!$G$16:$P$65,10,TRUE),0),0)-0.1,0)</f>
        <v>0</v>
      </c>
      <c r="AB187" s="178">
        <f>ROUND(IFERROR(IF(AND($G187="加入",$D187&lt;40),VLOOKUP($J187,年金DB!$G$16:$X$62,14,TRUE),IF(AND($G187="加入",$D187&gt;=40),VLOOKUP($J187,年金DB!$G$16:$X$62,14,TRUE),"0")),0)-0.1,0)</f>
        <v>0</v>
      </c>
      <c r="AC187" s="178">
        <f t="shared" si="20"/>
        <v>0</v>
      </c>
      <c r="AD187" s="21">
        <f t="shared" si="17"/>
        <v>0</v>
      </c>
      <c r="AE187" s="173">
        <f t="shared" si="18"/>
        <v>0</v>
      </c>
      <c r="AF187" s="14" t="str">
        <f t="shared" si="19"/>
        <v/>
      </c>
      <c r="AG187" s="14"/>
      <c r="AH187" s="14"/>
    </row>
    <row r="188" spans="1:34">
      <c r="A188" s="28"/>
      <c r="B188" s="180"/>
      <c r="C188" s="188"/>
      <c r="D188" s="161"/>
      <c r="E188" s="162"/>
      <c r="F188" s="162"/>
      <c r="G188" s="163"/>
      <c r="H188" s="285"/>
      <c r="I188" s="282"/>
      <c r="J188" s="16"/>
      <c r="K188" s="18">
        <f t="shared" si="15"/>
        <v>0</v>
      </c>
      <c r="L188" s="288">
        <v>0</v>
      </c>
      <c r="M188" s="291"/>
      <c r="N188" s="164"/>
      <c r="O188" s="164"/>
      <c r="P188" s="164"/>
      <c r="Q188" s="175">
        <f t="shared" si="21"/>
        <v>0</v>
      </c>
      <c r="R188" s="164"/>
      <c r="S188" s="197">
        <f t="shared" si="16"/>
        <v>0</v>
      </c>
      <c r="T188" s="201" t="str" cm="1">
        <f t="array" ref="T188">IFERROR(IF(F188="甲",IF(K188&gt;3500000,VLOOKUP(3500000,源泉DB!$B$261:$L$261,L188+3)+ROUNDDOWN((K188-3500000)*45.945%,0),IF(AND(K188&gt;2250000,K188&lt;3500000),VLOOKUP(2250000,源泉DB!$B$260:$K$260,L188+3)+ROUNDDOWN((K188-2250000)*40.84%,0),IF(AND(K188&gt;2210000,K188&lt;2250000),VLOOKUP(2210000,源泉DB!$B$259:$K$259,L188+3)+ROUNDDOWN((K188-2210000)*40.84%,0),IF(AND(K188&gt;2170000,K188&lt;2210000),VLOOKUP(2170000,源泉DB!$B$258:$K$258,L188+3)+ROUNDDOWN((K188-2170000)*40.84%,0),IF(AND(K188&gt;1700000,K188&lt;2170000),VLOOKUP(1700000,源泉DB!$B$257:$K$257,L188+3)+ROUNDDOWN((K188-1700000)*40.84%,0),IF(AND(K188&gt;950000,K188&lt;1700000),VLOOKUP(950000,源泉DB!$B$256:$K$256,L188+3)+ROUNDDOWN((K188-950000)*33.693%,0),IF(AND(K188&gt;780000,K188&lt;950000),VLOOKUP(780000,源泉DB!$B$255:$K$255,L188+3)+ROUNDDOWN((K188-780000)*23.483%,0),IF(AND(K188&gt;740000,K188&lt;780000),VLOOKUP(740000,源泉DB!$B$254:$K$254,L188+3)+ROUNDDOWN((K188-740000)*20.42%,0),VLOOKUP(K188,源泉DB!$B$8:$K$299,L188+3))))))))),IF(F188="乙",IF(K188&gt;1700000,651900+(K188-1700000) *45.945%,IF(K188=1700000,651900,IF(AND(K188&gt;740000,K188&lt;1700000),259800+(K188-740000)*40.84%,IF(K188=740000,259800,IF(K188&lt;88000,ROUNDDOWN(K188*3.063%,9),VLOOKUP(K188,源泉DB!$B$8:$L$254,11)))))),"")),"")</f>
        <v/>
      </c>
      <c r="U188" s="165"/>
      <c r="V188" s="166"/>
      <c r="W188" s="166"/>
      <c r="X188" s="166"/>
      <c r="Y188" s="166"/>
      <c r="Z188" s="178">
        <f>ROUND(IFERROR(IF(($G188="加入"),VLOOKUP($I188,年金DB!$G$16:$P$65,6,TRUE),0),0)-0.1,0)</f>
        <v>0</v>
      </c>
      <c r="AA188" s="178">
        <f>ROUND(IFERROR(IF(AND($G188="加入",$D188&gt;=40,$D188&lt;=64),VLOOKUP($I188,年金DB!$G$16:$P$65,10,TRUE),0),0)-0.1,0)</f>
        <v>0</v>
      </c>
      <c r="AB188" s="178">
        <f>ROUND(IFERROR(IF(AND($G188="加入",$D188&lt;40),VLOOKUP($J188,年金DB!$G$16:$X$62,14,TRUE),IF(AND($G188="加入",$D188&gt;=40),VLOOKUP($J188,年金DB!$G$16:$X$62,14,TRUE),"0")),0)-0.1,0)</f>
        <v>0</v>
      </c>
      <c r="AC188" s="178">
        <f t="shared" si="20"/>
        <v>0</v>
      </c>
      <c r="AD188" s="21">
        <f t="shared" si="17"/>
        <v>0</v>
      </c>
      <c r="AE188" s="173">
        <f t="shared" si="18"/>
        <v>0</v>
      </c>
      <c r="AF188" s="14" t="str">
        <f t="shared" si="19"/>
        <v/>
      </c>
      <c r="AG188" s="14"/>
      <c r="AH188" s="14"/>
    </row>
    <row r="189" spans="1:34">
      <c r="A189" s="28"/>
      <c r="B189" s="180"/>
      <c r="C189" s="188"/>
      <c r="D189" s="161"/>
      <c r="E189" s="162"/>
      <c r="F189" s="162"/>
      <c r="G189" s="163"/>
      <c r="H189" s="285"/>
      <c r="I189" s="282"/>
      <c r="J189" s="16"/>
      <c r="K189" s="18">
        <f t="shared" si="15"/>
        <v>0</v>
      </c>
      <c r="L189" s="288">
        <v>0</v>
      </c>
      <c r="M189" s="291"/>
      <c r="N189" s="164"/>
      <c r="O189" s="164"/>
      <c r="P189" s="164"/>
      <c r="Q189" s="175">
        <f t="shared" si="21"/>
        <v>0</v>
      </c>
      <c r="R189" s="164"/>
      <c r="S189" s="197">
        <f t="shared" si="16"/>
        <v>0</v>
      </c>
      <c r="T189" s="201" t="str" cm="1">
        <f t="array" ref="T189">IFERROR(IF(F189="甲",IF(K189&gt;3500000,VLOOKUP(3500000,源泉DB!$B$261:$L$261,L189+3)+ROUNDDOWN((K189-3500000)*45.945%,0),IF(AND(K189&gt;2250000,K189&lt;3500000),VLOOKUP(2250000,源泉DB!$B$260:$K$260,L189+3)+ROUNDDOWN((K189-2250000)*40.84%,0),IF(AND(K189&gt;2210000,K189&lt;2250000),VLOOKUP(2210000,源泉DB!$B$259:$K$259,L189+3)+ROUNDDOWN((K189-2210000)*40.84%,0),IF(AND(K189&gt;2170000,K189&lt;2210000),VLOOKUP(2170000,源泉DB!$B$258:$K$258,L189+3)+ROUNDDOWN((K189-2170000)*40.84%,0),IF(AND(K189&gt;1700000,K189&lt;2170000),VLOOKUP(1700000,源泉DB!$B$257:$K$257,L189+3)+ROUNDDOWN((K189-1700000)*40.84%,0),IF(AND(K189&gt;950000,K189&lt;1700000),VLOOKUP(950000,源泉DB!$B$256:$K$256,L189+3)+ROUNDDOWN((K189-950000)*33.693%,0),IF(AND(K189&gt;780000,K189&lt;950000),VLOOKUP(780000,源泉DB!$B$255:$K$255,L189+3)+ROUNDDOWN((K189-780000)*23.483%,0),IF(AND(K189&gt;740000,K189&lt;780000),VLOOKUP(740000,源泉DB!$B$254:$K$254,L189+3)+ROUNDDOWN((K189-740000)*20.42%,0),VLOOKUP(K189,源泉DB!$B$8:$K$299,L189+3))))))))),IF(F189="乙",IF(K189&gt;1700000,651900+(K189-1700000) *45.945%,IF(K189=1700000,651900,IF(AND(K189&gt;740000,K189&lt;1700000),259800+(K189-740000)*40.84%,IF(K189=740000,259800,IF(K189&lt;88000,ROUNDDOWN(K189*3.063%,9),VLOOKUP(K189,源泉DB!$B$8:$L$254,11)))))),"")),"")</f>
        <v/>
      </c>
      <c r="U189" s="165"/>
      <c r="V189" s="166"/>
      <c r="W189" s="166"/>
      <c r="X189" s="166"/>
      <c r="Y189" s="166"/>
      <c r="Z189" s="178">
        <f>ROUND(IFERROR(IF(($G189="加入"),VLOOKUP($I189,年金DB!$G$16:$P$65,6,TRUE),0),0)-0.1,0)</f>
        <v>0</v>
      </c>
      <c r="AA189" s="178">
        <f>ROUND(IFERROR(IF(AND($G189="加入",$D189&gt;=40,$D189&lt;=64),VLOOKUP($I189,年金DB!$G$16:$P$65,10,TRUE),0),0)-0.1,0)</f>
        <v>0</v>
      </c>
      <c r="AB189" s="178">
        <f>ROUND(IFERROR(IF(AND($G189="加入",$D189&lt;40),VLOOKUP($J189,年金DB!$G$16:$X$62,14,TRUE),IF(AND($G189="加入",$D189&gt;=40),VLOOKUP($J189,年金DB!$G$16:$X$62,14,TRUE),"0")),0)-0.1,0)</f>
        <v>0</v>
      </c>
      <c r="AC189" s="178">
        <f t="shared" si="20"/>
        <v>0</v>
      </c>
      <c r="AD189" s="21">
        <f t="shared" si="17"/>
        <v>0</v>
      </c>
      <c r="AE189" s="173">
        <f t="shared" si="18"/>
        <v>0</v>
      </c>
      <c r="AF189" s="14" t="str">
        <f t="shared" si="19"/>
        <v/>
      </c>
      <c r="AG189" s="14"/>
      <c r="AH189" s="14"/>
    </row>
    <row r="190" spans="1:34">
      <c r="A190" s="28"/>
      <c r="B190" s="180"/>
      <c r="C190" s="188"/>
      <c r="D190" s="161"/>
      <c r="E190" s="162"/>
      <c r="F190" s="162"/>
      <c r="G190" s="163"/>
      <c r="H190" s="285"/>
      <c r="I190" s="282"/>
      <c r="J190" s="16"/>
      <c r="K190" s="18">
        <f t="shared" si="15"/>
        <v>0</v>
      </c>
      <c r="L190" s="288">
        <v>0</v>
      </c>
      <c r="M190" s="291"/>
      <c r="N190" s="164"/>
      <c r="O190" s="164"/>
      <c r="P190" s="164"/>
      <c r="Q190" s="175">
        <f t="shared" si="21"/>
        <v>0</v>
      </c>
      <c r="R190" s="164"/>
      <c r="S190" s="197">
        <f t="shared" si="16"/>
        <v>0</v>
      </c>
      <c r="T190" s="201" t="str" cm="1">
        <f t="array" ref="T190">IFERROR(IF(F190="甲",IF(K190&gt;3500000,VLOOKUP(3500000,源泉DB!$B$261:$L$261,L190+3)+ROUNDDOWN((K190-3500000)*45.945%,0),IF(AND(K190&gt;2250000,K190&lt;3500000),VLOOKUP(2250000,源泉DB!$B$260:$K$260,L190+3)+ROUNDDOWN((K190-2250000)*40.84%,0),IF(AND(K190&gt;2210000,K190&lt;2250000),VLOOKUP(2210000,源泉DB!$B$259:$K$259,L190+3)+ROUNDDOWN((K190-2210000)*40.84%,0),IF(AND(K190&gt;2170000,K190&lt;2210000),VLOOKUP(2170000,源泉DB!$B$258:$K$258,L190+3)+ROUNDDOWN((K190-2170000)*40.84%,0),IF(AND(K190&gt;1700000,K190&lt;2170000),VLOOKUP(1700000,源泉DB!$B$257:$K$257,L190+3)+ROUNDDOWN((K190-1700000)*40.84%,0),IF(AND(K190&gt;950000,K190&lt;1700000),VLOOKUP(950000,源泉DB!$B$256:$K$256,L190+3)+ROUNDDOWN((K190-950000)*33.693%,0),IF(AND(K190&gt;780000,K190&lt;950000),VLOOKUP(780000,源泉DB!$B$255:$K$255,L190+3)+ROUNDDOWN((K190-780000)*23.483%,0),IF(AND(K190&gt;740000,K190&lt;780000),VLOOKUP(740000,源泉DB!$B$254:$K$254,L190+3)+ROUNDDOWN((K190-740000)*20.42%,0),VLOOKUP(K190,源泉DB!$B$8:$K$299,L190+3))))))))),IF(F190="乙",IF(K190&gt;1700000,651900+(K190-1700000) *45.945%,IF(K190=1700000,651900,IF(AND(K190&gt;740000,K190&lt;1700000),259800+(K190-740000)*40.84%,IF(K190=740000,259800,IF(K190&lt;88000,ROUNDDOWN(K190*3.063%,9),VLOOKUP(K190,源泉DB!$B$8:$L$254,11)))))),"")),"")</f>
        <v/>
      </c>
      <c r="U190" s="165"/>
      <c r="V190" s="166"/>
      <c r="W190" s="166"/>
      <c r="X190" s="166"/>
      <c r="Y190" s="166"/>
      <c r="Z190" s="178">
        <f>ROUND(IFERROR(IF(($G190="加入"),VLOOKUP($I190,年金DB!$G$16:$P$65,6,TRUE),0),0)-0.1,0)</f>
        <v>0</v>
      </c>
      <c r="AA190" s="178">
        <f>ROUND(IFERROR(IF(AND($G190="加入",$D190&gt;=40,$D190&lt;=64),VLOOKUP($I190,年金DB!$G$16:$P$65,10,TRUE),0),0)-0.1,0)</f>
        <v>0</v>
      </c>
      <c r="AB190" s="178">
        <f>ROUND(IFERROR(IF(AND($G190="加入",$D190&lt;40),VLOOKUP($J190,年金DB!$G$16:$X$62,14,TRUE),IF(AND($G190="加入",$D190&gt;=40),VLOOKUP($J190,年金DB!$G$16:$X$62,14,TRUE),"0")),0)-0.1,0)</f>
        <v>0</v>
      </c>
      <c r="AC190" s="178">
        <f t="shared" si="20"/>
        <v>0</v>
      </c>
      <c r="AD190" s="21">
        <f t="shared" si="17"/>
        <v>0</v>
      </c>
      <c r="AE190" s="173">
        <f t="shared" si="18"/>
        <v>0</v>
      </c>
      <c r="AF190" s="14" t="str">
        <f t="shared" si="19"/>
        <v/>
      </c>
      <c r="AG190" s="14"/>
      <c r="AH190" s="14"/>
    </row>
    <row r="191" spans="1:34">
      <c r="A191" s="28"/>
      <c r="B191" s="180"/>
      <c r="C191" s="188"/>
      <c r="D191" s="161"/>
      <c r="E191" s="162"/>
      <c r="F191" s="162"/>
      <c r="G191" s="163"/>
      <c r="H191" s="285"/>
      <c r="I191" s="282"/>
      <c r="J191" s="16"/>
      <c r="K191" s="18">
        <f t="shared" si="15"/>
        <v>0</v>
      </c>
      <c r="L191" s="288">
        <v>0</v>
      </c>
      <c r="M191" s="291"/>
      <c r="N191" s="164"/>
      <c r="O191" s="164"/>
      <c r="P191" s="164"/>
      <c r="Q191" s="175">
        <f t="shared" si="21"/>
        <v>0</v>
      </c>
      <c r="R191" s="164"/>
      <c r="S191" s="197">
        <f t="shared" si="16"/>
        <v>0</v>
      </c>
      <c r="T191" s="201" t="str" cm="1">
        <f t="array" ref="T191">IFERROR(IF(F191="甲",IF(K191&gt;3500000,VLOOKUP(3500000,源泉DB!$B$261:$L$261,L191+3)+ROUNDDOWN((K191-3500000)*45.945%,0),IF(AND(K191&gt;2250000,K191&lt;3500000),VLOOKUP(2250000,源泉DB!$B$260:$K$260,L191+3)+ROUNDDOWN((K191-2250000)*40.84%,0),IF(AND(K191&gt;2210000,K191&lt;2250000),VLOOKUP(2210000,源泉DB!$B$259:$K$259,L191+3)+ROUNDDOWN((K191-2210000)*40.84%,0),IF(AND(K191&gt;2170000,K191&lt;2210000),VLOOKUP(2170000,源泉DB!$B$258:$K$258,L191+3)+ROUNDDOWN((K191-2170000)*40.84%,0),IF(AND(K191&gt;1700000,K191&lt;2170000),VLOOKUP(1700000,源泉DB!$B$257:$K$257,L191+3)+ROUNDDOWN((K191-1700000)*40.84%,0),IF(AND(K191&gt;950000,K191&lt;1700000),VLOOKUP(950000,源泉DB!$B$256:$K$256,L191+3)+ROUNDDOWN((K191-950000)*33.693%,0),IF(AND(K191&gt;780000,K191&lt;950000),VLOOKUP(780000,源泉DB!$B$255:$K$255,L191+3)+ROUNDDOWN((K191-780000)*23.483%,0),IF(AND(K191&gt;740000,K191&lt;780000),VLOOKUP(740000,源泉DB!$B$254:$K$254,L191+3)+ROUNDDOWN((K191-740000)*20.42%,0),VLOOKUP(K191,源泉DB!$B$8:$K$299,L191+3))))))))),IF(F191="乙",IF(K191&gt;1700000,651900+(K191-1700000) *45.945%,IF(K191=1700000,651900,IF(AND(K191&gt;740000,K191&lt;1700000),259800+(K191-740000)*40.84%,IF(K191=740000,259800,IF(K191&lt;88000,ROUNDDOWN(K191*3.063%,9),VLOOKUP(K191,源泉DB!$B$8:$L$254,11)))))),"")),"")</f>
        <v/>
      </c>
      <c r="U191" s="165"/>
      <c r="V191" s="166"/>
      <c r="W191" s="166"/>
      <c r="X191" s="166"/>
      <c r="Y191" s="166"/>
      <c r="Z191" s="178">
        <f>ROUND(IFERROR(IF(($G191="加入"),VLOOKUP($I191,年金DB!$G$16:$P$65,6,TRUE),0),0)-0.1,0)</f>
        <v>0</v>
      </c>
      <c r="AA191" s="178">
        <f>ROUND(IFERROR(IF(AND($G191="加入",$D191&gt;=40,$D191&lt;=64),VLOOKUP($I191,年金DB!$G$16:$P$65,10,TRUE),0),0)-0.1,0)</f>
        <v>0</v>
      </c>
      <c r="AB191" s="178">
        <f>ROUND(IFERROR(IF(AND($G191="加入",$D191&lt;40),VLOOKUP($J191,年金DB!$G$16:$X$62,14,TRUE),IF(AND($G191="加入",$D191&gt;=40),VLOOKUP($J191,年金DB!$G$16:$X$62,14,TRUE),"0")),0)-0.1,0)</f>
        <v>0</v>
      </c>
      <c r="AC191" s="178">
        <f t="shared" si="20"/>
        <v>0</v>
      </c>
      <c r="AD191" s="21">
        <f t="shared" si="17"/>
        <v>0</v>
      </c>
      <c r="AE191" s="173">
        <f t="shared" si="18"/>
        <v>0</v>
      </c>
      <c r="AF191" s="14" t="str">
        <f t="shared" si="19"/>
        <v/>
      </c>
      <c r="AG191" s="14"/>
      <c r="AH191" s="14"/>
    </row>
    <row r="192" spans="1:34">
      <c r="A192" s="28"/>
      <c r="B192" s="180"/>
      <c r="C192" s="188"/>
      <c r="D192" s="161"/>
      <c r="E192" s="162"/>
      <c r="F192" s="162"/>
      <c r="G192" s="163"/>
      <c r="H192" s="285"/>
      <c r="I192" s="282"/>
      <c r="J192" s="16"/>
      <c r="K192" s="18">
        <f t="shared" si="15"/>
        <v>0</v>
      </c>
      <c r="L192" s="288">
        <v>0</v>
      </c>
      <c r="M192" s="291"/>
      <c r="N192" s="164"/>
      <c r="O192" s="164"/>
      <c r="P192" s="164"/>
      <c r="Q192" s="175">
        <f t="shared" si="21"/>
        <v>0</v>
      </c>
      <c r="R192" s="164"/>
      <c r="S192" s="197">
        <f t="shared" si="16"/>
        <v>0</v>
      </c>
      <c r="T192" s="201" t="str" cm="1">
        <f t="array" ref="T192">IFERROR(IF(F192="甲",IF(K192&gt;3500000,VLOOKUP(3500000,源泉DB!$B$261:$L$261,L192+3)+ROUNDDOWN((K192-3500000)*45.945%,0),IF(AND(K192&gt;2250000,K192&lt;3500000),VLOOKUP(2250000,源泉DB!$B$260:$K$260,L192+3)+ROUNDDOWN((K192-2250000)*40.84%,0),IF(AND(K192&gt;2210000,K192&lt;2250000),VLOOKUP(2210000,源泉DB!$B$259:$K$259,L192+3)+ROUNDDOWN((K192-2210000)*40.84%,0),IF(AND(K192&gt;2170000,K192&lt;2210000),VLOOKUP(2170000,源泉DB!$B$258:$K$258,L192+3)+ROUNDDOWN((K192-2170000)*40.84%,0),IF(AND(K192&gt;1700000,K192&lt;2170000),VLOOKUP(1700000,源泉DB!$B$257:$K$257,L192+3)+ROUNDDOWN((K192-1700000)*40.84%,0),IF(AND(K192&gt;950000,K192&lt;1700000),VLOOKUP(950000,源泉DB!$B$256:$K$256,L192+3)+ROUNDDOWN((K192-950000)*33.693%,0),IF(AND(K192&gt;780000,K192&lt;950000),VLOOKUP(780000,源泉DB!$B$255:$K$255,L192+3)+ROUNDDOWN((K192-780000)*23.483%,0),IF(AND(K192&gt;740000,K192&lt;780000),VLOOKUP(740000,源泉DB!$B$254:$K$254,L192+3)+ROUNDDOWN((K192-740000)*20.42%,0),VLOOKUP(K192,源泉DB!$B$8:$K$299,L192+3))))))))),IF(F192="乙",IF(K192&gt;1700000,651900+(K192-1700000) *45.945%,IF(K192=1700000,651900,IF(AND(K192&gt;740000,K192&lt;1700000),259800+(K192-740000)*40.84%,IF(K192=740000,259800,IF(K192&lt;88000,ROUNDDOWN(K192*3.063%,9),VLOOKUP(K192,源泉DB!$B$8:$L$254,11)))))),"")),"")</f>
        <v/>
      </c>
      <c r="U192" s="165"/>
      <c r="V192" s="166"/>
      <c r="W192" s="166"/>
      <c r="X192" s="166"/>
      <c r="Y192" s="166"/>
      <c r="Z192" s="178">
        <f>ROUND(IFERROR(IF(($G192="加入"),VLOOKUP($I192,年金DB!$G$16:$P$65,6,TRUE),0),0)-0.1,0)</f>
        <v>0</v>
      </c>
      <c r="AA192" s="178">
        <f>ROUND(IFERROR(IF(AND($G192="加入",$D192&gt;=40,$D192&lt;=64),VLOOKUP($I192,年金DB!$G$16:$P$65,10,TRUE),0),0)-0.1,0)</f>
        <v>0</v>
      </c>
      <c r="AB192" s="178">
        <f>ROUND(IFERROR(IF(AND($G192="加入",$D192&lt;40),VLOOKUP($J192,年金DB!$G$16:$X$62,14,TRUE),IF(AND($G192="加入",$D192&gt;=40),VLOOKUP($J192,年金DB!$G$16:$X$62,14,TRUE),"0")),0)-0.1,0)</f>
        <v>0</v>
      </c>
      <c r="AC192" s="178">
        <f t="shared" si="20"/>
        <v>0</v>
      </c>
      <c r="AD192" s="21">
        <f t="shared" si="17"/>
        <v>0</v>
      </c>
      <c r="AE192" s="173">
        <f t="shared" si="18"/>
        <v>0</v>
      </c>
      <c r="AF192" s="14" t="str">
        <f t="shared" si="19"/>
        <v/>
      </c>
      <c r="AG192" s="14"/>
      <c r="AH192" s="14"/>
    </row>
    <row r="193" spans="1:34">
      <c r="A193" s="28"/>
      <c r="B193" s="180"/>
      <c r="C193" s="188"/>
      <c r="D193" s="161"/>
      <c r="E193" s="162"/>
      <c r="F193" s="162"/>
      <c r="G193" s="163"/>
      <c r="H193" s="285"/>
      <c r="I193" s="282"/>
      <c r="J193" s="16"/>
      <c r="K193" s="18">
        <f t="shared" si="15"/>
        <v>0</v>
      </c>
      <c r="L193" s="288">
        <v>0</v>
      </c>
      <c r="M193" s="291"/>
      <c r="N193" s="164"/>
      <c r="O193" s="164"/>
      <c r="P193" s="164"/>
      <c r="Q193" s="175">
        <f t="shared" si="21"/>
        <v>0</v>
      </c>
      <c r="R193" s="164"/>
      <c r="S193" s="197">
        <f t="shared" si="16"/>
        <v>0</v>
      </c>
      <c r="T193" s="201" t="str" cm="1">
        <f t="array" ref="T193">IFERROR(IF(F193="甲",IF(K193&gt;3500000,VLOOKUP(3500000,源泉DB!$B$261:$L$261,L193+3)+ROUNDDOWN((K193-3500000)*45.945%,0),IF(AND(K193&gt;2250000,K193&lt;3500000),VLOOKUP(2250000,源泉DB!$B$260:$K$260,L193+3)+ROUNDDOWN((K193-2250000)*40.84%,0),IF(AND(K193&gt;2210000,K193&lt;2250000),VLOOKUP(2210000,源泉DB!$B$259:$K$259,L193+3)+ROUNDDOWN((K193-2210000)*40.84%,0),IF(AND(K193&gt;2170000,K193&lt;2210000),VLOOKUP(2170000,源泉DB!$B$258:$K$258,L193+3)+ROUNDDOWN((K193-2170000)*40.84%,0),IF(AND(K193&gt;1700000,K193&lt;2170000),VLOOKUP(1700000,源泉DB!$B$257:$K$257,L193+3)+ROUNDDOWN((K193-1700000)*40.84%,0),IF(AND(K193&gt;950000,K193&lt;1700000),VLOOKUP(950000,源泉DB!$B$256:$K$256,L193+3)+ROUNDDOWN((K193-950000)*33.693%,0),IF(AND(K193&gt;780000,K193&lt;950000),VLOOKUP(780000,源泉DB!$B$255:$K$255,L193+3)+ROUNDDOWN((K193-780000)*23.483%,0),IF(AND(K193&gt;740000,K193&lt;780000),VLOOKUP(740000,源泉DB!$B$254:$K$254,L193+3)+ROUNDDOWN((K193-740000)*20.42%,0),VLOOKUP(K193,源泉DB!$B$8:$K$299,L193+3))))))))),IF(F193="乙",IF(K193&gt;1700000,651900+(K193-1700000) *45.945%,IF(K193=1700000,651900,IF(AND(K193&gt;740000,K193&lt;1700000),259800+(K193-740000)*40.84%,IF(K193=740000,259800,IF(K193&lt;88000,ROUNDDOWN(K193*3.063%,9),VLOOKUP(K193,源泉DB!$B$8:$L$254,11)))))),"")),"")</f>
        <v/>
      </c>
      <c r="U193" s="165"/>
      <c r="V193" s="166"/>
      <c r="W193" s="166"/>
      <c r="X193" s="166"/>
      <c r="Y193" s="166"/>
      <c r="Z193" s="178">
        <f>ROUND(IFERROR(IF(($G193="加入"),VLOOKUP($I193,年金DB!$G$16:$P$65,6,TRUE),0),0)-0.1,0)</f>
        <v>0</v>
      </c>
      <c r="AA193" s="178">
        <f>ROUND(IFERROR(IF(AND($G193="加入",$D193&gt;=40,$D193&lt;=64),VLOOKUP($I193,年金DB!$G$16:$P$65,10,TRUE),0),0)-0.1,0)</f>
        <v>0</v>
      </c>
      <c r="AB193" s="178">
        <f>ROUND(IFERROR(IF(AND($G193="加入",$D193&lt;40),VLOOKUP($J193,年金DB!$G$16:$X$62,14,TRUE),IF(AND($G193="加入",$D193&gt;=40),VLOOKUP($J193,年金DB!$G$16:$X$62,14,TRUE),"0")),0)-0.1,0)</f>
        <v>0</v>
      </c>
      <c r="AC193" s="178">
        <f t="shared" si="20"/>
        <v>0</v>
      </c>
      <c r="AD193" s="21">
        <f t="shared" si="17"/>
        <v>0</v>
      </c>
      <c r="AE193" s="173">
        <f t="shared" si="18"/>
        <v>0</v>
      </c>
      <c r="AF193" s="14" t="str">
        <f t="shared" si="19"/>
        <v/>
      </c>
      <c r="AG193" s="14"/>
      <c r="AH193" s="14"/>
    </row>
    <row r="194" spans="1:34">
      <c r="A194" s="28"/>
      <c r="B194" s="180"/>
      <c r="C194" s="188"/>
      <c r="D194" s="161"/>
      <c r="E194" s="162"/>
      <c r="F194" s="162"/>
      <c r="G194" s="163"/>
      <c r="H194" s="285"/>
      <c r="I194" s="282"/>
      <c r="J194" s="16"/>
      <c r="K194" s="18">
        <f t="shared" si="15"/>
        <v>0</v>
      </c>
      <c r="L194" s="288">
        <v>0</v>
      </c>
      <c r="M194" s="291"/>
      <c r="N194" s="164"/>
      <c r="O194" s="164"/>
      <c r="P194" s="164"/>
      <c r="Q194" s="175">
        <f t="shared" si="21"/>
        <v>0</v>
      </c>
      <c r="R194" s="164"/>
      <c r="S194" s="197">
        <f t="shared" si="16"/>
        <v>0</v>
      </c>
      <c r="T194" s="201" t="str" cm="1">
        <f t="array" ref="T194">IFERROR(IF(F194="甲",IF(K194&gt;3500000,VLOOKUP(3500000,源泉DB!$B$261:$L$261,L194+3)+ROUNDDOWN((K194-3500000)*45.945%,0),IF(AND(K194&gt;2250000,K194&lt;3500000),VLOOKUP(2250000,源泉DB!$B$260:$K$260,L194+3)+ROUNDDOWN((K194-2250000)*40.84%,0),IF(AND(K194&gt;2210000,K194&lt;2250000),VLOOKUP(2210000,源泉DB!$B$259:$K$259,L194+3)+ROUNDDOWN((K194-2210000)*40.84%,0),IF(AND(K194&gt;2170000,K194&lt;2210000),VLOOKUP(2170000,源泉DB!$B$258:$K$258,L194+3)+ROUNDDOWN((K194-2170000)*40.84%,0),IF(AND(K194&gt;1700000,K194&lt;2170000),VLOOKUP(1700000,源泉DB!$B$257:$K$257,L194+3)+ROUNDDOWN((K194-1700000)*40.84%,0),IF(AND(K194&gt;950000,K194&lt;1700000),VLOOKUP(950000,源泉DB!$B$256:$K$256,L194+3)+ROUNDDOWN((K194-950000)*33.693%,0),IF(AND(K194&gt;780000,K194&lt;950000),VLOOKUP(780000,源泉DB!$B$255:$K$255,L194+3)+ROUNDDOWN((K194-780000)*23.483%,0),IF(AND(K194&gt;740000,K194&lt;780000),VLOOKUP(740000,源泉DB!$B$254:$K$254,L194+3)+ROUNDDOWN((K194-740000)*20.42%,0),VLOOKUP(K194,源泉DB!$B$8:$K$299,L194+3))))))))),IF(F194="乙",IF(K194&gt;1700000,651900+(K194-1700000) *45.945%,IF(K194=1700000,651900,IF(AND(K194&gt;740000,K194&lt;1700000),259800+(K194-740000)*40.84%,IF(K194=740000,259800,IF(K194&lt;88000,ROUNDDOWN(K194*3.063%,9),VLOOKUP(K194,源泉DB!$B$8:$L$254,11)))))),"")),"")</f>
        <v/>
      </c>
      <c r="U194" s="165"/>
      <c r="V194" s="166"/>
      <c r="W194" s="166"/>
      <c r="X194" s="166"/>
      <c r="Y194" s="166"/>
      <c r="Z194" s="178">
        <f>ROUND(IFERROR(IF(($G194="加入"),VLOOKUP($I194,年金DB!$G$16:$P$65,6,TRUE),0),0)-0.1,0)</f>
        <v>0</v>
      </c>
      <c r="AA194" s="178">
        <f>ROUND(IFERROR(IF(AND($G194="加入",$D194&gt;=40,$D194&lt;=64),VLOOKUP($I194,年金DB!$G$16:$P$65,10,TRUE),0),0)-0.1,0)</f>
        <v>0</v>
      </c>
      <c r="AB194" s="178">
        <f>ROUND(IFERROR(IF(AND($G194="加入",$D194&lt;40),VLOOKUP($J194,年金DB!$G$16:$X$62,14,TRUE),IF(AND($G194="加入",$D194&gt;=40),VLOOKUP($J194,年金DB!$G$16:$X$62,14,TRUE),"0")),0)-0.1,0)</f>
        <v>0</v>
      </c>
      <c r="AC194" s="178">
        <f t="shared" si="20"/>
        <v>0</v>
      </c>
      <c r="AD194" s="21">
        <f t="shared" si="17"/>
        <v>0</v>
      </c>
      <c r="AE194" s="173">
        <f t="shared" si="18"/>
        <v>0</v>
      </c>
      <c r="AF194" s="14" t="str">
        <f t="shared" si="19"/>
        <v/>
      </c>
      <c r="AG194" s="14"/>
      <c r="AH194" s="14"/>
    </row>
    <row r="195" spans="1:34">
      <c r="A195" s="28"/>
      <c r="B195" s="180"/>
      <c r="C195" s="188"/>
      <c r="D195" s="161"/>
      <c r="E195" s="162"/>
      <c r="F195" s="162"/>
      <c r="G195" s="163"/>
      <c r="H195" s="285"/>
      <c r="I195" s="282"/>
      <c r="J195" s="16"/>
      <c r="K195" s="18">
        <f t="shared" si="15"/>
        <v>0</v>
      </c>
      <c r="L195" s="288">
        <v>0</v>
      </c>
      <c r="M195" s="291"/>
      <c r="N195" s="164"/>
      <c r="O195" s="164"/>
      <c r="P195" s="164"/>
      <c r="Q195" s="175">
        <f t="shared" si="21"/>
        <v>0</v>
      </c>
      <c r="R195" s="164"/>
      <c r="S195" s="197">
        <f t="shared" si="16"/>
        <v>0</v>
      </c>
      <c r="T195" s="201" t="str" cm="1">
        <f t="array" ref="T195">IFERROR(IF(F195="甲",IF(K195&gt;3500000,VLOOKUP(3500000,源泉DB!$B$261:$L$261,L195+3)+ROUNDDOWN((K195-3500000)*45.945%,0),IF(AND(K195&gt;2250000,K195&lt;3500000),VLOOKUP(2250000,源泉DB!$B$260:$K$260,L195+3)+ROUNDDOWN((K195-2250000)*40.84%,0),IF(AND(K195&gt;2210000,K195&lt;2250000),VLOOKUP(2210000,源泉DB!$B$259:$K$259,L195+3)+ROUNDDOWN((K195-2210000)*40.84%,0),IF(AND(K195&gt;2170000,K195&lt;2210000),VLOOKUP(2170000,源泉DB!$B$258:$K$258,L195+3)+ROUNDDOWN((K195-2170000)*40.84%,0),IF(AND(K195&gt;1700000,K195&lt;2170000),VLOOKUP(1700000,源泉DB!$B$257:$K$257,L195+3)+ROUNDDOWN((K195-1700000)*40.84%,0),IF(AND(K195&gt;950000,K195&lt;1700000),VLOOKUP(950000,源泉DB!$B$256:$K$256,L195+3)+ROUNDDOWN((K195-950000)*33.693%,0),IF(AND(K195&gt;780000,K195&lt;950000),VLOOKUP(780000,源泉DB!$B$255:$K$255,L195+3)+ROUNDDOWN((K195-780000)*23.483%,0),IF(AND(K195&gt;740000,K195&lt;780000),VLOOKUP(740000,源泉DB!$B$254:$K$254,L195+3)+ROUNDDOWN((K195-740000)*20.42%,0),VLOOKUP(K195,源泉DB!$B$8:$K$299,L195+3))))))))),IF(F195="乙",IF(K195&gt;1700000,651900+(K195-1700000) *45.945%,IF(K195=1700000,651900,IF(AND(K195&gt;740000,K195&lt;1700000),259800+(K195-740000)*40.84%,IF(K195=740000,259800,IF(K195&lt;88000,ROUNDDOWN(K195*3.063%,9),VLOOKUP(K195,源泉DB!$B$8:$L$254,11)))))),"")),"")</f>
        <v/>
      </c>
      <c r="U195" s="165"/>
      <c r="V195" s="166"/>
      <c r="W195" s="166"/>
      <c r="X195" s="166"/>
      <c r="Y195" s="166"/>
      <c r="Z195" s="178">
        <f>ROUND(IFERROR(IF(($G195="加入"),VLOOKUP($I195,年金DB!$G$16:$P$65,6,TRUE),0),0)-0.1,0)</f>
        <v>0</v>
      </c>
      <c r="AA195" s="178">
        <f>ROUND(IFERROR(IF(AND($G195="加入",$D195&gt;=40,$D195&lt;=64),VLOOKUP($I195,年金DB!$G$16:$P$65,10,TRUE),0),0)-0.1,0)</f>
        <v>0</v>
      </c>
      <c r="AB195" s="178">
        <f>ROUND(IFERROR(IF(AND($G195="加入",$D195&lt;40),VLOOKUP($J195,年金DB!$G$16:$X$62,14,TRUE),IF(AND($G195="加入",$D195&gt;=40),VLOOKUP($J195,年金DB!$G$16:$X$62,14,TRUE),"0")),0)-0.1,0)</f>
        <v>0</v>
      </c>
      <c r="AC195" s="178">
        <f t="shared" si="20"/>
        <v>0</v>
      </c>
      <c r="AD195" s="21">
        <f t="shared" si="17"/>
        <v>0</v>
      </c>
      <c r="AE195" s="173">
        <f t="shared" si="18"/>
        <v>0</v>
      </c>
      <c r="AF195" s="14" t="str">
        <f t="shared" si="19"/>
        <v/>
      </c>
      <c r="AG195" s="14"/>
      <c r="AH195" s="14"/>
    </row>
    <row r="196" spans="1:34">
      <c r="A196" s="28"/>
      <c r="B196" s="180"/>
      <c r="C196" s="188"/>
      <c r="D196" s="161"/>
      <c r="E196" s="162"/>
      <c r="F196" s="162"/>
      <c r="G196" s="163"/>
      <c r="H196" s="285"/>
      <c r="I196" s="282"/>
      <c r="J196" s="16"/>
      <c r="K196" s="18">
        <f t="shared" si="15"/>
        <v>0</v>
      </c>
      <c r="L196" s="288">
        <v>0</v>
      </c>
      <c r="M196" s="291"/>
      <c r="N196" s="164"/>
      <c r="O196" s="164"/>
      <c r="P196" s="164"/>
      <c r="Q196" s="175">
        <f t="shared" si="21"/>
        <v>0</v>
      </c>
      <c r="R196" s="164"/>
      <c r="S196" s="197">
        <f t="shared" si="16"/>
        <v>0</v>
      </c>
      <c r="T196" s="201" t="str" cm="1">
        <f t="array" ref="T196">IFERROR(IF(F196="甲",IF(K196&gt;3500000,VLOOKUP(3500000,源泉DB!$B$261:$L$261,L196+3)+ROUNDDOWN((K196-3500000)*45.945%,0),IF(AND(K196&gt;2250000,K196&lt;3500000),VLOOKUP(2250000,源泉DB!$B$260:$K$260,L196+3)+ROUNDDOWN((K196-2250000)*40.84%,0),IF(AND(K196&gt;2210000,K196&lt;2250000),VLOOKUP(2210000,源泉DB!$B$259:$K$259,L196+3)+ROUNDDOWN((K196-2210000)*40.84%,0),IF(AND(K196&gt;2170000,K196&lt;2210000),VLOOKUP(2170000,源泉DB!$B$258:$K$258,L196+3)+ROUNDDOWN((K196-2170000)*40.84%,0),IF(AND(K196&gt;1700000,K196&lt;2170000),VLOOKUP(1700000,源泉DB!$B$257:$K$257,L196+3)+ROUNDDOWN((K196-1700000)*40.84%,0),IF(AND(K196&gt;950000,K196&lt;1700000),VLOOKUP(950000,源泉DB!$B$256:$K$256,L196+3)+ROUNDDOWN((K196-950000)*33.693%,0),IF(AND(K196&gt;780000,K196&lt;950000),VLOOKUP(780000,源泉DB!$B$255:$K$255,L196+3)+ROUNDDOWN((K196-780000)*23.483%,0),IF(AND(K196&gt;740000,K196&lt;780000),VLOOKUP(740000,源泉DB!$B$254:$K$254,L196+3)+ROUNDDOWN((K196-740000)*20.42%,0),VLOOKUP(K196,源泉DB!$B$8:$K$299,L196+3))))))))),IF(F196="乙",IF(K196&gt;1700000,651900+(K196-1700000) *45.945%,IF(K196=1700000,651900,IF(AND(K196&gt;740000,K196&lt;1700000),259800+(K196-740000)*40.84%,IF(K196=740000,259800,IF(K196&lt;88000,ROUNDDOWN(K196*3.063%,9),VLOOKUP(K196,源泉DB!$B$8:$L$254,11)))))),"")),"")</f>
        <v/>
      </c>
      <c r="U196" s="165"/>
      <c r="V196" s="166"/>
      <c r="W196" s="166"/>
      <c r="X196" s="166"/>
      <c r="Y196" s="166"/>
      <c r="Z196" s="178">
        <f>ROUND(IFERROR(IF(($G196="加入"),VLOOKUP($I196,年金DB!$G$16:$P$65,6,TRUE),0),0)-0.1,0)</f>
        <v>0</v>
      </c>
      <c r="AA196" s="178">
        <f>ROUND(IFERROR(IF(AND($G196="加入",$D196&gt;=40,$D196&lt;=64),VLOOKUP($I196,年金DB!$G$16:$P$65,10,TRUE),0),0)-0.1,0)</f>
        <v>0</v>
      </c>
      <c r="AB196" s="178">
        <f>ROUND(IFERROR(IF(AND($G196="加入",$D196&lt;40),VLOOKUP($J196,年金DB!$G$16:$X$62,14,TRUE),IF(AND($G196="加入",$D196&gt;=40),VLOOKUP($J196,年金DB!$G$16:$X$62,14,TRUE),"0")),0)-0.1,0)</f>
        <v>0</v>
      </c>
      <c r="AC196" s="178">
        <f t="shared" si="20"/>
        <v>0</v>
      </c>
      <c r="AD196" s="21">
        <f t="shared" si="17"/>
        <v>0</v>
      </c>
      <c r="AE196" s="173">
        <f t="shared" si="18"/>
        <v>0</v>
      </c>
      <c r="AF196" s="14" t="str">
        <f t="shared" si="19"/>
        <v/>
      </c>
      <c r="AG196" s="14"/>
      <c r="AH196" s="14"/>
    </row>
    <row r="197" spans="1:34">
      <c r="A197" s="28"/>
      <c r="B197" s="180"/>
      <c r="C197" s="188"/>
      <c r="D197" s="161"/>
      <c r="E197" s="162"/>
      <c r="F197" s="162"/>
      <c r="G197" s="163"/>
      <c r="H197" s="285"/>
      <c r="I197" s="282"/>
      <c r="J197" s="16"/>
      <c r="K197" s="18">
        <f t="shared" si="15"/>
        <v>0</v>
      </c>
      <c r="L197" s="288">
        <v>0</v>
      </c>
      <c r="M197" s="291"/>
      <c r="N197" s="164"/>
      <c r="O197" s="164"/>
      <c r="P197" s="164"/>
      <c r="Q197" s="175">
        <f t="shared" si="21"/>
        <v>0</v>
      </c>
      <c r="R197" s="164"/>
      <c r="S197" s="197">
        <f t="shared" si="16"/>
        <v>0</v>
      </c>
      <c r="T197" s="201" t="str" cm="1">
        <f t="array" ref="T197">IFERROR(IF(F197="甲",IF(K197&gt;3500000,VLOOKUP(3500000,源泉DB!$B$261:$L$261,L197+3)+ROUNDDOWN((K197-3500000)*45.945%,0),IF(AND(K197&gt;2250000,K197&lt;3500000),VLOOKUP(2250000,源泉DB!$B$260:$K$260,L197+3)+ROUNDDOWN((K197-2250000)*40.84%,0),IF(AND(K197&gt;2210000,K197&lt;2250000),VLOOKUP(2210000,源泉DB!$B$259:$K$259,L197+3)+ROUNDDOWN((K197-2210000)*40.84%,0),IF(AND(K197&gt;2170000,K197&lt;2210000),VLOOKUP(2170000,源泉DB!$B$258:$K$258,L197+3)+ROUNDDOWN((K197-2170000)*40.84%,0),IF(AND(K197&gt;1700000,K197&lt;2170000),VLOOKUP(1700000,源泉DB!$B$257:$K$257,L197+3)+ROUNDDOWN((K197-1700000)*40.84%,0),IF(AND(K197&gt;950000,K197&lt;1700000),VLOOKUP(950000,源泉DB!$B$256:$K$256,L197+3)+ROUNDDOWN((K197-950000)*33.693%,0),IF(AND(K197&gt;780000,K197&lt;950000),VLOOKUP(780000,源泉DB!$B$255:$K$255,L197+3)+ROUNDDOWN((K197-780000)*23.483%,0),IF(AND(K197&gt;740000,K197&lt;780000),VLOOKUP(740000,源泉DB!$B$254:$K$254,L197+3)+ROUNDDOWN((K197-740000)*20.42%,0),VLOOKUP(K197,源泉DB!$B$8:$K$299,L197+3))))))))),IF(F197="乙",IF(K197&gt;1700000,651900+(K197-1700000) *45.945%,IF(K197=1700000,651900,IF(AND(K197&gt;740000,K197&lt;1700000),259800+(K197-740000)*40.84%,IF(K197=740000,259800,IF(K197&lt;88000,ROUNDDOWN(K197*3.063%,9),VLOOKUP(K197,源泉DB!$B$8:$L$254,11)))))),"")),"")</f>
        <v/>
      </c>
      <c r="U197" s="165"/>
      <c r="V197" s="166"/>
      <c r="W197" s="166"/>
      <c r="X197" s="166"/>
      <c r="Y197" s="166"/>
      <c r="Z197" s="178">
        <f>ROUND(IFERROR(IF(($G197="加入"),VLOOKUP($I197,年金DB!$G$16:$P$65,6,TRUE),0),0)-0.1,0)</f>
        <v>0</v>
      </c>
      <c r="AA197" s="178">
        <f>ROUND(IFERROR(IF(AND($G197="加入",$D197&gt;=40,$D197&lt;=64),VLOOKUP($I197,年金DB!$G$16:$P$65,10,TRUE),0),0)-0.1,0)</f>
        <v>0</v>
      </c>
      <c r="AB197" s="178">
        <f>ROUND(IFERROR(IF(AND($G197="加入",$D197&lt;40),VLOOKUP($J197,年金DB!$G$16:$X$62,14,TRUE),IF(AND($G197="加入",$D197&gt;=40),VLOOKUP($J197,年金DB!$G$16:$X$62,14,TRUE),"0")),0)-0.1,0)</f>
        <v>0</v>
      </c>
      <c r="AC197" s="178">
        <f t="shared" si="20"/>
        <v>0</v>
      </c>
      <c r="AD197" s="21">
        <f t="shared" si="17"/>
        <v>0</v>
      </c>
      <c r="AE197" s="173">
        <f t="shared" si="18"/>
        <v>0</v>
      </c>
      <c r="AF197" s="14" t="str">
        <f t="shared" si="19"/>
        <v/>
      </c>
      <c r="AG197" s="14"/>
      <c r="AH197" s="14"/>
    </row>
    <row r="198" spans="1:34">
      <c r="A198" s="28"/>
      <c r="B198" s="180"/>
      <c r="C198" s="188"/>
      <c r="D198" s="161"/>
      <c r="E198" s="162"/>
      <c r="F198" s="162"/>
      <c r="G198" s="163"/>
      <c r="H198" s="285"/>
      <c r="I198" s="282"/>
      <c r="J198" s="16"/>
      <c r="K198" s="18">
        <f t="shared" si="15"/>
        <v>0</v>
      </c>
      <c r="L198" s="288">
        <v>0</v>
      </c>
      <c r="M198" s="291"/>
      <c r="N198" s="164"/>
      <c r="O198" s="164"/>
      <c r="P198" s="164"/>
      <c r="Q198" s="175">
        <f t="shared" si="21"/>
        <v>0</v>
      </c>
      <c r="R198" s="164"/>
      <c r="S198" s="197">
        <f t="shared" si="16"/>
        <v>0</v>
      </c>
      <c r="T198" s="201" t="str" cm="1">
        <f t="array" ref="T198">IFERROR(IF(F198="甲",IF(K198&gt;3500000,VLOOKUP(3500000,源泉DB!$B$261:$L$261,L198+3)+ROUNDDOWN((K198-3500000)*45.945%,0),IF(AND(K198&gt;2250000,K198&lt;3500000),VLOOKUP(2250000,源泉DB!$B$260:$K$260,L198+3)+ROUNDDOWN((K198-2250000)*40.84%,0),IF(AND(K198&gt;2210000,K198&lt;2250000),VLOOKUP(2210000,源泉DB!$B$259:$K$259,L198+3)+ROUNDDOWN((K198-2210000)*40.84%,0),IF(AND(K198&gt;2170000,K198&lt;2210000),VLOOKUP(2170000,源泉DB!$B$258:$K$258,L198+3)+ROUNDDOWN((K198-2170000)*40.84%,0),IF(AND(K198&gt;1700000,K198&lt;2170000),VLOOKUP(1700000,源泉DB!$B$257:$K$257,L198+3)+ROUNDDOWN((K198-1700000)*40.84%,0),IF(AND(K198&gt;950000,K198&lt;1700000),VLOOKUP(950000,源泉DB!$B$256:$K$256,L198+3)+ROUNDDOWN((K198-950000)*33.693%,0),IF(AND(K198&gt;780000,K198&lt;950000),VLOOKUP(780000,源泉DB!$B$255:$K$255,L198+3)+ROUNDDOWN((K198-780000)*23.483%,0),IF(AND(K198&gt;740000,K198&lt;780000),VLOOKUP(740000,源泉DB!$B$254:$K$254,L198+3)+ROUNDDOWN((K198-740000)*20.42%,0),VLOOKUP(K198,源泉DB!$B$8:$K$299,L198+3))))))))),IF(F198="乙",IF(K198&gt;1700000,651900+(K198-1700000) *45.945%,IF(K198=1700000,651900,IF(AND(K198&gt;740000,K198&lt;1700000),259800+(K198-740000)*40.84%,IF(K198=740000,259800,IF(K198&lt;88000,ROUNDDOWN(K198*3.063%,9),VLOOKUP(K198,源泉DB!$B$8:$L$254,11)))))),"")),"")</f>
        <v/>
      </c>
      <c r="U198" s="165"/>
      <c r="V198" s="166"/>
      <c r="W198" s="166"/>
      <c r="X198" s="166"/>
      <c r="Y198" s="166"/>
      <c r="Z198" s="178">
        <f>ROUND(IFERROR(IF(($G198="加入"),VLOOKUP($I198,年金DB!$G$16:$P$65,6,TRUE),0),0)-0.1,0)</f>
        <v>0</v>
      </c>
      <c r="AA198" s="178">
        <f>ROUND(IFERROR(IF(AND($G198="加入",$D198&gt;=40,$D198&lt;=64),VLOOKUP($I198,年金DB!$G$16:$P$65,10,TRUE),0),0)-0.1,0)</f>
        <v>0</v>
      </c>
      <c r="AB198" s="178">
        <f>ROUND(IFERROR(IF(AND($G198="加入",$D198&lt;40),VLOOKUP($J198,年金DB!$G$16:$X$62,14,TRUE),IF(AND($G198="加入",$D198&gt;=40),VLOOKUP($J198,年金DB!$G$16:$X$62,14,TRUE),"0")),0)-0.1,0)</f>
        <v>0</v>
      </c>
      <c r="AC198" s="178">
        <f t="shared" si="20"/>
        <v>0</v>
      </c>
      <c r="AD198" s="21">
        <f t="shared" si="17"/>
        <v>0</v>
      </c>
      <c r="AE198" s="173">
        <f t="shared" si="18"/>
        <v>0</v>
      </c>
      <c r="AF198" s="14" t="str">
        <f t="shared" si="19"/>
        <v/>
      </c>
      <c r="AG198" s="14"/>
      <c r="AH198" s="14"/>
    </row>
    <row r="199" spans="1:34">
      <c r="A199" s="28"/>
      <c r="B199" s="180"/>
      <c r="C199" s="188"/>
      <c r="D199" s="161"/>
      <c r="E199" s="162"/>
      <c r="F199" s="162"/>
      <c r="G199" s="163"/>
      <c r="H199" s="285"/>
      <c r="I199" s="282"/>
      <c r="J199" s="16"/>
      <c r="K199" s="18">
        <f t="shared" ref="K199:K262" si="22">IF((Q199-Z199-AA199-AB199-AC199)&lt;0,0,Q199-Z199-AA199-AB199-AC199)</f>
        <v>0</v>
      </c>
      <c r="L199" s="288">
        <v>0</v>
      </c>
      <c r="M199" s="291"/>
      <c r="N199" s="164"/>
      <c r="O199" s="164"/>
      <c r="P199" s="164"/>
      <c r="Q199" s="175">
        <f t="shared" si="21"/>
        <v>0</v>
      </c>
      <c r="R199" s="164"/>
      <c r="S199" s="197">
        <f t="shared" ref="S199:S262" si="23">SUM(Q199:R199)</f>
        <v>0</v>
      </c>
      <c r="T199" s="201" t="str" cm="1">
        <f t="array" ref="T199">IFERROR(IF(F199="甲",IF(K199&gt;3500000,VLOOKUP(3500000,源泉DB!$B$261:$L$261,L199+3)+ROUNDDOWN((K199-3500000)*45.945%,0),IF(AND(K199&gt;2250000,K199&lt;3500000),VLOOKUP(2250000,源泉DB!$B$260:$K$260,L199+3)+ROUNDDOWN((K199-2250000)*40.84%,0),IF(AND(K199&gt;2210000,K199&lt;2250000),VLOOKUP(2210000,源泉DB!$B$259:$K$259,L199+3)+ROUNDDOWN((K199-2210000)*40.84%,0),IF(AND(K199&gt;2170000,K199&lt;2210000),VLOOKUP(2170000,源泉DB!$B$258:$K$258,L199+3)+ROUNDDOWN((K199-2170000)*40.84%,0),IF(AND(K199&gt;1700000,K199&lt;2170000),VLOOKUP(1700000,源泉DB!$B$257:$K$257,L199+3)+ROUNDDOWN((K199-1700000)*40.84%,0),IF(AND(K199&gt;950000,K199&lt;1700000),VLOOKUP(950000,源泉DB!$B$256:$K$256,L199+3)+ROUNDDOWN((K199-950000)*33.693%,0),IF(AND(K199&gt;780000,K199&lt;950000),VLOOKUP(780000,源泉DB!$B$255:$K$255,L199+3)+ROUNDDOWN((K199-780000)*23.483%,0),IF(AND(K199&gt;740000,K199&lt;780000),VLOOKUP(740000,源泉DB!$B$254:$K$254,L199+3)+ROUNDDOWN((K199-740000)*20.42%,0),VLOOKUP(K199,源泉DB!$B$8:$K$299,L199+3))))))))),IF(F199="乙",IF(K199&gt;1700000,651900+(K199-1700000) *45.945%,IF(K199=1700000,651900,IF(AND(K199&gt;740000,K199&lt;1700000),259800+(K199-740000)*40.84%,IF(K199=740000,259800,IF(K199&lt;88000,ROUNDDOWN(K199*3.063%,9),VLOOKUP(K199,源泉DB!$B$8:$L$254,11)))))),"")),"")</f>
        <v/>
      </c>
      <c r="U199" s="165"/>
      <c r="V199" s="166"/>
      <c r="W199" s="166"/>
      <c r="X199" s="166"/>
      <c r="Y199" s="166"/>
      <c r="Z199" s="178">
        <f>ROUND(IFERROR(IF(($G199="加入"),VLOOKUP($I199,年金DB!$G$16:$P$65,6,TRUE),0),0)-0.1,0)</f>
        <v>0</v>
      </c>
      <c r="AA199" s="178">
        <f>ROUND(IFERROR(IF(AND($G199="加入",$D199&gt;=40,$D199&lt;=64),VLOOKUP($I199,年金DB!$G$16:$P$65,10,TRUE),0),0)-0.1,0)</f>
        <v>0</v>
      </c>
      <c r="AB199" s="178">
        <f>ROUND(IFERROR(IF(AND($G199="加入",$D199&lt;40),VLOOKUP($J199,年金DB!$G$16:$X$62,14,TRUE),IF(AND($G199="加入",$D199&gt;=40),VLOOKUP($J199,年金DB!$G$16:$X$62,14,TRUE),"0")),0)-0.1,0)</f>
        <v>0</v>
      </c>
      <c r="AC199" s="178">
        <f t="shared" si="20"/>
        <v>0</v>
      </c>
      <c r="AD199" s="21">
        <f t="shared" ref="AD199:AD262" si="24">SUM(T199:AC199)</f>
        <v>0</v>
      </c>
      <c r="AE199" s="173">
        <f t="shared" ref="AE199:AE262" si="25">S199-AD199</f>
        <v>0</v>
      </c>
      <c r="AF199" s="14" t="str">
        <f t="shared" ref="AF199:AF262" si="26">IF(AE199&gt;0,"←同額をお振込みください","")</f>
        <v/>
      </c>
      <c r="AG199" s="14"/>
      <c r="AH199" s="14"/>
    </row>
    <row r="200" spans="1:34">
      <c r="A200" s="28"/>
      <c r="B200" s="180"/>
      <c r="C200" s="188"/>
      <c r="D200" s="161"/>
      <c r="E200" s="162"/>
      <c r="F200" s="162"/>
      <c r="G200" s="163"/>
      <c r="H200" s="285"/>
      <c r="I200" s="282"/>
      <c r="J200" s="16"/>
      <c r="K200" s="18">
        <f t="shared" si="22"/>
        <v>0</v>
      </c>
      <c r="L200" s="288">
        <v>0</v>
      </c>
      <c r="M200" s="291"/>
      <c r="N200" s="164"/>
      <c r="O200" s="164"/>
      <c r="P200" s="164"/>
      <c r="Q200" s="175">
        <f t="shared" si="21"/>
        <v>0</v>
      </c>
      <c r="R200" s="164"/>
      <c r="S200" s="197">
        <f t="shared" si="23"/>
        <v>0</v>
      </c>
      <c r="T200" s="201" t="str" cm="1">
        <f t="array" ref="T200">IFERROR(IF(F200="甲",IF(K200&gt;3500000,VLOOKUP(3500000,源泉DB!$B$261:$L$261,L200+3)+ROUNDDOWN((K200-3500000)*45.945%,0),IF(AND(K200&gt;2250000,K200&lt;3500000),VLOOKUP(2250000,源泉DB!$B$260:$K$260,L200+3)+ROUNDDOWN((K200-2250000)*40.84%,0),IF(AND(K200&gt;2210000,K200&lt;2250000),VLOOKUP(2210000,源泉DB!$B$259:$K$259,L200+3)+ROUNDDOWN((K200-2210000)*40.84%,0),IF(AND(K200&gt;2170000,K200&lt;2210000),VLOOKUP(2170000,源泉DB!$B$258:$K$258,L200+3)+ROUNDDOWN((K200-2170000)*40.84%,0),IF(AND(K200&gt;1700000,K200&lt;2170000),VLOOKUP(1700000,源泉DB!$B$257:$K$257,L200+3)+ROUNDDOWN((K200-1700000)*40.84%,0),IF(AND(K200&gt;950000,K200&lt;1700000),VLOOKUP(950000,源泉DB!$B$256:$K$256,L200+3)+ROUNDDOWN((K200-950000)*33.693%,0),IF(AND(K200&gt;780000,K200&lt;950000),VLOOKUP(780000,源泉DB!$B$255:$K$255,L200+3)+ROUNDDOWN((K200-780000)*23.483%,0),IF(AND(K200&gt;740000,K200&lt;780000),VLOOKUP(740000,源泉DB!$B$254:$K$254,L200+3)+ROUNDDOWN((K200-740000)*20.42%,0),VLOOKUP(K200,源泉DB!$B$8:$K$299,L200+3))))))))),IF(F200="乙",IF(K200&gt;1700000,651900+(K200-1700000) *45.945%,IF(K200=1700000,651900,IF(AND(K200&gt;740000,K200&lt;1700000),259800+(K200-740000)*40.84%,IF(K200=740000,259800,IF(K200&lt;88000,ROUNDDOWN(K200*3.063%,9),VLOOKUP(K200,源泉DB!$B$8:$L$254,11)))))),"")),"")</f>
        <v/>
      </c>
      <c r="U200" s="165"/>
      <c r="V200" s="166"/>
      <c r="W200" s="166"/>
      <c r="X200" s="166"/>
      <c r="Y200" s="166"/>
      <c r="Z200" s="178">
        <f>ROUND(IFERROR(IF(($G200="加入"),VLOOKUP($I200,年金DB!$G$16:$P$65,6,TRUE),0),0)-0.1,0)</f>
        <v>0</v>
      </c>
      <c r="AA200" s="178">
        <f>ROUND(IFERROR(IF(AND($G200="加入",$D200&gt;=40,$D200&lt;=64),VLOOKUP($I200,年金DB!$G$16:$P$65,10,TRUE),0),0)-0.1,0)</f>
        <v>0</v>
      </c>
      <c r="AB200" s="178">
        <f>ROUND(IFERROR(IF(AND($G200="加入",$D200&lt;40),VLOOKUP($J200,年金DB!$G$16:$X$62,14,TRUE),IF(AND($G200="加入",$D200&gt;=40),VLOOKUP($J200,年金DB!$G$16:$X$62,14,TRUE),"0")),0)-0.1,0)</f>
        <v>0</v>
      </c>
      <c r="AC200" s="178">
        <f t="shared" ref="AC200:AC263" si="27">IF(OR(H200="非加入",H200=""),0,ROUNDUP(IFERROR(IF(H200="加入",(Q200+R200)*3/1000,0),0)-0.5,0))</f>
        <v>0</v>
      </c>
      <c r="AD200" s="21">
        <f t="shared" si="24"/>
        <v>0</v>
      </c>
      <c r="AE200" s="173">
        <f t="shared" si="25"/>
        <v>0</v>
      </c>
      <c r="AF200" s="14" t="str">
        <f t="shared" si="26"/>
        <v/>
      </c>
      <c r="AG200" s="14"/>
      <c r="AH200" s="14"/>
    </row>
    <row r="201" spans="1:34">
      <c r="A201" s="28"/>
      <c r="B201" s="180"/>
      <c r="C201" s="188"/>
      <c r="D201" s="161"/>
      <c r="E201" s="162"/>
      <c r="F201" s="162"/>
      <c r="G201" s="163"/>
      <c r="H201" s="285"/>
      <c r="I201" s="282"/>
      <c r="J201" s="16"/>
      <c r="K201" s="18">
        <f t="shared" si="22"/>
        <v>0</v>
      </c>
      <c r="L201" s="288">
        <v>0</v>
      </c>
      <c r="M201" s="291"/>
      <c r="N201" s="164"/>
      <c r="O201" s="164"/>
      <c r="P201" s="164"/>
      <c r="Q201" s="175">
        <f t="shared" si="21"/>
        <v>0</v>
      </c>
      <c r="R201" s="164"/>
      <c r="S201" s="197">
        <f t="shared" si="23"/>
        <v>0</v>
      </c>
      <c r="T201" s="201" t="str" cm="1">
        <f t="array" ref="T201">IFERROR(IF(F201="甲",IF(K201&gt;3500000,VLOOKUP(3500000,源泉DB!$B$261:$L$261,L201+3)+ROUNDDOWN((K201-3500000)*45.945%,0),IF(AND(K201&gt;2250000,K201&lt;3500000),VLOOKUP(2250000,源泉DB!$B$260:$K$260,L201+3)+ROUNDDOWN((K201-2250000)*40.84%,0),IF(AND(K201&gt;2210000,K201&lt;2250000),VLOOKUP(2210000,源泉DB!$B$259:$K$259,L201+3)+ROUNDDOWN((K201-2210000)*40.84%,0),IF(AND(K201&gt;2170000,K201&lt;2210000),VLOOKUP(2170000,源泉DB!$B$258:$K$258,L201+3)+ROUNDDOWN((K201-2170000)*40.84%,0),IF(AND(K201&gt;1700000,K201&lt;2170000),VLOOKUP(1700000,源泉DB!$B$257:$K$257,L201+3)+ROUNDDOWN((K201-1700000)*40.84%,0),IF(AND(K201&gt;950000,K201&lt;1700000),VLOOKUP(950000,源泉DB!$B$256:$K$256,L201+3)+ROUNDDOWN((K201-950000)*33.693%,0),IF(AND(K201&gt;780000,K201&lt;950000),VLOOKUP(780000,源泉DB!$B$255:$K$255,L201+3)+ROUNDDOWN((K201-780000)*23.483%,0),IF(AND(K201&gt;740000,K201&lt;780000),VLOOKUP(740000,源泉DB!$B$254:$K$254,L201+3)+ROUNDDOWN((K201-740000)*20.42%,0),VLOOKUP(K201,源泉DB!$B$8:$K$299,L201+3))))))))),IF(F201="乙",IF(K201&gt;1700000,651900+(K201-1700000) *45.945%,IF(K201=1700000,651900,IF(AND(K201&gt;740000,K201&lt;1700000),259800+(K201-740000)*40.84%,IF(K201=740000,259800,IF(K201&lt;88000,ROUNDDOWN(K201*3.063%,9),VLOOKUP(K201,源泉DB!$B$8:$L$254,11)))))),"")),"")</f>
        <v/>
      </c>
      <c r="U201" s="165"/>
      <c r="V201" s="166"/>
      <c r="W201" s="166"/>
      <c r="X201" s="166"/>
      <c r="Y201" s="166"/>
      <c r="Z201" s="178">
        <f>ROUND(IFERROR(IF(($G201="加入"),VLOOKUP($I201,年金DB!$G$16:$P$65,6,TRUE),0),0)-0.1,0)</f>
        <v>0</v>
      </c>
      <c r="AA201" s="178">
        <f>ROUND(IFERROR(IF(AND($G201="加入",$D201&gt;=40,$D201&lt;=64),VLOOKUP($I201,年金DB!$G$16:$P$65,10,TRUE),0),0)-0.1,0)</f>
        <v>0</v>
      </c>
      <c r="AB201" s="178">
        <f>ROUND(IFERROR(IF(AND($G201="加入",$D201&lt;40),VLOOKUP($J201,年金DB!$G$16:$X$62,14,TRUE),IF(AND($G201="加入",$D201&gt;=40),VLOOKUP($J201,年金DB!$G$16:$X$62,14,TRUE),"0")),0)-0.1,0)</f>
        <v>0</v>
      </c>
      <c r="AC201" s="178">
        <f t="shared" si="27"/>
        <v>0</v>
      </c>
      <c r="AD201" s="21">
        <f t="shared" si="24"/>
        <v>0</v>
      </c>
      <c r="AE201" s="173">
        <f t="shared" si="25"/>
        <v>0</v>
      </c>
      <c r="AF201" s="14" t="str">
        <f t="shared" si="26"/>
        <v/>
      </c>
      <c r="AG201" s="14"/>
      <c r="AH201" s="14"/>
    </row>
    <row r="202" spans="1:34">
      <c r="A202" s="28"/>
      <c r="B202" s="180"/>
      <c r="C202" s="188"/>
      <c r="D202" s="161"/>
      <c r="E202" s="162"/>
      <c r="F202" s="162"/>
      <c r="G202" s="163"/>
      <c r="H202" s="285"/>
      <c r="I202" s="282"/>
      <c r="J202" s="16"/>
      <c r="K202" s="18">
        <f t="shared" si="22"/>
        <v>0</v>
      </c>
      <c r="L202" s="288">
        <v>0</v>
      </c>
      <c r="M202" s="291"/>
      <c r="N202" s="164"/>
      <c r="O202" s="164"/>
      <c r="P202" s="164"/>
      <c r="Q202" s="175">
        <f t="shared" si="21"/>
        <v>0</v>
      </c>
      <c r="R202" s="164"/>
      <c r="S202" s="197">
        <f t="shared" si="23"/>
        <v>0</v>
      </c>
      <c r="T202" s="201" t="str" cm="1">
        <f t="array" ref="T202">IFERROR(IF(F202="甲",IF(K202&gt;3500000,VLOOKUP(3500000,源泉DB!$B$261:$L$261,L202+3)+ROUNDDOWN((K202-3500000)*45.945%,0),IF(AND(K202&gt;2250000,K202&lt;3500000),VLOOKUP(2250000,源泉DB!$B$260:$K$260,L202+3)+ROUNDDOWN((K202-2250000)*40.84%,0),IF(AND(K202&gt;2210000,K202&lt;2250000),VLOOKUP(2210000,源泉DB!$B$259:$K$259,L202+3)+ROUNDDOWN((K202-2210000)*40.84%,0),IF(AND(K202&gt;2170000,K202&lt;2210000),VLOOKUP(2170000,源泉DB!$B$258:$K$258,L202+3)+ROUNDDOWN((K202-2170000)*40.84%,0),IF(AND(K202&gt;1700000,K202&lt;2170000),VLOOKUP(1700000,源泉DB!$B$257:$K$257,L202+3)+ROUNDDOWN((K202-1700000)*40.84%,0),IF(AND(K202&gt;950000,K202&lt;1700000),VLOOKUP(950000,源泉DB!$B$256:$K$256,L202+3)+ROUNDDOWN((K202-950000)*33.693%,0),IF(AND(K202&gt;780000,K202&lt;950000),VLOOKUP(780000,源泉DB!$B$255:$K$255,L202+3)+ROUNDDOWN((K202-780000)*23.483%,0),IF(AND(K202&gt;740000,K202&lt;780000),VLOOKUP(740000,源泉DB!$B$254:$K$254,L202+3)+ROUNDDOWN((K202-740000)*20.42%,0),VLOOKUP(K202,源泉DB!$B$8:$K$299,L202+3))))))))),IF(F202="乙",IF(K202&gt;1700000,651900+(K202-1700000) *45.945%,IF(K202=1700000,651900,IF(AND(K202&gt;740000,K202&lt;1700000),259800+(K202-740000)*40.84%,IF(K202=740000,259800,IF(K202&lt;88000,ROUNDDOWN(K202*3.063%,9),VLOOKUP(K202,源泉DB!$B$8:$L$254,11)))))),"")),"")</f>
        <v/>
      </c>
      <c r="U202" s="165"/>
      <c r="V202" s="166"/>
      <c r="W202" s="166"/>
      <c r="X202" s="166"/>
      <c r="Y202" s="166"/>
      <c r="Z202" s="178">
        <f>ROUND(IFERROR(IF(($G202="加入"),VLOOKUP($I202,年金DB!$G$16:$P$65,6,TRUE),0),0)-0.1,0)</f>
        <v>0</v>
      </c>
      <c r="AA202" s="178">
        <f>ROUND(IFERROR(IF(AND($G202="加入",$D202&gt;=40,$D202&lt;=64),VLOOKUP($I202,年金DB!$G$16:$P$65,10,TRUE),0),0)-0.1,0)</f>
        <v>0</v>
      </c>
      <c r="AB202" s="178">
        <f>ROUND(IFERROR(IF(AND($G202="加入",$D202&lt;40),VLOOKUP($J202,年金DB!$G$16:$X$62,14,TRUE),IF(AND($G202="加入",$D202&gt;=40),VLOOKUP($J202,年金DB!$G$16:$X$62,14,TRUE),"0")),0)-0.1,0)</f>
        <v>0</v>
      </c>
      <c r="AC202" s="178">
        <f t="shared" si="27"/>
        <v>0</v>
      </c>
      <c r="AD202" s="21">
        <f t="shared" si="24"/>
        <v>0</v>
      </c>
      <c r="AE202" s="173">
        <f t="shared" si="25"/>
        <v>0</v>
      </c>
      <c r="AF202" s="14" t="str">
        <f t="shared" si="26"/>
        <v/>
      </c>
      <c r="AG202" s="14"/>
      <c r="AH202" s="14"/>
    </row>
    <row r="203" spans="1:34">
      <c r="A203" s="28"/>
      <c r="B203" s="180"/>
      <c r="C203" s="188"/>
      <c r="D203" s="161"/>
      <c r="E203" s="162"/>
      <c r="F203" s="162"/>
      <c r="G203" s="163"/>
      <c r="H203" s="285"/>
      <c r="I203" s="282"/>
      <c r="J203" s="16"/>
      <c r="K203" s="18">
        <f t="shared" si="22"/>
        <v>0</v>
      </c>
      <c r="L203" s="288">
        <v>0</v>
      </c>
      <c r="M203" s="291"/>
      <c r="N203" s="164"/>
      <c r="O203" s="164"/>
      <c r="P203" s="164"/>
      <c r="Q203" s="175">
        <f t="shared" si="21"/>
        <v>0</v>
      </c>
      <c r="R203" s="164"/>
      <c r="S203" s="197">
        <f t="shared" si="23"/>
        <v>0</v>
      </c>
      <c r="T203" s="201" t="str" cm="1">
        <f t="array" ref="T203">IFERROR(IF(F203="甲",IF(K203&gt;3500000,VLOOKUP(3500000,源泉DB!$B$261:$L$261,L203+3)+ROUNDDOWN((K203-3500000)*45.945%,0),IF(AND(K203&gt;2250000,K203&lt;3500000),VLOOKUP(2250000,源泉DB!$B$260:$K$260,L203+3)+ROUNDDOWN((K203-2250000)*40.84%,0),IF(AND(K203&gt;2210000,K203&lt;2250000),VLOOKUP(2210000,源泉DB!$B$259:$K$259,L203+3)+ROUNDDOWN((K203-2210000)*40.84%,0),IF(AND(K203&gt;2170000,K203&lt;2210000),VLOOKUP(2170000,源泉DB!$B$258:$K$258,L203+3)+ROUNDDOWN((K203-2170000)*40.84%,0),IF(AND(K203&gt;1700000,K203&lt;2170000),VLOOKUP(1700000,源泉DB!$B$257:$K$257,L203+3)+ROUNDDOWN((K203-1700000)*40.84%,0),IF(AND(K203&gt;950000,K203&lt;1700000),VLOOKUP(950000,源泉DB!$B$256:$K$256,L203+3)+ROUNDDOWN((K203-950000)*33.693%,0),IF(AND(K203&gt;780000,K203&lt;950000),VLOOKUP(780000,源泉DB!$B$255:$K$255,L203+3)+ROUNDDOWN((K203-780000)*23.483%,0),IF(AND(K203&gt;740000,K203&lt;780000),VLOOKUP(740000,源泉DB!$B$254:$K$254,L203+3)+ROUNDDOWN((K203-740000)*20.42%,0),VLOOKUP(K203,源泉DB!$B$8:$K$299,L203+3))))))))),IF(F203="乙",IF(K203&gt;1700000,651900+(K203-1700000) *45.945%,IF(K203=1700000,651900,IF(AND(K203&gt;740000,K203&lt;1700000),259800+(K203-740000)*40.84%,IF(K203=740000,259800,IF(K203&lt;88000,ROUNDDOWN(K203*3.063%,9),VLOOKUP(K203,源泉DB!$B$8:$L$254,11)))))),"")),"")</f>
        <v/>
      </c>
      <c r="U203" s="165"/>
      <c r="V203" s="166"/>
      <c r="W203" s="166"/>
      <c r="X203" s="166"/>
      <c r="Y203" s="166"/>
      <c r="Z203" s="178">
        <f>ROUND(IFERROR(IF(($G203="加入"),VLOOKUP($I203,年金DB!$G$16:$P$65,6,TRUE),0),0)-0.1,0)</f>
        <v>0</v>
      </c>
      <c r="AA203" s="178">
        <f>ROUND(IFERROR(IF(AND($G203="加入",$D203&gt;=40,$D203&lt;=64),VLOOKUP($I203,年金DB!$G$16:$P$65,10,TRUE),0),0)-0.1,0)</f>
        <v>0</v>
      </c>
      <c r="AB203" s="178">
        <f>ROUND(IFERROR(IF(AND($G203="加入",$D203&lt;40),VLOOKUP($J203,年金DB!$G$16:$X$62,14,TRUE),IF(AND($G203="加入",$D203&gt;=40),VLOOKUP($J203,年金DB!$G$16:$X$62,14,TRUE),"0")),0)-0.1,0)</f>
        <v>0</v>
      </c>
      <c r="AC203" s="178">
        <f t="shared" si="27"/>
        <v>0</v>
      </c>
      <c r="AD203" s="21">
        <f t="shared" si="24"/>
        <v>0</v>
      </c>
      <c r="AE203" s="173">
        <f t="shared" si="25"/>
        <v>0</v>
      </c>
      <c r="AF203" s="14" t="str">
        <f t="shared" si="26"/>
        <v/>
      </c>
      <c r="AG203" s="14"/>
      <c r="AH203" s="14"/>
    </row>
    <row r="204" spans="1:34">
      <c r="A204" s="28"/>
      <c r="B204" s="180"/>
      <c r="C204" s="188"/>
      <c r="D204" s="161"/>
      <c r="E204" s="162"/>
      <c r="F204" s="162"/>
      <c r="G204" s="163"/>
      <c r="H204" s="285"/>
      <c r="I204" s="282"/>
      <c r="J204" s="16"/>
      <c r="K204" s="18">
        <f t="shared" si="22"/>
        <v>0</v>
      </c>
      <c r="L204" s="288">
        <v>0</v>
      </c>
      <c r="M204" s="291"/>
      <c r="N204" s="164"/>
      <c r="O204" s="164"/>
      <c r="P204" s="164"/>
      <c r="Q204" s="175">
        <f t="shared" ref="Q204:Q267" si="28">SUM(M204:P204)</f>
        <v>0</v>
      </c>
      <c r="R204" s="164"/>
      <c r="S204" s="197">
        <f t="shared" si="23"/>
        <v>0</v>
      </c>
      <c r="T204" s="201" t="str" cm="1">
        <f t="array" ref="T204">IFERROR(IF(F204="甲",IF(K204&gt;3500000,VLOOKUP(3500000,源泉DB!$B$261:$L$261,L204+3)+ROUNDDOWN((K204-3500000)*45.945%,0),IF(AND(K204&gt;2250000,K204&lt;3500000),VLOOKUP(2250000,源泉DB!$B$260:$K$260,L204+3)+ROUNDDOWN((K204-2250000)*40.84%,0),IF(AND(K204&gt;2210000,K204&lt;2250000),VLOOKUP(2210000,源泉DB!$B$259:$K$259,L204+3)+ROUNDDOWN((K204-2210000)*40.84%,0),IF(AND(K204&gt;2170000,K204&lt;2210000),VLOOKUP(2170000,源泉DB!$B$258:$K$258,L204+3)+ROUNDDOWN((K204-2170000)*40.84%,0),IF(AND(K204&gt;1700000,K204&lt;2170000),VLOOKUP(1700000,源泉DB!$B$257:$K$257,L204+3)+ROUNDDOWN((K204-1700000)*40.84%,0),IF(AND(K204&gt;950000,K204&lt;1700000),VLOOKUP(950000,源泉DB!$B$256:$K$256,L204+3)+ROUNDDOWN((K204-950000)*33.693%,0),IF(AND(K204&gt;780000,K204&lt;950000),VLOOKUP(780000,源泉DB!$B$255:$K$255,L204+3)+ROUNDDOWN((K204-780000)*23.483%,0),IF(AND(K204&gt;740000,K204&lt;780000),VLOOKUP(740000,源泉DB!$B$254:$K$254,L204+3)+ROUNDDOWN((K204-740000)*20.42%,0),VLOOKUP(K204,源泉DB!$B$8:$K$299,L204+3))))))))),IF(F204="乙",IF(K204&gt;1700000,651900+(K204-1700000) *45.945%,IF(K204=1700000,651900,IF(AND(K204&gt;740000,K204&lt;1700000),259800+(K204-740000)*40.84%,IF(K204=740000,259800,IF(K204&lt;88000,ROUNDDOWN(K204*3.063%,9),VLOOKUP(K204,源泉DB!$B$8:$L$254,11)))))),"")),"")</f>
        <v/>
      </c>
      <c r="U204" s="165"/>
      <c r="V204" s="166"/>
      <c r="W204" s="166"/>
      <c r="X204" s="166"/>
      <c r="Y204" s="166"/>
      <c r="Z204" s="178">
        <f>ROUND(IFERROR(IF(($G204="加入"),VLOOKUP($I204,年金DB!$G$16:$P$65,6,TRUE),0),0)-0.1,0)</f>
        <v>0</v>
      </c>
      <c r="AA204" s="178">
        <f>ROUND(IFERROR(IF(AND($G204="加入",$D204&gt;=40,$D204&lt;=64),VLOOKUP($I204,年金DB!$G$16:$P$65,10,TRUE),0),0)-0.1,0)</f>
        <v>0</v>
      </c>
      <c r="AB204" s="178">
        <f>ROUND(IFERROR(IF(AND($G204="加入",$D204&lt;40),VLOOKUP($J204,年金DB!$G$16:$X$62,14,TRUE),IF(AND($G204="加入",$D204&gt;=40),VLOOKUP($J204,年金DB!$G$16:$X$62,14,TRUE),"0")),0)-0.1,0)</f>
        <v>0</v>
      </c>
      <c r="AC204" s="178">
        <f t="shared" si="27"/>
        <v>0</v>
      </c>
      <c r="AD204" s="21">
        <f t="shared" si="24"/>
        <v>0</v>
      </c>
      <c r="AE204" s="173">
        <f t="shared" si="25"/>
        <v>0</v>
      </c>
      <c r="AF204" s="14" t="str">
        <f t="shared" si="26"/>
        <v/>
      </c>
      <c r="AG204" s="14"/>
      <c r="AH204" s="14"/>
    </row>
    <row r="205" spans="1:34">
      <c r="A205" s="28"/>
      <c r="B205" s="180"/>
      <c r="C205" s="188"/>
      <c r="D205" s="161"/>
      <c r="E205" s="162"/>
      <c r="F205" s="162"/>
      <c r="G205" s="163"/>
      <c r="H205" s="285"/>
      <c r="I205" s="282"/>
      <c r="J205" s="16"/>
      <c r="K205" s="18">
        <f t="shared" si="22"/>
        <v>0</v>
      </c>
      <c r="L205" s="288">
        <v>0</v>
      </c>
      <c r="M205" s="291"/>
      <c r="N205" s="164"/>
      <c r="O205" s="164"/>
      <c r="P205" s="164"/>
      <c r="Q205" s="175">
        <f t="shared" si="28"/>
        <v>0</v>
      </c>
      <c r="R205" s="164"/>
      <c r="S205" s="197">
        <f t="shared" si="23"/>
        <v>0</v>
      </c>
      <c r="T205" s="201" t="str" cm="1">
        <f t="array" ref="T205">IFERROR(IF(F205="甲",IF(K205&gt;3500000,VLOOKUP(3500000,源泉DB!$B$261:$L$261,L205+3)+ROUNDDOWN((K205-3500000)*45.945%,0),IF(AND(K205&gt;2250000,K205&lt;3500000),VLOOKUP(2250000,源泉DB!$B$260:$K$260,L205+3)+ROUNDDOWN((K205-2250000)*40.84%,0),IF(AND(K205&gt;2210000,K205&lt;2250000),VLOOKUP(2210000,源泉DB!$B$259:$K$259,L205+3)+ROUNDDOWN((K205-2210000)*40.84%,0),IF(AND(K205&gt;2170000,K205&lt;2210000),VLOOKUP(2170000,源泉DB!$B$258:$K$258,L205+3)+ROUNDDOWN((K205-2170000)*40.84%,0),IF(AND(K205&gt;1700000,K205&lt;2170000),VLOOKUP(1700000,源泉DB!$B$257:$K$257,L205+3)+ROUNDDOWN((K205-1700000)*40.84%,0),IF(AND(K205&gt;950000,K205&lt;1700000),VLOOKUP(950000,源泉DB!$B$256:$K$256,L205+3)+ROUNDDOWN((K205-950000)*33.693%,0),IF(AND(K205&gt;780000,K205&lt;950000),VLOOKUP(780000,源泉DB!$B$255:$K$255,L205+3)+ROUNDDOWN((K205-780000)*23.483%,0),IF(AND(K205&gt;740000,K205&lt;780000),VLOOKUP(740000,源泉DB!$B$254:$K$254,L205+3)+ROUNDDOWN((K205-740000)*20.42%,0),VLOOKUP(K205,源泉DB!$B$8:$K$299,L205+3))))))))),IF(F205="乙",IF(K205&gt;1700000,651900+(K205-1700000) *45.945%,IF(K205=1700000,651900,IF(AND(K205&gt;740000,K205&lt;1700000),259800+(K205-740000)*40.84%,IF(K205=740000,259800,IF(K205&lt;88000,ROUNDDOWN(K205*3.063%,9),VLOOKUP(K205,源泉DB!$B$8:$L$254,11)))))),"")),"")</f>
        <v/>
      </c>
      <c r="U205" s="165"/>
      <c r="V205" s="166"/>
      <c r="W205" s="166"/>
      <c r="X205" s="166"/>
      <c r="Y205" s="166"/>
      <c r="Z205" s="178">
        <f>ROUND(IFERROR(IF(($G205="加入"),VLOOKUP($I205,年金DB!$G$16:$P$65,6,TRUE),0),0)-0.1,0)</f>
        <v>0</v>
      </c>
      <c r="AA205" s="178">
        <f>ROUND(IFERROR(IF(AND($G205="加入",$D205&gt;=40,$D205&lt;=64),VLOOKUP($I205,年金DB!$G$16:$P$65,10,TRUE),0),0)-0.1,0)</f>
        <v>0</v>
      </c>
      <c r="AB205" s="178">
        <f>ROUND(IFERROR(IF(AND($G205="加入",$D205&lt;40),VLOOKUP($J205,年金DB!$G$16:$X$62,14,TRUE),IF(AND($G205="加入",$D205&gt;=40),VLOOKUP($J205,年金DB!$G$16:$X$62,14,TRUE),"0")),0)-0.1,0)</f>
        <v>0</v>
      </c>
      <c r="AC205" s="178">
        <f t="shared" si="27"/>
        <v>0</v>
      </c>
      <c r="AD205" s="21">
        <f t="shared" si="24"/>
        <v>0</v>
      </c>
      <c r="AE205" s="173">
        <f t="shared" si="25"/>
        <v>0</v>
      </c>
      <c r="AF205" s="14" t="str">
        <f t="shared" si="26"/>
        <v/>
      </c>
      <c r="AG205" s="14"/>
      <c r="AH205" s="14"/>
    </row>
    <row r="206" spans="1:34">
      <c r="A206" s="28"/>
      <c r="B206" s="180"/>
      <c r="C206" s="188"/>
      <c r="D206" s="161"/>
      <c r="E206" s="162"/>
      <c r="F206" s="162"/>
      <c r="G206" s="163"/>
      <c r="H206" s="285"/>
      <c r="I206" s="282"/>
      <c r="J206" s="16"/>
      <c r="K206" s="18">
        <f t="shared" si="22"/>
        <v>0</v>
      </c>
      <c r="L206" s="288">
        <v>0</v>
      </c>
      <c r="M206" s="291"/>
      <c r="N206" s="164"/>
      <c r="O206" s="164"/>
      <c r="P206" s="164"/>
      <c r="Q206" s="175">
        <f t="shared" si="28"/>
        <v>0</v>
      </c>
      <c r="R206" s="164"/>
      <c r="S206" s="197">
        <f t="shared" si="23"/>
        <v>0</v>
      </c>
      <c r="T206" s="201" t="str" cm="1">
        <f t="array" ref="T206">IFERROR(IF(F206="甲",IF(K206&gt;3500000,VLOOKUP(3500000,源泉DB!$B$261:$L$261,L206+3)+ROUNDDOWN((K206-3500000)*45.945%,0),IF(AND(K206&gt;2250000,K206&lt;3500000),VLOOKUP(2250000,源泉DB!$B$260:$K$260,L206+3)+ROUNDDOWN((K206-2250000)*40.84%,0),IF(AND(K206&gt;2210000,K206&lt;2250000),VLOOKUP(2210000,源泉DB!$B$259:$K$259,L206+3)+ROUNDDOWN((K206-2210000)*40.84%,0),IF(AND(K206&gt;2170000,K206&lt;2210000),VLOOKUP(2170000,源泉DB!$B$258:$K$258,L206+3)+ROUNDDOWN((K206-2170000)*40.84%,0),IF(AND(K206&gt;1700000,K206&lt;2170000),VLOOKUP(1700000,源泉DB!$B$257:$K$257,L206+3)+ROUNDDOWN((K206-1700000)*40.84%,0),IF(AND(K206&gt;950000,K206&lt;1700000),VLOOKUP(950000,源泉DB!$B$256:$K$256,L206+3)+ROUNDDOWN((K206-950000)*33.693%,0),IF(AND(K206&gt;780000,K206&lt;950000),VLOOKUP(780000,源泉DB!$B$255:$K$255,L206+3)+ROUNDDOWN((K206-780000)*23.483%,0),IF(AND(K206&gt;740000,K206&lt;780000),VLOOKUP(740000,源泉DB!$B$254:$K$254,L206+3)+ROUNDDOWN((K206-740000)*20.42%,0),VLOOKUP(K206,源泉DB!$B$8:$K$299,L206+3))))))))),IF(F206="乙",IF(K206&gt;1700000,651900+(K206-1700000) *45.945%,IF(K206=1700000,651900,IF(AND(K206&gt;740000,K206&lt;1700000),259800+(K206-740000)*40.84%,IF(K206=740000,259800,IF(K206&lt;88000,ROUNDDOWN(K206*3.063%,9),VLOOKUP(K206,源泉DB!$B$8:$L$254,11)))))),"")),"")</f>
        <v/>
      </c>
      <c r="U206" s="165"/>
      <c r="V206" s="166"/>
      <c r="W206" s="166"/>
      <c r="X206" s="166"/>
      <c r="Y206" s="166"/>
      <c r="Z206" s="178">
        <f>ROUND(IFERROR(IF(($G206="加入"),VLOOKUP($I206,年金DB!$G$16:$P$65,6,TRUE),0),0)-0.1,0)</f>
        <v>0</v>
      </c>
      <c r="AA206" s="178">
        <f>ROUND(IFERROR(IF(AND($G206="加入",$D206&gt;=40,$D206&lt;=64),VLOOKUP($I206,年金DB!$G$16:$P$65,10,TRUE),0),0)-0.1,0)</f>
        <v>0</v>
      </c>
      <c r="AB206" s="178">
        <f>ROUND(IFERROR(IF(AND($G206="加入",$D206&lt;40),VLOOKUP($J206,年金DB!$G$16:$X$62,14,TRUE),IF(AND($G206="加入",$D206&gt;=40),VLOOKUP($J206,年金DB!$G$16:$X$62,14,TRUE),"0")),0)-0.1,0)</f>
        <v>0</v>
      </c>
      <c r="AC206" s="178">
        <f t="shared" si="27"/>
        <v>0</v>
      </c>
      <c r="AD206" s="21">
        <f t="shared" si="24"/>
        <v>0</v>
      </c>
      <c r="AE206" s="173">
        <f t="shared" si="25"/>
        <v>0</v>
      </c>
      <c r="AF206" s="14" t="str">
        <f t="shared" si="26"/>
        <v/>
      </c>
      <c r="AG206" s="14"/>
      <c r="AH206" s="14"/>
    </row>
    <row r="207" spans="1:34">
      <c r="A207" s="28"/>
      <c r="B207" s="180"/>
      <c r="C207" s="188"/>
      <c r="D207" s="161"/>
      <c r="E207" s="162"/>
      <c r="F207" s="162"/>
      <c r="G207" s="163"/>
      <c r="H207" s="285"/>
      <c r="I207" s="282"/>
      <c r="J207" s="16"/>
      <c r="K207" s="18">
        <f t="shared" si="22"/>
        <v>0</v>
      </c>
      <c r="L207" s="288">
        <v>0</v>
      </c>
      <c r="M207" s="291"/>
      <c r="N207" s="164"/>
      <c r="O207" s="164"/>
      <c r="P207" s="164"/>
      <c r="Q207" s="175">
        <f t="shared" si="28"/>
        <v>0</v>
      </c>
      <c r="R207" s="164"/>
      <c r="S207" s="197">
        <f t="shared" si="23"/>
        <v>0</v>
      </c>
      <c r="T207" s="201" t="str" cm="1">
        <f t="array" ref="T207">IFERROR(IF(F207="甲",IF(K207&gt;3500000,VLOOKUP(3500000,源泉DB!$B$261:$L$261,L207+3)+ROUNDDOWN((K207-3500000)*45.945%,0),IF(AND(K207&gt;2250000,K207&lt;3500000),VLOOKUP(2250000,源泉DB!$B$260:$K$260,L207+3)+ROUNDDOWN((K207-2250000)*40.84%,0),IF(AND(K207&gt;2210000,K207&lt;2250000),VLOOKUP(2210000,源泉DB!$B$259:$K$259,L207+3)+ROUNDDOWN((K207-2210000)*40.84%,0),IF(AND(K207&gt;2170000,K207&lt;2210000),VLOOKUP(2170000,源泉DB!$B$258:$K$258,L207+3)+ROUNDDOWN((K207-2170000)*40.84%,0),IF(AND(K207&gt;1700000,K207&lt;2170000),VLOOKUP(1700000,源泉DB!$B$257:$K$257,L207+3)+ROUNDDOWN((K207-1700000)*40.84%,0),IF(AND(K207&gt;950000,K207&lt;1700000),VLOOKUP(950000,源泉DB!$B$256:$K$256,L207+3)+ROUNDDOWN((K207-950000)*33.693%,0),IF(AND(K207&gt;780000,K207&lt;950000),VLOOKUP(780000,源泉DB!$B$255:$K$255,L207+3)+ROUNDDOWN((K207-780000)*23.483%,0),IF(AND(K207&gt;740000,K207&lt;780000),VLOOKUP(740000,源泉DB!$B$254:$K$254,L207+3)+ROUNDDOWN((K207-740000)*20.42%,0),VLOOKUP(K207,源泉DB!$B$8:$K$299,L207+3))))))))),IF(F207="乙",IF(K207&gt;1700000,651900+(K207-1700000) *45.945%,IF(K207=1700000,651900,IF(AND(K207&gt;740000,K207&lt;1700000),259800+(K207-740000)*40.84%,IF(K207=740000,259800,IF(K207&lt;88000,ROUNDDOWN(K207*3.063%,9),VLOOKUP(K207,源泉DB!$B$8:$L$254,11)))))),"")),"")</f>
        <v/>
      </c>
      <c r="U207" s="165"/>
      <c r="V207" s="166"/>
      <c r="W207" s="166"/>
      <c r="X207" s="166"/>
      <c r="Y207" s="166"/>
      <c r="Z207" s="178">
        <f>ROUND(IFERROR(IF(($G207="加入"),VLOOKUP($I207,年金DB!$G$16:$P$65,6,TRUE),0),0)-0.1,0)</f>
        <v>0</v>
      </c>
      <c r="AA207" s="178">
        <f>ROUND(IFERROR(IF(AND($G207="加入",$D207&gt;=40,$D207&lt;=64),VLOOKUP($I207,年金DB!$G$16:$P$65,10,TRUE),0),0)-0.1,0)</f>
        <v>0</v>
      </c>
      <c r="AB207" s="178">
        <f>ROUND(IFERROR(IF(AND($G207="加入",$D207&lt;40),VLOOKUP($J207,年金DB!$G$16:$X$62,14,TRUE),IF(AND($G207="加入",$D207&gt;=40),VLOOKUP($J207,年金DB!$G$16:$X$62,14,TRUE),"0")),0)-0.1,0)</f>
        <v>0</v>
      </c>
      <c r="AC207" s="178">
        <f t="shared" si="27"/>
        <v>0</v>
      </c>
      <c r="AD207" s="21">
        <f t="shared" si="24"/>
        <v>0</v>
      </c>
      <c r="AE207" s="173">
        <f t="shared" si="25"/>
        <v>0</v>
      </c>
      <c r="AF207" s="14" t="str">
        <f t="shared" si="26"/>
        <v/>
      </c>
      <c r="AG207" s="14"/>
      <c r="AH207" s="14"/>
    </row>
    <row r="208" spans="1:34">
      <c r="A208" s="28"/>
      <c r="B208" s="180"/>
      <c r="C208" s="188"/>
      <c r="D208" s="161"/>
      <c r="E208" s="162"/>
      <c r="F208" s="162"/>
      <c r="G208" s="163"/>
      <c r="H208" s="285"/>
      <c r="I208" s="282"/>
      <c r="J208" s="16"/>
      <c r="K208" s="18">
        <f t="shared" si="22"/>
        <v>0</v>
      </c>
      <c r="L208" s="288">
        <v>0</v>
      </c>
      <c r="M208" s="291"/>
      <c r="N208" s="164"/>
      <c r="O208" s="164"/>
      <c r="P208" s="164"/>
      <c r="Q208" s="175">
        <f t="shared" si="28"/>
        <v>0</v>
      </c>
      <c r="R208" s="164"/>
      <c r="S208" s="197">
        <f t="shared" si="23"/>
        <v>0</v>
      </c>
      <c r="T208" s="201" t="str" cm="1">
        <f t="array" ref="T208">IFERROR(IF(F208="甲",IF(K208&gt;3500000,VLOOKUP(3500000,源泉DB!$B$261:$L$261,L208+3)+ROUNDDOWN((K208-3500000)*45.945%,0),IF(AND(K208&gt;2250000,K208&lt;3500000),VLOOKUP(2250000,源泉DB!$B$260:$K$260,L208+3)+ROUNDDOWN((K208-2250000)*40.84%,0),IF(AND(K208&gt;2210000,K208&lt;2250000),VLOOKUP(2210000,源泉DB!$B$259:$K$259,L208+3)+ROUNDDOWN((K208-2210000)*40.84%,0),IF(AND(K208&gt;2170000,K208&lt;2210000),VLOOKUP(2170000,源泉DB!$B$258:$K$258,L208+3)+ROUNDDOWN((K208-2170000)*40.84%,0),IF(AND(K208&gt;1700000,K208&lt;2170000),VLOOKUP(1700000,源泉DB!$B$257:$K$257,L208+3)+ROUNDDOWN((K208-1700000)*40.84%,0),IF(AND(K208&gt;950000,K208&lt;1700000),VLOOKUP(950000,源泉DB!$B$256:$K$256,L208+3)+ROUNDDOWN((K208-950000)*33.693%,0),IF(AND(K208&gt;780000,K208&lt;950000),VLOOKUP(780000,源泉DB!$B$255:$K$255,L208+3)+ROUNDDOWN((K208-780000)*23.483%,0),IF(AND(K208&gt;740000,K208&lt;780000),VLOOKUP(740000,源泉DB!$B$254:$K$254,L208+3)+ROUNDDOWN((K208-740000)*20.42%,0),VLOOKUP(K208,源泉DB!$B$8:$K$299,L208+3))))))))),IF(F208="乙",IF(K208&gt;1700000,651900+(K208-1700000) *45.945%,IF(K208=1700000,651900,IF(AND(K208&gt;740000,K208&lt;1700000),259800+(K208-740000)*40.84%,IF(K208=740000,259800,IF(K208&lt;88000,ROUNDDOWN(K208*3.063%,9),VLOOKUP(K208,源泉DB!$B$8:$L$254,11)))))),"")),"")</f>
        <v/>
      </c>
      <c r="U208" s="165"/>
      <c r="V208" s="166"/>
      <c r="W208" s="166"/>
      <c r="X208" s="166"/>
      <c r="Y208" s="166"/>
      <c r="Z208" s="178">
        <f>ROUND(IFERROR(IF(($G208="加入"),VLOOKUP($I208,年金DB!$G$16:$P$65,6,TRUE),0),0)-0.1,0)</f>
        <v>0</v>
      </c>
      <c r="AA208" s="178">
        <f>ROUND(IFERROR(IF(AND($G208="加入",$D208&gt;=40,$D208&lt;=64),VLOOKUP($I208,年金DB!$G$16:$P$65,10,TRUE),0),0)-0.1,0)</f>
        <v>0</v>
      </c>
      <c r="AB208" s="178">
        <f>ROUND(IFERROR(IF(AND($G208="加入",$D208&lt;40),VLOOKUP($J208,年金DB!$G$16:$X$62,14,TRUE),IF(AND($G208="加入",$D208&gt;=40),VLOOKUP($J208,年金DB!$G$16:$X$62,14,TRUE),"0")),0)-0.1,0)</f>
        <v>0</v>
      </c>
      <c r="AC208" s="178">
        <f t="shared" si="27"/>
        <v>0</v>
      </c>
      <c r="AD208" s="21">
        <f t="shared" si="24"/>
        <v>0</v>
      </c>
      <c r="AE208" s="173">
        <f t="shared" si="25"/>
        <v>0</v>
      </c>
      <c r="AF208" s="14" t="str">
        <f t="shared" si="26"/>
        <v/>
      </c>
      <c r="AG208" s="14"/>
      <c r="AH208" s="14"/>
    </row>
    <row r="209" spans="1:34">
      <c r="A209" s="28"/>
      <c r="B209" s="180"/>
      <c r="C209" s="188"/>
      <c r="D209" s="161"/>
      <c r="E209" s="162"/>
      <c r="F209" s="162"/>
      <c r="G209" s="163"/>
      <c r="H209" s="285"/>
      <c r="I209" s="282"/>
      <c r="J209" s="16"/>
      <c r="K209" s="18">
        <f t="shared" si="22"/>
        <v>0</v>
      </c>
      <c r="L209" s="288">
        <v>0</v>
      </c>
      <c r="M209" s="291"/>
      <c r="N209" s="164"/>
      <c r="O209" s="164"/>
      <c r="P209" s="164"/>
      <c r="Q209" s="175">
        <f t="shared" si="28"/>
        <v>0</v>
      </c>
      <c r="R209" s="164"/>
      <c r="S209" s="197">
        <f t="shared" si="23"/>
        <v>0</v>
      </c>
      <c r="T209" s="201" t="str" cm="1">
        <f t="array" ref="T209">IFERROR(IF(F209="甲",IF(K209&gt;3500000,VLOOKUP(3500000,源泉DB!$B$261:$L$261,L209+3)+ROUNDDOWN((K209-3500000)*45.945%,0),IF(AND(K209&gt;2250000,K209&lt;3500000),VLOOKUP(2250000,源泉DB!$B$260:$K$260,L209+3)+ROUNDDOWN((K209-2250000)*40.84%,0),IF(AND(K209&gt;2210000,K209&lt;2250000),VLOOKUP(2210000,源泉DB!$B$259:$K$259,L209+3)+ROUNDDOWN((K209-2210000)*40.84%,0),IF(AND(K209&gt;2170000,K209&lt;2210000),VLOOKUP(2170000,源泉DB!$B$258:$K$258,L209+3)+ROUNDDOWN((K209-2170000)*40.84%,0),IF(AND(K209&gt;1700000,K209&lt;2170000),VLOOKUP(1700000,源泉DB!$B$257:$K$257,L209+3)+ROUNDDOWN((K209-1700000)*40.84%,0),IF(AND(K209&gt;950000,K209&lt;1700000),VLOOKUP(950000,源泉DB!$B$256:$K$256,L209+3)+ROUNDDOWN((K209-950000)*33.693%,0),IF(AND(K209&gt;780000,K209&lt;950000),VLOOKUP(780000,源泉DB!$B$255:$K$255,L209+3)+ROUNDDOWN((K209-780000)*23.483%,0),IF(AND(K209&gt;740000,K209&lt;780000),VLOOKUP(740000,源泉DB!$B$254:$K$254,L209+3)+ROUNDDOWN((K209-740000)*20.42%,0),VLOOKUP(K209,源泉DB!$B$8:$K$299,L209+3))))))))),IF(F209="乙",IF(K209&gt;1700000,651900+(K209-1700000) *45.945%,IF(K209=1700000,651900,IF(AND(K209&gt;740000,K209&lt;1700000),259800+(K209-740000)*40.84%,IF(K209=740000,259800,IF(K209&lt;88000,ROUNDDOWN(K209*3.063%,9),VLOOKUP(K209,源泉DB!$B$8:$L$254,11)))))),"")),"")</f>
        <v/>
      </c>
      <c r="U209" s="165"/>
      <c r="V209" s="166"/>
      <c r="W209" s="166"/>
      <c r="X209" s="166"/>
      <c r="Y209" s="166"/>
      <c r="Z209" s="178">
        <f>ROUND(IFERROR(IF(($G209="加入"),VLOOKUP($I209,年金DB!$G$16:$P$65,6,TRUE),0),0)-0.1,0)</f>
        <v>0</v>
      </c>
      <c r="AA209" s="178">
        <f>ROUND(IFERROR(IF(AND($G209="加入",$D209&gt;=40,$D209&lt;=64),VLOOKUP($I209,年金DB!$G$16:$P$65,10,TRUE),0),0)-0.1,0)</f>
        <v>0</v>
      </c>
      <c r="AB209" s="178">
        <f>ROUND(IFERROR(IF(AND($G209="加入",$D209&lt;40),VLOOKUP($J209,年金DB!$G$16:$X$62,14,TRUE),IF(AND($G209="加入",$D209&gt;=40),VLOOKUP($J209,年金DB!$G$16:$X$62,14,TRUE),"0")),0)-0.1,0)</f>
        <v>0</v>
      </c>
      <c r="AC209" s="178">
        <f t="shared" si="27"/>
        <v>0</v>
      </c>
      <c r="AD209" s="21">
        <f t="shared" si="24"/>
        <v>0</v>
      </c>
      <c r="AE209" s="173">
        <f t="shared" si="25"/>
        <v>0</v>
      </c>
      <c r="AF209" s="14" t="str">
        <f t="shared" si="26"/>
        <v/>
      </c>
      <c r="AG209" s="14"/>
      <c r="AH209" s="14"/>
    </row>
    <row r="210" spans="1:34">
      <c r="A210" s="28"/>
      <c r="B210" s="180"/>
      <c r="C210" s="188"/>
      <c r="D210" s="161"/>
      <c r="E210" s="162"/>
      <c r="F210" s="162"/>
      <c r="G210" s="163"/>
      <c r="H210" s="285"/>
      <c r="I210" s="282"/>
      <c r="J210" s="16"/>
      <c r="K210" s="18">
        <f t="shared" si="22"/>
        <v>0</v>
      </c>
      <c r="L210" s="288">
        <v>0</v>
      </c>
      <c r="M210" s="291"/>
      <c r="N210" s="164"/>
      <c r="O210" s="164"/>
      <c r="P210" s="164"/>
      <c r="Q210" s="175">
        <f t="shared" si="28"/>
        <v>0</v>
      </c>
      <c r="R210" s="164"/>
      <c r="S210" s="197">
        <f t="shared" si="23"/>
        <v>0</v>
      </c>
      <c r="T210" s="201" t="str" cm="1">
        <f t="array" ref="T210">IFERROR(IF(F210="甲",IF(K210&gt;3500000,VLOOKUP(3500000,源泉DB!$B$261:$L$261,L210+3)+ROUNDDOWN((K210-3500000)*45.945%,0),IF(AND(K210&gt;2250000,K210&lt;3500000),VLOOKUP(2250000,源泉DB!$B$260:$K$260,L210+3)+ROUNDDOWN((K210-2250000)*40.84%,0),IF(AND(K210&gt;2210000,K210&lt;2250000),VLOOKUP(2210000,源泉DB!$B$259:$K$259,L210+3)+ROUNDDOWN((K210-2210000)*40.84%,0),IF(AND(K210&gt;2170000,K210&lt;2210000),VLOOKUP(2170000,源泉DB!$B$258:$K$258,L210+3)+ROUNDDOWN((K210-2170000)*40.84%,0),IF(AND(K210&gt;1700000,K210&lt;2170000),VLOOKUP(1700000,源泉DB!$B$257:$K$257,L210+3)+ROUNDDOWN((K210-1700000)*40.84%,0),IF(AND(K210&gt;950000,K210&lt;1700000),VLOOKUP(950000,源泉DB!$B$256:$K$256,L210+3)+ROUNDDOWN((K210-950000)*33.693%,0),IF(AND(K210&gt;780000,K210&lt;950000),VLOOKUP(780000,源泉DB!$B$255:$K$255,L210+3)+ROUNDDOWN((K210-780000)*23.483%,0),IF(AND(K210&gt;740000,K210&lt;780000),VLOOKUP(740000,源泉DB!$B$254:$K$254,L210+3)+ROUNDDOWN((K210-740000)*20.42%,0),VLOOKUP(K210,源泉DB!$B$8:$K$299,L210+3))))))))),IF(F210="乙",IF(K210&gt;1700000,651900+(K210-1700000) *45.945%,IF(K210=1700000,651900,IF(AND(K210&gt;740000,K210&lt;1700000),259800+(K210-740000)*40.84%,IF(K210=740000,259800,IF(K210&lt;88000,ROUNDDOWN(K210*3.063%,9),VLOOKUP(K210,源泉DB!$B$8:$L$254,11)))))),"")),"")</f>
        <v/>
      </c>
      <c r="U210" s="165"/>
      <c r="V210" s="166"/>
      <c r="W210" s="166"/>
      <c r="X210" s="166"/>
      <c r="Y210" s="166"/>
      <c r="Z210" s="178">
        <f>ROUND(IFERROR(IF(($G210="加入"),VLOOKUP($I210,年金DB!$G$16:$P$65,6,TRUE),0),0)-0.1,0)</f>
        <v>0</v>
      </c>
      <c r="AA210" s="178">
        <f>ROUND(IFERROR(IF(AND($G210="加入",$D210&gt;=40,$D210&lt;=64),VLOOKUP($I210,年金DB!$G$16:$P$65,10,TRUE),0),0)-0.1,0)</f>
        <v>0</v>
      </c>
      <c r="AB210" s="178">
        <f>ROUND(IFERROR(IF(AND($G210="加入",$D210&lt;40),VLOOKUP($J210,年金DB!$G$16:$X$62,14,TRUE),IF(AND($G210="加入",$D210&gt;=40),VLOOKUP($J210,年金DB!$G$16:$X$62,14,TRUE),"0")),0)-0.1,0)</f>
        <v>0</v>
      </c>
      <c r="AC210" s="178">
        <f t="shared" si="27"/>
        <v>0</v>
      </c>
      <c r="AD210" s="21">
        <f t="shared" si="24"/>
        <v>0</v>
      </c>
      <c r="AE210" s="173">
        <f t="shared" si="25"/>
        <v>0</v>
      </c>
      <c r="AF210" s="14" t="str">
        <f t="shared" si="26"/>
        <v/>
      </c>
      <c r="AG210" s="14"/>
      <c r="AH210" s="14"/>
    </row>
    <row r="211" spans="1:34">
      <c r="A211" s="28"/>
      <c r="B211" s="180"/>
      <c r="C211" s="188"/>
      <c r="D211" s="161"/>
      <c r="E211" s="162"/>
      <c r="F211" s="162"/>
      <c r="G211" s="163"/>
      <c r="H211" s="285"/>
      <c r="I211" s="282"/>
      <c r="J211" s="16"/>
      <c r="K211" s="18">
        <f t="shared" si="22"/>
        <v>0</v>
      </c>
      <c r="L211" s="288">
        <v>0</v>
      </c>
      <c r="M211" s="291"/>
      <c r="N211" s="164"/>
      <c r="O211" s="164"/>
      <c r="P211" s="164"/>
      <c r="Q211" s="175">
        <f t="shared" si="28"/>
        <v>0</v>
      </c>
      <c r="R211" s="164"/>
      <c r="S211" s="197">
        <f t="shared" si="23"/>
        <v>0</v>
      </c>
      <c r="T211" s="201" t="str" cm="1">
        <f t="array" ref="T211">IFERROR(IF(F211="甲",IF(K211&gt;3500000,VLOOKUP(3500000,源泉DB!$B$261:$L$261,L211+3)+ROUNDDOWN((K211-3500000)*45.945%,0),IF(AND(K211&gt;2250000,K211&lt;3500000),VLOOKUP(2250000,源泉DB!$B$260:$K$260,L211+3)+ROUNDDOWN((K211-2250000)*40.84%,0),IF(AND(K211&gt;2210000,K211&lt;2250000),VLOOKUP(2210000,源泉DB!$B$259:$K$259,L211+3)+ROUNDDOWN((K211-2210000)*40.84%,0),IF(AND(K211&gt;2170000,K211&lt;2210000),VLOOKUP(2170000,源泉DB!$B$258:$K$258,L211+3)+ROUNDDOWN((K211-2170000)*40.84%,0),IF(AND(K211&gt;1700000,K211&lt;2170000),VLOOKUP(1700000,源泉DB!$B$257:$K$257,L211+3)+ROUNDDOWN((K211-1700000)*40.84%,0),IF(AND(K211&gt;950000,K211&lt;1700000),VLOOKUP(950000,源泉DB!$B$256:$K$256,L211+3)+ROUNDDOWN((K211-950000)*33.693%,0),IF(AND(K211&gt;780000,K211&lt;950000),VLOOKUP(780000,源泉DB!$B$255:$K$255,L211+3)+ROUNDDOWN((K211-780000)*23.483%,0),IF(AND(K211&gt;740000,K211&lt;780000),VLOOKUP(740000,源泉DB!$B$254:$K$254,L211+3)+ROUNDDOWN((K211-740000)*20.42%,0),VLOOKUP(K211,源泉DB!$B$8:$K$299,L211+3))))))))),IF(F211="乙",IF(K211&gt;1700000,651900+(K211-1700000) *45.945%,IF(K211=1700000,651900,IF(AND(K211&gt;740000,K211&lt;1700000),259800+(K211-740000)*40.84%,IF(K211=740000,259800,IF(K211&lt;88000,ROUNDDOWN(K211*3.063%,9),VLOOKUP(K211,源泉DB!$B$8:$L$254,11)))))),"")),"")</f>
        <v/>
      </c>
      <c r="U211" s="165"/>
      <c r="V211" s="166"/>
      <c r="W211" s="166"/>
      <c r="X211" s="166"/>
      <c r="Y211" s="166"/>
      <c r="Z211" s="178">
        <f>ROUND(IFERROR(IF(($G211="加入"),VLOOKUP($I211,年金DB!$G$16:$P$65,6,TRUE),0),0)-0.1,0)</f>
        <v>0</v>
      </c>
      <c r="AA211" s="178">
        <f>ROUND(IFERROR(IF(AND($G211="加入",$D211&gt;=40,$D211&lt;=64),VLOOKUP($I211,年金DB!$G$16:$P$65,10,TRUE),0),0)-0.1,0)</f>
        <v>0</v>
      </c>
      <c r="AB211" s="178">
        <f>ROUND(IFERROR(IF(AND($G211="加入",$D211&lt;40),VLOOKUP($J211,年金DB!$G$16:$X$62,14,TRUE),IF(AND($G211="加入",$D211&gt;=40),VLOOKUP($J211,年金DB!$G$16:$X$62,14,TRUE),"0")),0)-0.1,0)</f>
        <v>0</v>
      </c>
      <c r="AC211" s="178">
        <f t="shared" si="27"/>
        <v>0</v>
      </c>
      <c r="AD211" s="21">
        <f t="shared" si="24"/>
        <v>0</v>
      </c>
      <c r="AE211" s="173">
        <f t="shared" si="25"/>
        <v>0</v>
      </c>
      <c r="AF211" s="14" t="str">
        <f t="shared" si="26"/>
        <v/>
      </c>
      <c r="AG211" s="14"/>
      <c r="AH211" s="14"/>
    </row>
    <row r="212" spans="1:34">
      <c r="A212" s="28"/>
      <c r="B212" s="180"/>
      <c r="C212" s="188"/>
      <c r="D212" s="161"/>
      <c r="E212" s="162"/>
      <c r="F212" s="162"/>
      <c r="G212" s="163"/>
      <c r="H212" s="285"/>
      <c r="I212" s="282"/>
      <c r="J212" s="16"/>
      <c r="K212" s="18">
        <f t="shared" si="22"/>
        <v>0</v>
      </c>
      <c r="L212" s="288">
        <v>0</v>
      </c>
      <c r="M212" s="291"/>
      <c r="N212" s="164"/>
      <c r="O212" s="164"/>
      <c r="P212" s="164"/>
      <c r="Q212" s="175">
        <f t="shared" si="28"/>
        <v>0</v>
      </c>
      <c r="R212" s="164"/>
      <c r="S212" s="197">
        <f t="shared" si="23"/>
        <v>0</v>
      </c>
      <c r="T212" s="201" t="str" cm="1">
        <f t="array" ref="T212">IFERROR(IF(F212="甲",IF(K212&gt;3500000,VLOOKUP(3500000,源泉DB!$B$261:$L$261,L212+3)+ROUNDDOWN((K212-3500000)*45.945%,0),IF(AND(K212&gt;2250000,K212&lt;3500000),VLOOKUP(2250000,源泉DB!$B$260:$K$260,L212+3)+ROUNDDOWN((K212-2250000)*40.84%,0),IF(AND(K212&gt;2210000,K212&lt;2250000),VLOOKUP(2210000,源泉DB!$B$259:$K$259,L212+3)+ROUNDDOWN((K212-2210000)*40.84%,0),IF(AND(K212&gt;2170000,K212&lt;2210000),VLOOKUP(2170000,源泉DB!$B$258:$K$258,L212+3)+ROUNDDOWN((K212-2170000)*40.84%,0),IF(AND(K212&gt;1700000,K212&lt;2170000),VLOOKUP(1700000,源泉DB!$B$257:$K$257,L212+3)+ROUNDDOWN((K212-1700000)*40.84%,0),IF(AND(K212&gt;950000,K212&lt;1700000),VLOOKUP(950000,源泉DB!$B$256:$K$256,L212+3)+ROUNDDOWN((K212-950000)*33.693%,0),IF(AND(K212&gt;780000,K212&lt;950000),VLOOKUP(780000,源泉DB!$B$255:$K$255,L212+3)+ROUNDDOWN((K212-780000)*23.483%,0),IF(AND(K212&gt;740000,K212&lt;780000),VLOOKUP(740000,源泉DB!$B$254:$K$254,L212+3)+ROUNDDOWN((K212-740000)*20.42%,0),VLOOKUP(K212,源泉DB!$B$8:$K$299,L212+3))))))))),IF(F212="乙",IF(K212&gt;1700000,651900+(K212-1700000) *45.945%,IF(K212=1700000,651900,IF(AND(K212&gt;740000,K212&lt;1700000),259800+(K212-740000)*40.84%,IF(K212=740000,259800,IF(K212&lt;88000,ROUNDDOWN(K212*3.063%,9),VLOOKUP(K212,源泉DB!$B$8:$L$254,11)))))),"")),"")</f>
        <v/>
      </c>
      <c r="U212" s="165"/>
      <c r="V212" s="166"/>
      <c r="W212" s="166"/>
      <c r="X212" s="166"/>
      <c r="Y212" s="166"/>
      <c r="Z212" s="178">
        <f>ROUND(IFERROR(IF(($G212="加入"),VLOOKUP($I212,年金DB!$G$16:$P$65,6,TRUE),0),0)-0.1,0)</f>
        <v>0</v>
      </c>
      <c r="AA212" s="178">
        <f>ROUND(IFERROR(IF(AND($G212="加入",$D212&gt;=40,$D212&lt;=64),VLOOKUP($I212,年金DB!$G$16:$P$65,10,TRUE),0),0)-0.1,0)</f>
        <v>0</v>
      </c>
      <c r="AB212" s="178">
        <f>ROUND(IFERROR(IF(AND($G212="加入",$D212&lt;40),VLOOKUP($J212,年金DB!$G$16:$X$62,14,TRUE),IF(AND($G212="加入",$D212&gt;=40),VLOOKUP($J212,年金DB!$G$16:$X$62,14,TRUE),"0")),0)-0.1,0)</f>
        <v>0</v>
      </c>
      <c r="AC212" s="178">
        <f t="shared" si="27"/>
        <v>0</v>
      </c>
      <c r="AD212" s="21">
        <f t="shared" si="24"/>
        <v>0</v>
      </c>
      <c r="AE212" s="173">
        <f t="shared" si="25"/>
        <v>0</v>
      </c>
      <c r="AF212" s="14" t="str">
        <f t="shared" si="26"/>
        <v/>
      </c>
      <c r="AG212" s="14"/>
      <c r="AH212" s="14"/>
    </row>
    <row r="213" spans="1:34">
      <c r="A213" s="28"/>
      <c r="B213" s="180"/>
      <c r="C213" s="188"/>
      <c r="D213" s="161"/>
      <c r="E213" s="162"/>
      <c r="F213" s="162"/>
      <c r="G213" s="163"/>
      <c r="H213" s="285"/>
      <c r="I213" s="282"/>
      <c r="J213" s="16"/>
      <c r="K213" s="18">
        <f t="shared" si="22"/>
        <v>0</v>
      </c>
      <c r="L213" s="288">
        <v>0</v>
      </c>
      <c r="M213" s="291"/>
      <c r="N213" s="164"/>
      <c r="O213" s="164"/>
      <c r="P213" s="164"/>
      <c r="Q213" s="175">
        <f t="shared" si="28"/>
        <v>0</v>
      </c>
      <c r="R213" s="164"/>
      <c r="S213" s="197">
        <f t="shared" si="23"/>
        <v>0</v>
      </c>
      <c r="T213" s="201" t="str" cm="1">
        <f t="array" ref="T213">IFERROR(IF(F213="甲",IF(K213&gt;3500000,VLOOKUP(3500000,源泉DB!$B$261:$L$261,L213+3)+ROUNDDOWN((K213-3500000)*45.945%,0),IF(AND(K213&gt;2250000,K213&lt;3500000),VLOOKUP(2250000,源泉DB!$B$260:$K$260,L213+3)+ROUNDDOWN((K213-2250000)*40.84%,0),IF(AND(K213&gt;2210000,K213&lt;2250000),VLOOKUP(2210000,源泉DB!$B$259:$K$259,L213+3)+ROUNDDOWN((K213-2210000)*40.84%,0),IF(AND(K213&gt;2170000,K213&lt;2210000),VLOOKUP(2170000,源泉DB!$B$258:$K$258,L213+3)+ROUNDDOWN((K213-2170000)*40.84%,0),IF(AND(K213&gt;1700000,K213&lt;2170000),VLOOKUP(1700000,源泉DB!$B$257:$K$257,L213+3)+ROUNDDOWN((K213-1700000)*40.84%,0),IF(AND(K213&gt;950000,K213&lt;1700000),VLOOKUP(950000,源泉DB!$B$256:$K$256,L213+3)+ROUNDDOWN((K213-950000)*33.693%,0),IF(AND(K213&gt;780000,K213&lt;950000),VLOOKUP(780000,源泉DB!$B$255:$K$255,L213+3)+ROUNDDOWN((K213-780000)*23.483%,0),IF(AND(K213&gt;740000,K213&lt;780000),VLOOKUP(740000,源泉DB!$B$254:$K$254,L213+3)+ROUNDDOWN((K213-740000)*20.42%,0),VLOOKUP(K213,源泉DB!$B$8:$K$299,L213+3))))))))),IF(F213="乙",IF(K213&gt;1700000,651900+(K213-1700000) *45.945%,IF(K213=1700000,651900,IF(AND(K213&gt;740000,K213&lt;1700000),259800+(K213-740000)*40.84%,IF(K213=740000,259800,IF(K213&lt;88000,ROUNDDOWN(K213*3.063%,9),VLOOKUP(K213,源泉DB!$B$8:$L$254,11)))))),"")),"")</f>
        <v/>
      </c>
      <c r="U213" s="165"/>
      <c r="V213" s="166"/>
      <c r="W213" s="166"/>
      <c r="X213" s="166"/>
      <c r="Y213" s="166"/>
      <c r="Z213" s="178">
        <f>ROUND(IFERROR(IF(($G213="加入"),VLOOKUP($I213,年金DB!$G$16:$P$65,6,TRUE),0),0)-0.1,0)</f>
        <v>0</v>
      </c>
      <c r="AA213" s="178">
        <f>ROUND(IFERROR(IF(AND($G213="加入",$D213&gt;=40,$D213&lt;=64),VLOOKUP($I213,年金DB!$G$16:$P$65,10,TRUE),0),0)-0.1,0)</f>
        <v>0</v>
      </c>
      <c r="AB213" s="178">
        <f>ROUND(IFERROR(IF(AND($G213="加入",$D213&lt;40),VLOOKUP($J213,年金DB!$G$16:$X$62,14,TRUE),IF(AND($G213="加入",$D213&gt;=40),VLOOKUP($J213,年金DB!$G$16:$X$62,14,TRUE),"0")),0)-0.1,0)</f>
        <v>0</v>
      </c>
      <c r="AC213" s="178">
        <f t="shared" si="27"/>
        <v>0</v>
      </c>
      <c r="AD213" s="21">
        <f t="shared" si="24"/>
        <v>0</v>
      </c>
      <c r="AE213" s="173">
        <f t="shared" si="25"/>
        <v>0</v>
      </c>
      <c r="AF213" s="14" t="str">
        <f t="shared" si="26"/>
        <v/>
      </c>
      <c r="AG213" s="14"/>
      <c r="AH213" s="14"/>
    </row>
    <row r="214" spans="1:34">
      <c r="A214" s="28"/>
      <c r="B214" s="180"/>
      <c r="C214" s="188"/>
      <c r="D214" s="161"/>
      <c r="E214" s="162"/>
      <c r="F214" s="162"/>
      <c r="G214" s="163"/>
      <c r="H214" s="285"/>
      <c r="I214" s="282"/>
      <c r="J214" s="16"/>
      <c r="K214" s="18">
        <f t="shared" si="22"/>
        <v>0</v>
      </c>
      <c r="L214" s="288">
        <v>0</v>
      </c>
      <c r="M214" s="291"/>
      <c r="N214" s="164"/>
      <c r="O214" s="164"/>
      <c r="P214" s="164"/>
      <c r="Q214" s="175">
        <f t="shared" si="28"/>
        <v>0</v>
      </c>
      <c r="R214" s="164"/>
      <c r="S214" s="197">
        <f t="shared" si="23"/>
        <v>0</v>
      </c>
      <c r="T214" s="201" t="str" cm="1">
        <f t="array" ref="T214">IFERROR(IF(F214="甲",IF(K214&gt;3500000,VLOOKUP(3500000,源泉DB!$B$261:$L$261,L214+3)+ROUNDDOWN((K214-3500000)*45.945%,0),IF(AND(K214&gt;2250000,K214&lt;3500000),VLOOKUP(2250000,源泉DB!$B$260:$K$260,L214+3)+ROUNDDOWN((K214-2250000)*40.84%,0),IF(AND(K214&gt;2210000,K214&lt;2250000),VLOOKUP(2210000,源泉DB!$B$259:$K$259,L214+3)+ROUNDDOWN((K214-2210000)*40.84%,0),IF(AND(K214&gt;2170000,K214&lt;2210000),VLOOKUP(2170000,源泉DB!$B$258:$K$258,L214+3)+ROUNDDOWN((K214-2170000)*40.84%,0),IF(AND(K214&gt;1700000,K214&lt;2170000),VLOOKUP(1700000,源泉DB!$B$257:$K$257,L214+3)+ROUNDDOWN((K214-1700000)*40.84%,0),IF(AND(K214&gt;950000,K214&lt;1700000),VLOOKUP(950000,源泉DB!$B$256:$K$256,L214+3)+ROUNDDOWN((K214-950000)*33.693%,0),IF(AND(K214&gt;780000,K214&lt;950000),VLOOKUP(780000,源泉DB!$B$255:$K$255,L214+3)+ROUNDDOWN((K214-780000)*23.483%,0),IF(AND(K214&gt;740000,K214&lt;780000),VLOOKUP(740000,源泉DB!$B$254:$K$254,L214+3)+ROUNDDOWN((K214-740000)*20.42%,0),VLOOKUP(K214,源泉DB!$B$8:$K$299,L214+3))))))))),IF(F214="乙",IF(K214&gt;1700000,651900+(K214-1700000) *45.945%,IF(K214=1700000,651900,IF(AND(K214&gt;740000,K214&lt;1700000),259800+(K214-740000)*40.84%,IF(K214=740000,259800,IF(K214&lt;88000,ROUNDDOWN(K214*3.063%,9),VLOOKUP(K214,源泉DB!$B$8:$L$254,11)))))),"")),"")</f>
        <v/>
      </c>
      <c r="U214" s="165"/>
      <c r="V214" s="166"/>
      <c r="W214" s="166"/>
      <c r="X214" s="166"/>
      <c r="Y214" s="166"/>
      <c r="Z214" s="178">
        <f>ROUND(IFERROR(IF(($G214="加入"),VLOOKUP($I214,年金DB!$G$16:$P$65,6,TRUE),0),0)-0.1,0)</f>
        <v>0</v>
      </c>
      <c r="AA214" s="178">
        <f>ROUND(IFERROR(IF(AND($G214="加入",$D214&gt;=40,$D214&lt;=64),VLOOKUP($I214,年金DB!$G$16:$P$65,10,TRUE),0),0)-0.1,0)</f>
        <v>0</v>
      </c>
      <c r="AB214" s="178">
        <f>ROUND(IFERROR(IF(AND($G214="加入",$D214&lt;40),VLOOKUP($J214,年金DB!$G$16:$X$62,14,TRUE),IF(AND($G214="加入",$D214&gt;=40),VLOOKUP($J214,年金DB!$G$16:$X$62,14,TRUE),"0")),0)-0.1,0)</f>
        <v>0</v>
      </c>
      <c r="AC214" s="178">
        <f t="shared" si="27"/>
        <v>0</v>
      </c>
      <c r="AD214" s="21">
        <f t="shared" si="24"/>
        <v>0</v>
      </c>
      <c r="AE214" s="173">
        <f t="shared" si="25"/>
        <v>0</v>
      </c>
      <c r="AF214" s="14" t="str">
        <f t="shared" si="26"/>
        <v/>
      </c>
      <c r="AG214" s="14"/>
      <c r="AH214" s="14"/>
    </row>
    <row r="215" spans="1:34">
      <c r="A215" s="28"/>
      <c r="B215" s="180"/>
      <c r="C215" s="188"/>
      <c r="D215" s="161"/>
      <c r="E215" s="162"/>
      <c r="F215" s="162"/>
      <c r="G215" s="163"/>
      <c r="H215" s="285"/>
      <c r="I215" s="282"/>
      <c r="J215" s="16"/>
      <c r="K215" s="18">
        <f t="shared" si="22"/>
        <v>0</v>
      </c>
      <c r="L215" s="288">
        <v>0</v>
      </c>
      <c r="M215" s="291"/>
      <c r="N215" s="164"/>
      <c r="O215" s="164"/>
      <c r="P215" s="164"/>
      <c r="Q215" s="175">
        <f t="shared" si="28"/>
        <v>0</v>
      </c>
      <c r="R215" s="164"/>
      <c r="S215" s="197">
        <f t="shared" si="23"/>
        <v>0</v>
      </c>
      <c r="T215" s="201" t="str" cm="1">
        <f t="array" ref="T215">IFERROR(IF(F215="甲",IF(K215&gt;3500000,VLOOKUP(3500000,源泉DB!$B$261:$L$261,L215+3)+ROUNDDOWN((K215-3500000)*45.945%,0),IF(AND(K215&gt;2250000,K215&lt;3500000),VLOOKUP(2250000,源泉DB!$B$260:$K$260,L215+3)+ROUNDDOWN((K215-2250000)*40.84%,0),IF(AND(K215&gt;2210000,K215&lt;2250000),VLOOKUP(2210000,源泉DB!$B$259:$K$259,L215+3)+ROUNDDOWN((K215-2210000)*40.84%,0),IF(AND(K215&gt;2170000,K215&lt;2210000),VLOOKUP(2170000,源泉DB!$B$258:$K$258,L215+3)+ROUNDDOWN((K215-2170000)*40.84%,0),IF(AND(K215&gt;1700000,K215&lt;2170000),VLOOKUP(1700000,源泉DB!$B$257:$K$257,L215+3)+ROUNDDOWN((K215-1700000)*40.84%,0),IF(AND(K215&gt;950000,K215&lt;1700000),VLOOKUP(950000,源泉DB!$B$256:$K$256,L215+3)+ROUNDDOWN((K215-950000)*33.693%,0),IF(AND(K215&gt;780000,K215&lt;950000),VLOOKUP(780000,源泉DB!$B$255:$K$255,L215+3)+ROUNDDOWN((K215-780000)*23.483%,0),IF(AND(K215&gt;740000,K215&lt;780000),VLOOKUP(740000,源泉DB!$B$254:$K$254,L215+3)+ROUNDDOWN((K215-740000)*20.42%,0),VLOOKUP(K215,源泉DB!$B$8:$K$299,L215+3))))))))),IF(F215="乙",IF(K215&gt;1700000,651900+(K215-1700000) *45.945%,IF(K215=1700000,651900,IF(AND(K215&gt;740000,K215&lt;1700000),259800+(K215-740000)*40.84%,IF(K215=740000,259800,IF(K215&lt;88000,ROUNDDOWN(K215*3.063%,9),VLOOKUP(K215,源泉DB!$B$8:$L$254,11)))))),"")),"")</f>
        <v/>
      </c>
      <c r="U215" s="165"/>
      <c r="V215" s="166"/>
      <c r="W215" s="166"/>
      <c r="X215" s="166"/>
      <c r="Y215" s="166"/>
      <c r="Z215" s="178">
        <f>ROUND(IFERROR(IF(($G215="加入"),VLOOKUP($I215,年金DB!$G$16:$P$65,6,TRUE),0),0)-0.1,0)</f>
        <v>0</v>
      </c>
      <c r="AA215" s="178">
        <f>ROUND(IFERROR(IF(AND($G215="加入",$D215&gt;=40,$D215&lt;=64),VLOOKUP($I215,年金DB!$G$16:$P$65,10,TRUE),0),0)-0.1,0)</f>
        <v>0</v>
      </c>
      <c r="AB215" s="178">
        <f>ROUND(IFERROR(IF(AND($G215="加入",$D215&lt;40),VLOOKUP($J215,年金DB!$G$16:$X$62,14,TRUE),IF(AND($G215="加入",$D215&gt;=40),VLOOKUP($J215,年金DB!$G$16:$X$62,14,TRUE),"0")),0)-0.1,0)</f>
        <v>0</v>
      </c>
      <c r="AC215" s="178">
        <f t="shared" si="27"/>
        <v>0</v>
      </c>
      <c r="AD215" s="21">
        <f t="shared" si="24"/>
        <v>0</v>
      </c>
      <c r="AE215" s="173">
        <f t="shared" si="25"/>
        <v>0</v>
      </c>
      <c r="AF215" s="14" t="str">
        <f t="shared" si="26"/>
        <v/>
      </c>
      <c r="AG215" s="14"/>
      <c r="AH215" s="14"/>
    </row>
    <row r="216" spans="1:34">
      <c r="A216" s="28"/>
      <c r="B216" s="180"/>
      <c r="C216" s="188"/>
      <c r="D216" s="161"/>
      <c r="E216" s="162"/>
      <c r="F216" s="162"/>
      <c r="G216" s="163"/>
      <c r="H216" s="285"/>
      <c r="I216" s="282"/>
      <c r="J216" s="16"/>
      <c r="K216" s="18">
        <f t="shared" si="22"/>
        <v>0</v>
      </c>
      <c r="L216" s="288">
        <v>0</v>
      </c>
      <c r="M216" s="291"/>
      <c r="N216" s="164"/>
      <c r="O216" s="164"/>
      <c r="P216" s="164"/>
      <c r="Q216" s="175">
        <f t="shared" si="28"/>
        <v>0</v>
      </c>
      <c r="R216" s="164"/>
      <c r="S216" s="197">
        <f t="shared" si="23"/>
        <v>0</v>
      </c>
      <c r="T216" s="201" t="str" cm="1">
        <f t="array" ref="T216">IFERROR(IF(F216="甲",IF(K216&gt;3500000,VLOOKUP(3500000,源泉DB!$B$261:$L$261,L216+3)+ROUNDDOWN((K216-3500000)*45.945%,0),IF(AND(K216&gt;2250000,K216&lt;3500000),VLOOKUP(2250000,源泉DB!$B$260:$K$260,L216+3)+ROUNDDOWN((K216-2250000)*40.84%,0),IF(AND(K216&gt;2210000,K216&lt;2250000),VLOOKUP(2210000,源泉DB!$B$259:$K$259,L216+3)+ROUNDDOWN((K216-2210000)*40.84%,0),IF(AND(K216&gt;2170000,K216&lt;2210000),VLOOKUP(2170000,源泉DB!$B$258:$K$258,L216+3)+ROUNDDOWN((K216-2170000)*40.84%,0),IF(AND(K216&gt;1700000,K216&lt;2170000),VLOOKUP(1700000,源泉DB!$B$257:$K$257,L216+3)+ROUNDDOWN((K216-1700000)*40.84%,0),IF(AND(K216&gt;950000,K216&lt;1700000),VLOOKUP(950000,源泉DB!$B$256:$K$256,L216+3)+ROUNDDOWN((K216-950000)*33.693%,0),IF(AND(K216&gt;780000,K216&lt;950000),VLOOKUP(780000,源泉DB!$B$255:$K$255,L216+3)+ROUNDDOWN((K216-780000)*23.483%,0),IF(AND(K216&gt;740000,K216&lt;780000),VLOOKUP(740000,源泉DB!$B$254:$K$254,L216+3)+ROUNDDOWN((K216-740000)*20.42%,0),VLOOKUP(K216,源泉DB!$B$8:$K$299,L216+3))))))))),IF(F216="乙",IF(K216&gt;1700000,651900+(K216-1700000) *45.945%,IF(K216=1700000,651900,IF(AND(K216&gt;740000,K216&lt;1700000),259800+(K216-740000)*40.84%,IF(K216=740000,259800,IF(K216&lt;88000,ROUNDDOWN(K216*3.063%,9),VLOOKUP(K216,源泉DB!$B$8:$L$254,11)))))),"")),"")</f>
        <v/>
      </c>
      <c r="U216" s="165"/>
      <c r="V216" s="166"/>
      <c r="W216" s="166"/>
      <c r="X216" s="166"/>
      <c r="Y216" s="166"/>
      <c r="Z216" s="178">
        <f>ROUND(IFERROR(IF(($G216="加入"),VLOOKUP($I216,年金DB!$G$16:$P$65,6,TRUE),0),0)-0.1,0)</f>
        <v>0</v>
      </c>
      <c r="AA216" s="178">
        <f>ROUND(IFERROR(IF(AND($G216="加入",$D216&gt;=40,$D216&lt;=64),VLOOKUP($I216,年金DB!$G$16:$P$65,10,TRUE),0),0)-0.1,0)</f>
        <v>0</v>
      </c>
      <c r="AB216" s="178">
        <f>ROUND(IFERROR(IF(AND($G216="加入",$D216&lt;40),VLOOKUP($J216,年金DB!$G$16:$X$62,14,TRUE),IF(AND($G216="加入",$D216&gt;=40),VLOOKUP($J216,年金DB!$G$16:$X$62,14,TRUE),"0")),0)-0.1,0)</f>
        <v>0</v>
      </c>
      <c r="AC216" s="178">
        <f t="shared" si="27"/>
        <v>0</v>
      </c>
      <c r="AD216" s="21">
        <f t="shared" si="24"/>
        <v>0</v>
      </c>
      <c r="AE216" s="173">
        <f t="shared" si="25"/>
        <v>0</v>
      </c>
      <c r="AF216" s="14" t="str">
        <f t="shared" si="26"/>
        <v/>
      </c>
      <c r="AG216" s="14"/>
      <c r="AH216" s="14"/>
    </row>
    <row r="217" spans="1:34">
      <c r="A217" s="28"/>
      <c r="B217" s="180"/>
      <c r="C217" s="188"/>
      <c r="D217" s="161"/>
      <c r="E217" s="162"/>
      <c r="F217" s="162"/>
      <c r="G217" s="163"/>
      <c r="H217" s="285"/>
      <c r="I217" s="282"/>
      <c r="J217" s="16"/>
      <c r="K217" s="18">
        <f t="shared" si="22"/>
        <v>0</v>
      </c>
      <c r="L217" s="288">
        <v>0</v>
      </c>
      <c r="M217" s="291"/>
      <c r="N217" s="164"/>
      <c r="O217" s="164"/>
      <c r="P217" s="164"/>
      <c r="Q217" s="175">
        <f t="shared" si="28"/>
        <v>0</v>
      </c>
      <c r="R217" s="164"/>
      <c r="S217" s="197">
        <f t="shared" si="23"/>
        <v>0</v>
      </c>
      <c r="T217" s="201" t="str" cm="1">
        <f t="array" ref="T217">IFERROR(IF(F217="甲",IF(K217&gt;3500000,VLOOKUP(3500000,源泉DB!$B$261:$L$261,L217+3)+ROUNDDOWN((K217-3500000)*45.945%,0),IF(AND(K217&gt;2250000,K217&lt;3500000),VLOOKUP(2250000,源泉DB!$B$260:$K$260,L217+3)+ROUNDDOWN((K217-2250000)*40.84%,0),IF(AND(K217&gt;2210000,K217&lt;2250000),VLOOKUP(2210000,源泉DB!$B$259:$K$259,L217+3)+ROUNDDOWN((K217-2210000)*40.84%,0),IF(AND(K217&gt;2170000,K217&lt;2210000),VLOOKUP(2170000,源泉DB!$B$258:$K$258,L217+3)+ROUNDDOWN((K217-2170000)*40.84%,0),IF(AND(K217&gt;1700000,K217&lt;2170000),VLOOKUP(1700000,源泉DB!$B$257:$K$257,L217+3)+ROUNDDOWN((K217-1700000)*40.84%,0),IF(AND(K217&gt;950000,K217&lt;1700000),VLOOKUP(950000,源泉DB!$B$256:$K$256,L217+3)+ROUNDDOWN((K217-950000)*33.693%,0),IF(AND(K217&gt;780000,K217&lt;950000),VLOOKUP(780000,源泉DB!$B$255:$K$255,L217+3)+ROUNDDOWN((K217-780000)*23.483%,0),IF(AND(K217&gt;740000,K217&lt;780000),VLOOKUP(740000,源泉DB!$B$254:$K$254,L217+3)+ROUNDDOWN((K217-740000)*20.42%,0),VLOOKUP(K217,源泉DB!$B$8:$K$299,L217+3))))))))),IF(F217="乙",IF(K217&gt;1700000,651900+(K217-1700000) *45.945%,IF(K217=1700000,651900,IF(AND(K217&gt;740000,K217&lt;1700000),259800+(K217-740000)*40.84%,IF(K217=740000,259800,IF(K217&lt;88000,ROUNDDOWN(K217*3.063%,9),VLOOKUP(K217,源泉DB!$B$8:$L$254,11)))))),"")),"")</f>
        <v/>
      </c>
      <c r="U217" s="165"/>
      <c r="V217" s="166"/>
      <c r="W217" s="166"/>
      <c r="X217" s="166"/>
      <c r="Y217" s="166"/>
      <c r="Z217" s="178">
        <f>ROUND(IFERROR(IF(($G217="加入"),VLOOKUP($I217,年金DB!$G$16:$P$65,6,TRUE),0),0)-0.1,0)</f>
        <v>0</v>
      </c>
      <c r="AA217" s="178">
        <f>ROUND(IFERROR(IF(AND($G217="加入",$D217&gt;=40,$D217&lt;=64),VLOOKUP($I217,年金DB!$G$16:$P$65,10,TRUE),0),0)-0.1,0)</f>
        <v>0</v>
      </c>
      <c r="AB217" s="178">
        <f>ROUND(IFERROR(IF(AND($G217="加入",$D217&lt;40),VLOOKUP($J217,年金DB!$G$16:$X$62,14,TRUE),IF(AND($G217="加入",$D217&gt;=40),VLOOKUP($J217,年金DB!$G$16:$X$62,14,TRUE),"0")),0)-0.1,0)</f>
        <v>0</v>
      </c>
      <c r="AC217" s="178">
        <f t="shared" si="27"/>
        <v>0</v>
      </c>
      <c r="AD217" s="21">
        <f t="shared" si="24"/>
        <v>0</v>
      </c>
      <c r="AE217" s="173">
        <f t="shared" si="25"/>
        <v>0</v>
      </c>
      <c r="AF217" s="14" t="str">
        <f t="shared" si="26"/>
        <v/>
      </c>
      <c r="AG217" s="14"/>
      <c r="AH217" s="14"/>
    </row>
    <row r="218" spans="1:34">
      <c r="A218" s="28"/>
      <c r="B218" s="180"/>
      <c r="C218" s="188"/>
      <c r="D218" s="161"/>
      <c r="E218" s="162"/>
      <c r="F218" s="162"/>
      <c r="G218" s="163"/>
      <c r="H218" s="285"/>
      <c r="I218" s="282"/>
      <c r="J218" s="16"/>
      <c r="K218" s="18">
        <f t="shared" si="22"/>
        <v>0</v>
      </c>
      <c r="L218" s="288">
        <v>0</v>
      </c>
      <c r="M218" s="291"/>
      <c r="N218" s="164"/>
      <c r="O218" s="164"/>
      <c r="P218" s="164"/>
      <c r="Q218" s="175">
        <f t="shared" si="28"/>
        <v>0</v>
      </c>
      <c r="R218" s="164"/>
      <c r="S218" s="197">
        <f t="shared" si="23"/>
        <v>0</v>
      </c>
      <c r="T218" s="201" t="str" cm="1">
        <f t="array" ref="T218">IFERROR(IF(F218="甲",IF(K218&gt;3500000,VLOOKUP(3500000,源泉DB!$B$261:$L$261,L218+3)+ROUNDDOWN((K218-3500000)*45.945%,0),IF(AND(K218&gt;2250000,K218&lt;3500000),VLOOKUP(2250000,源泉DB!$B$260:$K$260,L218+3)+ROUNDDOWN((K218-2250000)*40.84%,0),IF(AND(K218&gt;2210000,K218&lt;2250000),VLOOKUP(2210000,源泉DB!$B$259:$K$259,L218+3)+ROUNDDOWN((K218-2210000)*40.84%,0),IF(AND(K218&gt;2170000,K218&lt;2210000),VLOOKUP(2170000,源泉DB!$B$258:$K$258,L218+3)+ROUNDDOWN((K218-2170000)*40.84%,0),IF(AND(K218&gt;1700000,K218&lt;2170000),VLOOKUP(1700000,源泉DB!$B$257:$K$257,L218+3)+ROUNDDOWN((K218-1700000)*40.84%,0),IF(AND(K218&gt;950000,K218&lt;1700000),VLOOKUP(950000,源泉DB!$B$256:$K$256,L218+3)+ROUNDDOWN((K218-950000)*33.693%,0),IF(AND(K218&gt;780000,K218&lt;950000),VLOOKUP(780000,源泉DB!$B$255:$K$255,L218+3)+ROUNDDOWN((K218-780000)*23.483%,0),IF(AND(K218&gt;740000,K218&lt;780000),VLOOKUP(740000,源泉DB!$B$254:$K$254,L218+3)+ROUNDDOWN((K218-740000)*20.42%,0),VLOOKUP(K218,源泉DB!$B$8:$K$299,L218+3))))))))),IF(F218="乙",IF(K218&gt;1700000,651900+(K218-1700000) *45.945%,IF(K218=1700000,651900,IF(AND(K218&gt;740000,K218&lt;1700000),259800+(K218-740000)*40.84%,IF(K218=740000,259800,IF(K218&lt;88000,ROUNDDOWN(K218*3.063%,9),VLOOKUP(K218,源泉DB!$B$8:$L$254,11)))))),"")),"")</f>
        <v/>
      </c>
      <c r="U218" s="165"/>
      <c r="V218" s="166"/>
      <c r="W218" s="166"/>
      <c r="X218" s="166"/>
      <c r="Y218" s="166"/>
      <c r="Z218" s="178">
        <f>ROUND(IFERROR(IF(($G218="加入"),VLOOKUP($I218,年金DB!$G$16:$P$65,6,TRUE),0),0)-0.1,0)</f>
        <v>0</v>
      </c>
      <c r="AA218" s="178">
        <f>ROUND(IFERROR(IF(AND($G218="加入",$D218&gt;=40,$D218&lt;=64),VLOOKUP($I218,年金DB!$G$16:$P$65,10,TRUE),0),0)-0.1,0)</f>
        <v>0</v>
      </c>
      <c r="AB218" s="178">
        <f>ROUND(IFERROR(IF(AND($G218="加入",$D218&lt;40),VLOOKUP($J218,年金DB!$G$16:$X$62,14,TRUE),IF(AND($G218="加入",$D218&gt;=40),VLOOKUP($J218,年金DB!$G$16:$X$62,14,TRUE),"0")),0)-0.1,0)</f>
        <v>0</v>
      </c>
      <c r="AC218" s="178">
        <f t="shared" si="27"/>
        <v>0</v>
      </c>
      <c r="AD218" s="21">
        <f t="shared" si="24"/>
        <v>0</v>
      </c>
      <c r="AE218" s="173">
        <f t="shared" si="25"/>
        <v>0</v>
      </c>
      <c r="AF218" s="14" t="str">
        <f t="shared" si="26"/>
        <v/>
      </c>
      <c r="AG218" s="14"/>
      <c r="AH218" s="14"/>
    </row>
    <row r="219" spans="1:34">
      <c r="A219" s="28"/>
      <c r="B219" s="180"/>
      <c r="C219" s="188"/>
      <c r="D219" s="161"/>
      <c r="E219" s="162"/>
      <c r="F219" s="162"/>
      <c r="G219" s="163"/>
      <c r="H219" s="285"/>
      <c r="I219" s="282"/>
      <c r="J219" s="16"/>
      <c r="K219" s="18">
        <f t="shared" si="22"/>
        <v>0</v>
      </c>
      <c r="L219" s="288">
        <v>0</v>
      </c>
      <c r="M219" s="291"/>
      <c r="N219" s="164"/>
      <c r="O219" s="164"/>
      <c r="P219" s="164"/>
      <c r="Q219" s="175">
        <f t="shared" si="28"/>
        <v>0</v>
      </c>
      <c r="R219" s="164"/>
      <c r="S219" s="197">
        <f t="shared" si="23"/>
        <v>0</v>
      </c>
      <c r="T219" s="201" t="str" cm="1">
        <f t="array" ref="T219">IFERROR(IF(F219="甲",IF(K219&gt;3500000,VLOOKUP(3500000,源泉DB!$B$261:$L$261,L219+3)+ROUNDDOWN((K219-3500000)*45.945%,0),IF(AND(K219&gt;2250000,K219&lt;3500000),VLOOKUP(2250000,源泉DB!$B$260:$K$260,L219+3)+ROUNDDOWN((K219-2250000)*40.84%,0),IF(AND(K219&gt;2210000,K219&lt;2250000),VLOOKUP(2210000,源泉DB!$B$259:$K$259,L219+3)+ROUNDDOWN((K219-2210000)*40.84%,0),IF(AND(K219&gt;2170000,K219&lt;2210000),VLOOKUP(2170000,源泉DB!$B$258:$K$258,L219+3)+ROUNDDOWN((K219-2170000)*40.84%,0),IF(AND(K219&gt;1700000,K219&lt;2170000),VLOOKUP(1700000,源泉DB!$B$257:$K$257,L219+3)+ROUNDDOWN((K219-1700000)*40.84%,0),IF(AND(K219&gt;950000,K219&lt;1700000),VLOOKUP(950000,源泉DB!$B$256:$K$256,L219+3)+ROUNDDOWN((K219-950000)*33.693%,0),IF(AND(K219&gt;780000,K219&lt;950000),VLOOKUP(780000,源泉DB!$B$255:$K$255,L219+3)+ROUNDDOWN((K219-780000)*23.483%,0),IF(AND(K219&gt;740000,K219&lt;780000),VLOOKUP(740000,源泉DB!$B$254:$K$254,L219+3)+ROUNDDOWN((K219-740000)*20.42%,0),VLOOKUP(K219,源泉DB!$B$8:$K$299,L219+3))))))))),IF(F219="乙",IF(K219&gt;1700000,651900+(K219-1700000) *45.945%,IF(K219=1700000,651900,IF(AND(K219&gt;740000,K219&lt;1700000),259800+(K219-740000)*40.84%,IF(K219=740000,259800,IF(K219&lt;88000,ROUNDDOWN(K219*3.063%,9),VLOOKUP(K219,源泉DB!$B$8:$L$254,11)))))),"")),"")</f>
        <v/>
      </c>
      <c r="U219" s="165"/>
      <c r="V219" s="166"/>
      <c r="W219" s="166"/>
      <c r="X219" s="166"/>
      <c r="Y219" s="166"/>
      <c r="Z219" s="178">
        <f>ROUND(IFERROR(IF(($G219="加入"),VLOOKUP($I219,年金DB!$G$16:$P$65,6,TRUE),0),0)-0.1,0)</f>
        <v>0</v>
      </c>
      <c r="AA219" s="178">
        <f>ROUND(IFERROR(IF(AND($G219="加入",$D219&gt;=40,$D219&lt;=64),VLOOKUP($I219,年金DB!$G$16:$P$65,10,TRUE),0),0)-0.1,0)</f>
        <v>0</v>
      </c>
      <c r="AB219" s="178">
        <f>ROUND(IFERROR(IF(AND($G219="加入",$D219&lt;40),VLOOKUP($J219,年金DB!$G$16:$X$62,14,TRUE),IF(AND($G219="加入",$D219&gt;=40),VLOOKUP($J219,年金DB!$G$16:$X$62,14,TRUE),"0")),0)-0.1,0)</f>
        <v>0</v>
      </c>
      <c r="AC219" s="178">
        <f t="shared" si="27"/>
        <v>0</v>
      </c>
      <c r="AD219" s="21">
        <f t="shared" si="24"/>
        <v>0</v>
      </c>
      <c r="AE219" s="173">
        <f t="shared" si="25"/>
        <v>0</v>
      </c>
      <c r="AF219" s="14" t="str">
        <f t="shared" si="26"/>
        <v/>
      </c>
      <c r="AG219" s="14"/>
      <c r="AH219" s="14"/>
    </row>
    <row r="220" spans="1:34">
      <c r="A220" s="28"/>
      <c r="B220" s="180"/>
      <c r="C220" s="188"/>
      <c r="D220" s="161"/>
      <c r="E220" s="162"/>
      <c r="F220" s="162"/>
      <c r="G220" s="163"/>
      <c r="H220" s="285"/>
      <c r="I220" s="282"/>
      <c r="J220" s="16"/>
      <c r="K220" s="18">
        <f t="shared" si="22"/>
        <v>0</v>
      </c>
      <c r="L220" s="288">
        <v>0</v>
      </c>
      <c r="M220" s="291"/>
      <c r="N220" s="164"/>
      <c r="O220" s="164"/>
      <c r="P220" s="164"/>
      <c r="Q220" s="175">
        <f t="shared" si="28"/>
        <v>0</v>
      </c>
      <c r="R220" s="164"/>
      <c r="S220" s="197">
        <f t="shared" si="23"/>
        <v>0</v>
      </c>
      <c r="T220" s="201" t="str" cm="1">
        <f t="array" ref="T220">IFERROR(IF(F220="甲",IF(K220&gt;3500000,VLOOKUP(3500000,源泉DB!$B$261:$L$261,L220+3)+ROUNDDOWN((K220-3500000)*45.945%,0),IF(AND(K220&gt;2250000,K220&lt;3500000),VLOOKUP(2250000,源泉DB!$B$260:$K$260,L220+3)+ROUNDDOWN((K220-2250000)*40.84%,0),IF(AND(K220&gt;2210000,K220&lt;2250000),VLOOKUP(2210000,源泉DB!$B$259:$K$259,L220+3)+ROUNDDOWN((K220-2210000)*40.84%,0),IF(AND(K220&gt;2170000,K220&lt;2210000),VLOOKUP(2170000,源泉DB!$B$258:$K$258,L220+3)+ROUNDDOWN((K220-2170000)*40.84%,0),IF(AND(K220&gt;1700000,K220&lt;2170000),VLOOKUP(1700000,源泉DB!$B$257:$K$257,L220+3)+ROUNDDOWN((K220-1700000)*40.84%,0),IF(AND(K220&gt;950000,K220&lt;1700000),VLOOKUP(950000,源泉DB!$B$256:$K$256,L220+3)+ROUNDDOWN((K220-950000)*33.693%,0),IF(AND(K220&gt;780000,K220&lt;950000),VLOOKUP(780000,源泉DB!$B$255:$K$255,L220+3)+ROUNDDOWN((K220-780000)*23.483%,0),IF(AND(K220&gt;740000,K220&lt;780000),VLOOKUP(740000,源泉DB!$B$254:$K$254,L220+3)+ROUNDDOWN((K220-740000)*20.42%,0),VLOOKUP(K220,源泉DB!$B$8:$K$299,L220+3))))))))),IF(F220="乙",IF(K220&gt;1700000,651900+(K220-1700000) *45.945%,IF(K220=1700000,651900,IF(AND(K220&gt;740000,K220&lt;1700000),259800+(K220-740000)*40.84%,IF(K220=740000,259800,IF(K220&lt;88000,ROUNDDOWN(K220*3.063%,9),VLOOKUP(K220,源泉DB!$B$8:$L$254,11)))))),"")),"")</f>
        <v/>
      </c>
      <c r="U220" s="165"/>
      <c r="V220" s="166"/>
      <c r="W220" s="166"/>
      <c r="X220" s="166"/>
      <c r="Y220" s="166"/>
      <c r="Z220" s="178">
        <f>ROUND(IFERROR(IF(($G220="加入"),VLOOKUP($I220,年金DB!$G$16:$P$65,6,TRUE),0),0)-0.1,0)</f>
        <v>0</v>
      </c>
      <c r="AA220" s="178">
        <f>ROUND(IFERROR(IF(AND($G220="加入",$D220&gt;=40,$D220&lt;=64),VLOOKUP($I220,年金DB!$G$16:$P$65,10,TRUE),0),0)-0.1,0)</f>
        <v>0</v>
      </c>
      <c r="AB220" s="178">
        <f>ROUND(IFERROR(IF(AND($G220="加入",$D220&lt;40),VLOOKUP($J220,年金DB!$G$16:$X$62,14,TRUE),IF(AND($G220="加入",$D220&gt;=40),VLOOKUP($J220,年金DB!$G$16:$X$62,14,TRUE),"0")),0)-0.1,0)</f>
        <v>0</v>
      </c>
      <c r="AC220" s="178">
        <f t="shared" si="27"/>
        <v>0</v>
      </c>
      <c r="AD220" s="21">
        <f t="shared" si="24"/>
        <v>0</v>
      </c>
      <c r="AE220" s="173">
        <f t="shared" si="25"/>
        <v>0</v>
      </c>
      <c r="AF220" s="14" t="str">
        <f t="shared" si="26"/>
        <v/>
      </c>
      <c r="AG220" s="14"/>
      <c r="AH220" s="14"/>
    </row>
    <row r="221" spans="1:34">
      <c r="A221" s="28"/>
      <c r="B221" s="180"/>
      <c r="C221" s="188"/>
      <c r="D221" s="161"/>
      <c r="E221" s="162"/>
      <c r="F221" s="162"/>
      <c r="G221" s="163"/>
      <c r="H221" s="285"/>
      <c r="I221" s="282"/>
      <c r="J221" s="16"/>
      <c r="K221" s="18">
        <f t="shared" si="22"/>
        <v>0</v>
      </c>
      <c r="L221" s="288">
        <v>0</v>
      </c>
      <c r="M221" s="291"/>
      <c r="N221" s="164"/>
      <c r="O221" s="164"/>
      <c r="P221" s="164"/>
      <c r="Q221" s="175">
        <f t="shared" si="28"/>
        <v>0</v>
      </c>
      <c r="R221" s="164"/>
      <c r="S221" s="197">
        <f t="shared" si="23"/>
        <v>0</v>
      </c>
      <c r="T221" s="201" t="str" cm="1">
        <f t="array" ref="T221">IFERROR(IF(F221="甲",IF(K221&gt;3500000,VLOOKUP(3500000,源泉DB!$B$261:$L$261,L221+3)+ROUNDDOWN((K221-3500000)*45.945%,0),IF(AND(K221&gt;2250000,K221&lt;3500000),VLOOKUP(2250000,源泉DB!$B$260:$K$260,L221+3)+ROUNDDOWN((K221-2250000)*40.84%,0),IF(AND(K221&gt;2210000,K221&lt;2250000),VLOOKUP(2210000,源泉DB!$B$259:$K$259,L221+3)+ROUNDDOWN((K221-2210000)*40.84%,0),IF(AND(K221&gt;2170000,K221&lt;2210000),VLOOKUP(2170000,源泉DB!$B$258:$K$258,L221+3)+ROUNDDOWN((K221-2170000)*40.84%,0),IF(AND(K221&gt;1700000,K221&lt;2170000),VLOOKUP(1700000,源泉DB!$B$257:$K$257,L221+3)+ROUNDDOWN((K221-1700000)*40.84%,0),IF(AND(K221&gt;950000,K221&lt;1700000),VLOOKUP(950000,源泉DB!$B$256:$K$256,L221+3)+ROUNDDOWN((K221-950000)*33.693%,0),IF(AND(K221&gt;780000,K221&lt;950000),VLOOKUP(780000,源泉DB!$B$255:$K$255,L221+3)+ROUNDDOWN((K221-780000)*23.483%,0),IF(AND(K221&gt;740000,K221&lt;780000),VLOOKUP(740000,源泉DB!$B$254:$K$254,L221+3)+ROUNDDOWN((K221-740000)*20.42%,0),VLOOKUP(K221,源泉DB!$B$8:$K$299,L221+3))))))))),IF(F221="乙",IF(K221&gt;1700000,651900+(K221-1700000) *45.945%,IF(K221=1700000,651900,IF(AND(K221&gt;740000,K221&lt;1700000),259800+(K221-740000)*40.84%,IF(K221=740000,259800,IF(K221&lt;88000,ROUNDDOWN(K221*3.063%,9),VLOOKUP(K221,源泉DB!$B$8:$L$254,11)))))),"")),"")</f>
        <v/>
      </c>
      <c r="U221" s="165"/>
      <c r="V221" s="166"/>
      <c r="W221" s="166"/>
      <c r="X221" s="166"/>
      <c r="Y221" s="166"/>
      <c r="Z221" s="178">
        <f>ROUND(IFERROR(IF(($G221="加入"),VLOOKUP($I221,年金DB!$G$16:$P$65,6,TRUE),0),0)-0.1,0)</f>
        <v>0</v>
      </c>
      <c r="AA221" s="178">
        <f>ROUND(IFERROR(IF(AND($G221="加入",$D221&gt;=40,$D221&lt;=64),VLOOKUP($I221,年金DB!$G$16:$P$65,10,TRUE),0),0)-0.1,0)</f>
        <v>0</v>
      </c>
      <c r="AB221" s="178">
        <f>ROUND(IFERROR(IF(AND($G221="加入",$D221&lt;40),VLOOKUP($J221,年金DB!$G$16:$X$62,14,TRUE),IF(AND($G221="加入",$D221&gt;=40),VLOOKUP($J221,年金DB!$G$16:$X$62,14,TRUE),"0")),0)-0.1,0)</f>
        <v>0</v>
      </c>
      <c r="AC221" s="178">
        <f t="shared" si="27"/>
        <v>0</v>
      </c>
      <c r="AD221" s="21">
        <f t="shared" si="24"/>
        <v>0</v>
      </c>
      <c r="AE221" s="173">
        <f t="shared" si="25"/>
        <v>0</v>
      </c>
      <c r="AF221" s="14" t="str">
        <f t="shared" si="26"/>
        <v/>
      </c>
      <c r="AG221" s="14"/>
      <c r="AH221" s="14"/>
    </row>
    <row r="222" spans="1:34">
      <c r="A222" s="28"/>
      <c r="B222" s="180"/>
      <c r="C222" s="188"/>
      <c r="D222" s="161"/>
      <c r="E222" s="162"/>
      <c r="F222" s="162"/>
      <c r="G222" s="163"/>
      <c r="H222" s="285"/>
      <c r="I222" s="282"/>
      <c r="J222" s="16"/>
      <c r="K222" s="18">
        <f t="shared" si="22"/>
        <v>0</v>
      </c>
      <c r="L222" s="288">
        <v>0</v>
      </c>
      <c r="M222" s="291"/>
      <c r="N222" s="164"/>
      <c r="O222" s="164"/>
      <c r="P222" s="164"/>
      <c r="Q222" s="175">
        <f t="shared" si="28"/>
        <v>0</v>
      </c>
      <c r="R222" s="164"/>
      <c r="S222" s="197">
        <f t="shared" si="23"/>
        <v>0</v>
      </c>
      <c r="T222" s="201" t="str" cm="1">
        <f t="array" ref="T222">IFERROR(IF(F222="甲",IF(K222&gt;3500000,VLOOKUP(3500000,源泉DB!$B$261:$L$261,L222+3)+ROUNDDOWN((K222-3500000)*45.945%,0),IF(AND(K222&gt;2250000,K222&lt;3500000),VLOOKUP(2250000,源泉DB!$B$260:$K$260,L222+3)+ROUNDDOWN((K222-2250000)*40.84%,0),IF(AND(K222&gt;2210000,K222&lt;2250000),VLOOKUP(2210000,源泉DB!$B$259:$K$259,L222+3)+ROUNDDOWN((K222-2210000)*40.84%,0),IF(AND(K222&gt;2170000,K222&lt;2210000),VLOOKUP(2170000,源泉DB!$B$258:$K$258,L222+3)+ROUNDDOWN((K222-2170000)*40.84%,0),IF(AND(K222&gt;1700000,K222&lt;2170000),VLOOKUP(1700000,源泉DB!$B$257:$K$257,L222+3)+ROUNDDOWN((K222-1700000)*40.84%,0),IF(AND(K222&gt;950000,K222&lt;1700000),VLOOKUP(950000,源泉DB!$B$256:$K$256,L222+3)+ROUNDDOWN((K222-950000)*33.693%,0),IF(AND(K222&gt;780000,K222&lt;950000),VLOOKUP(780000,源泉DB!$B$255:$K$255,L222+3)+ROUNDDOWN((K222-780000)*23.483%,0),IF(AND(K222&gt;740000,K222&lt;780000),VLOOKUP(740000,源泉DB!$B$254:$K$254,L222+3)+ROUNDDOWN((K222-740000)*20.42%,0),VLOOKUP(K222,源泉DB!$B$8:$K$299,L222+3))))))))),IF(F222="乙",IF(K222&gt;1700000,651900+(K222-1700000) *45.945%,IF(K222=1700000,651900,IF(AND(K222&gt;740000,K222&lt;1700000),259800+(K222-740000)*40.84%,IF(K222=740000,259800,IF(K222&lt;88000,ROUNDDOWN(K222*3.063%,9),VLOOKUP(K222,源泉DB!$B$8:$L$254,11)))))),"")),"")</f>
        <v/>
      </c>
      <c r="U222" s="165"/>
      <c r="V222" s="166"/>
      <c r="W222" s="166"/>
      <c r="X222" s="166"/>
      <c r="Y222" s="166"/>
      <c r="Z222" s="178">
        <f>ROUND(IFERROR(IF(($G222="加入"),VLOOKUP($I222,年金DB!$G$16:$P$65,6,TRUE),0),0)-0.1,0)</f>
        <v>0</v>
      </c>
      <c r="AA222" s="178">
        <f>ROUND(IFERROR(IF(AND($G222="加入",$D222&gt;=40,$D222&lt;=64),VLOOKUP($I222,年金DB!$G$16:$P$65,10,TRUE),0),0)-0.1,0)</f>
        <v>0</v>
      </c>
      <c r="AB222" s="178">
        <f>ROUND(IFERROR(IF(AND($G222="加入",$D222&lt;40),VLOOKUP($J222,年金DB!$G$16:$X$62,14,TRUE),IF(AND($G222="加入",$D222&gt;=40),VLOOKUP($J222,年金DB!$G$16:$X$62,14,TRUE),"0")),0)-0.1,0)</f>
        <v>0</v>
      </c>
      <c r="AC222" s="178">
        <f t="shared" si="27"/>
        <v>0</v>
      </c>
      <c r="AD222" s="21">
        <f t="shared" si="24"/>
        <v>0</v>
      </c>
      <c r="AE222" s="173">
        <f t="shared" si="25"/>
        <v>0</v>
      </c>
      <c r="AF222" s="14" t="str">
        <f t="shared" si="26"/>
        <v/>
      </c>
      <c r="AG222" s="14"/>
      <c r="AH222" s="14"/>
    </row>
    <row r="223" spans="1:34">
      <c r="A223" s="28"/>
      <c r="B223" s="180"/>
      <c r="C223" s="188"/>
      <c r="D223" s="161"/>
      <c r="E223" s="162"/>
      <c r="F223" s="162"/>
      <c r="G223" s="163"/>
      <c r="H223" s="285"/>
      <c r="I223" s="282"/>
      <c r="J223" s="16"/>
      <c r="K223" s="18">
        <f t="shared" si="22"/>
        <v>0</v>
      </c>
      <c r="L223" s="288">
        <v>0</v>
      </c>
      <c r="M223" s="291"/>
      <c r="N223" s="164"/>
      <c r="O223" s="164"/>
      <c r="P223" s="164"/>
      <c r="Q223" s="175">
        <f t="shared" si="28"/>
        <v>0</v>
      </c>
      <c r="R223" s="164"/>
      <c r="S223" s="197">
        <f t="shared" si="23"/>
        <v>0</v>
      </c>
      <c r="T223" s="201" t="str" cm="1">
        <f t="array" ref="T223">IFERROR(IF(F223="甲",IF(K223&gt;3500000,VLOOKUP(3500000,源泉DB!$B$261:$L$261,L223+3)+ROUNDDOWN((K223-3500000)*45.945%,0),IF(AND(K223&gt;2250000,K223&lt;3500000),VLOOKUP(2250000,源泉DB!$B$260:$K$260,L223+3)+ROUNDDOWN((K223-2250000)*40.84%,0),IF(AND(K223&gt;2210000,K223&lt;2250000),VLOOKUP(2210000,源泉DB!$B$259:$K$259,L223+3)+ROUNDDOWN((K223-2210000)*40.84%,0),IF(AND(K223&gt;2170000,K223&lt;2210000),VLOOKUP(2170000,源泉DB!$B$258:$K$258,L223+3)+ROUNDDOWN((K223-2170000)*40.84%,0),IF(AND(K223&gt;1700000,K223&lt;2170000),VLOOKUP(1700000,源泉DB!$B$257:$K$257,L223+3)+ROUNDDOWN((K223-1700000)*40.84%,0),IF(AND(K223&gt;950000,K223&lt;1700000),VLOOKUP(950000,源泉DB!$B$256:$K$256,L223+3)+ROUNDDOWN((K223-950000)*33.693%,0),IF(AND(K223&gt;780000,K223&lt;950000),VLOOKUP(780000,源泉DB!$B$255:$K$255,L223+3)+ROUNDDOWN((K223-780000)*23.483%,0),IF(AND(K223&gt;740000,K223&lt;780000),VLOOKUP(740000,源泉DB!$B$254:$K$254,L223+3)+ROUNDDOWN((K223-740000)*20.42%,0),VLOOKUP(K223,源泉DB!$B$8:$K$299,L223+3))))))))),IF(F223="乙",IF(K223&gt;1700000,651900+(K223-1700000) *45.945%,IF(K223=1700000,651900,IF(AND(K223&gt;740000,K223&lt;1700000),259800+(K223-740000)*40.84%,IF(K223=740000,259800,IF(K223&lt;88000,ROUNDDOWN(K223*3.063%,9),VLOOKUP(K223,源泉DB!$B$8:$L$254,11)))))),"")),"")</f>
        <v/>
      </c>
      <c r="U223" s="165"/>
      <c r="V223" s="166"/>
      <c r="W223" s="166"/>
      <c r="X223" s="166"/>
      <c r="Y223" s="166"/>
      <c r="Z223" s="178">
        <f>ROUND(IFERROR(IF(($G223="加入"),VLOOKUP($I223,年金DB!$G$16:$P$65,6,TRUE),0),0)-0.1,0)</f>
        <v>0</v>
      </c>
      <c r="AA223" s="178">
        <f>ROUND(IFERROR(IF(AND($G223="加入",$D223&gt;=40,$D223&lt;=64),VLOOKUP($I223,年金DB!$G$16:$P$65,10,TRUE),0),0)-0.1,0)</f>
        <v>0</v>
      </c>
      <c r="AB223" s="178">
        <f>ROUND(IFERROR(IF(AND($G223="加入",$D223&lt;40),VLOOKUP($J223,年金DB!$G$16:$X$62,14,TRUE),IF(AND($G223="加入",$D223&gt;=40),VLOOKUP($J223,年金DB!$G$16:$X$62,14,TRUE),"0")),0)-0.1,0)</f>
        <v>0</v>
      </c>
      <c r="AC223" s="178">
        <f t="shared" si="27"/>
        <v>0</v>
      </c>
      <c r="AD223" s="21">
        <f t="shared" si="24"/>
        <v>0</v>
      </c>
      <c r="AE223" s="173">
        <f t="shared" si="25"/>
        <v>0</v>
      </c>
      <c r="AF223" s="14" t="str">
        <f t="shared" si="26"/>
        <v/>
      </c>
      <c r="AG223" s="14"/>
      <c r="AH223" s="14"/>
    </row>
    <row r="224" spans="1:34">
      <c r="A224" s="28"/>
      <c r="B224" s="180"/>
      <c r="C224" s="188"/>
      <c r="D224" s="161"/>
      <c r="E224" s="162"/>
      <c r="F224" s="162"/>
      <c r="G224" s="163"/>
      <c r="H224" s="285"/>
      <c r="I224" s="282"/>
      <c r="J224" s="16"/>
      <c r="K224" s="18">
        <f t="shared" si="22"/>
        <v>0</v>
      </c>
      <c r="L224" s="288">
        <v>0</v>
      </c>
      <c r="M224" s="291"/>
      <c r="N224" s="164"/>
      <c r="O224" s="164"/>
      <c r="P224" s="164"/>
      <c r="Q224" s="175">
        <f t="shared" si="28"/>
        <v>0</v>
      </c>
      <c r="R224" s="164"/>
      <c r="S224" s="197">
        <f t="shared" si="23"/>
        <v>0</v>
      </c>
      <c r="T224" s="201" t="str" cm="1">
        <f t="array" ref="T224">IFERROR(IF(F224="甲",IF(K224&gt;3500000,VLOOKUP(3500000,源泉DB!$B$261:$L$261,L224+3)+ROUNDDOWN((K224-3500000)*45.945%,0),IF(AND(K224&gt;2250000,K224&lt;3500000),VLOOKUP(2250000,源泉DB!$B$260:$K$260,L224+3)+ROUNDDOWN((K224-2250000)*40.84%,0),IF(AND(K224&gt;2210000,K224&lt;2250000),VLOOKUP(2210000,源泉DB!$B$259:$K$259,L224+3)+ROUNDDOWN((K224-2210000)*40.84%,0),IF(AND(K224&gt;2170000,K224&lt;2210000),VLOOKUP(2170000,源泉DB!$B$258:$K$258,L224+3)+ROUNDDOWN((K224-2170000)*40.84%,0),IF(AND(K224&gt;1700000,K224&lt;2170000),VLOOKUP(1700000,源泉DB!$B$257:$K$257,L224+3)+ROUNDDOWN((K224-1700000)*40.84%,0),IF(AND(K224&gt;950000,K224&lt;1700000),VLOOKUP(950000,源泉DB!$B$256:$K$256,L224+3)+ROUNDDOWN((K224-950000)*33.693%,0),IF(AND(K224&gt;780000,K224&lt;950000),VLOOKUP(780000,源泉DB!$B$255:$K$255,L224+3)+ROUNDDOWN((K224-780000)*23.483%,0),IF(AND(K224&gt;740000,K224&lt;780000),VLOOKUP(740000,源泉DB!$B$254:$K$254,L224+3)+ROUNDDOWN((K224-740000)*20.42%,0),VLOOKUP(K224,源泉DB!$B$8:$K$299,L224+3))))))))),IF(F224="乙",IF(K224&gt;1700000,651900+(K224-1700000) *45.945%,IF(K224=1700000,651900,IF(AND(K224&gt;740000,K224&lt;1700000),259800+(K224-740000)*40.84%,IF(K224=740000,259800,IF(K224&lt;88000,ROUNDDOWN(K224*3.063%,9),VLOOKUP(K224,源泉DB!$B$8:$L$254,11)))))),"")),"")</f>
        <v/>
      </c>
      <c r="U224" s="165"/>
      <c r="V224" s="166"/>
      <c r="W224" s="166"/>
      <c r="X224" s="166"/>
      <c r="Y224" s="166"/>
      <c r="Z224" s="178">
        <f>ROUND(IFERROR(IF(($G224="加入"),VLOOKUP($I224,年金DB!$G$16:$P$65,6,TRUE),0),0)-0.1,0)</f>
        <v>0</v>
      </c>
      <c r="AA224" s="178">
        <f>ROUND(IFERROR(IF(AND($G224="加入",$D224&gt;=40,$D224&lt;=64),VLOOKUP($I224,年金DB!$G$16:$P$65,10,TRUE),0),0)-0.1,0)</f>
        <v>0</v>
      </c>
      <c r="AB224" s="178">
        <f>ROUND(IFERROR(IF(AND($G224="加入",$D224&lt;40),VLOOKUP($J224,年金DB!$G$16:$X$62,14,TRUE),IF(AND($G224="加入",$D224&gt;=40),VLOOKUP($J224,年金DB!$G$16:$X$62,14,TRUE),"0")),0)-0.1,0)</f>
        <v>0</v>
      </c>
      <c r="AC224" s="178">
        <f t="shared" si="27"/>
        <v>0</v>
      </c>
      <c r="AD224" s="21">
        <f t="shared" si="24"/>
        <v>0</v>
      </c>
      <c r="AE224" s="173">
        <f t="shared" si="25"/>
        <v>0</v>
      </c>
      <c r="AF224" s="14" t="str">
        <f t="shared" si="26"/>
        <v/>
      </c>
      <c r="AG224" s="14"/>
      <c r="AH224" s="14"/>
    </row>
    <row r="225" spans="1:34">
      <c r="A225" s="28"/>
      <c r="B225" s="180"/>
      <c r="C225" s="188"/>
      <c r="D225" s="161"/>
      <c r="E225" s="162"/>
      <c r="F225" s="162"/>
      <c r="G225" s="163"/>
      <c r="H225" s="285"/>
      <c r="I225" s="282"/>
      <c r="J225" s="16"/>
      <c r="K225" s="18">
        <f t="shared" si="22"/>
        <v>0</v>
      </c>
      <c r="L225" s="288">
        <v>0</v>
      </c>
      <c r="M225" s="291"/>
      <c r="N225" s="164"/>
      <c r="O225" s="164"/>
      <c r="P225" s="164"/>
      <c r="Q225" s="175">
        <f t="shared" si="28"/>
        <v>0</v>
      </c>
      <c r="R225" s="164"/>
      <c r="S225" s="197">
        <f t="shared" si="23"/>
        <v>0</v>
      </c>
      <c r="T225" s="201" t="str" cm="1">
        <f t="array" ref="T225">IFERROR(IF(F225="甲",IF(K225&gt;3500000,VLOOKUP(3500000,源泉DB!$B$261:$L$261,L225+3)+ROUNDDOWN((K225-3500000)*45.945%,0),IF(AND(K225&gt;2250000,K225&lt;3500000),VLOOKUP(2250000,源泉DB!$B$260:$K$260,L225+3)+ROUNDDOWN((K225-2250000)*40.84%,0),IF(AND(K225&gt;2210000,K225&lt;2250000),VLOOKUP(2210000,源泉DB!$B$259:$K$259,L225+3)+ROUNDDOWN((K225-2210000)*40.84%,0),IF(AND(K225&gt;2170000,K225&lt;2210000),VLOOKUP(2170000,源泉DB!$B$258:$K$258,L225+3)+ROUNDDOWN((K225-2170000)*40.84%,0),IF(AND(K225&gt;1700000,K225&lt;2170000),VLOOKUP(1700000,源泉DB!$B$257:$K$257,L225+3)+ROUNDDOWN((K225-1700000)*40.84%,0),IF(AND(K225&gt;950000,K225&lt;1700000),VLOOKUP(950000,源泉DB!$B$256:$K$256,L225+3)+ROUNDDOWN((K225-950000)*33.693%,0),IF(AND(K225&gt;780000,K225&lt;950000),VLOOKUP(780000,源泉DB!$B$255:$K$255,L225+3)+ROUNDDOWN((K225-780000)*23.483%,0),IF(AND(K225&gt;740000,K225&lt;780000),VLOOKUP(740000,源泉DB!$B$254:$K$254,L225+3)+ROUNDDOWN((K225-740000)*20.42%,0),VLOOKUP(K225,源泉DB!$B$8:$K$299,L225+3))))))))),IF(F225="乙",IF(K225&gt;1700000,651900+(K225-1700000) *45.945%,IF(K225=1700000,651900,IF(AND(K225&gt;740000,K225&lt;1700000),259800+(K225-740000)*40.84%,IF(K225=740000,259800,IF(K225&lt;88000,ROUNDDOWN(K225*3.063%,9),VLOOKUP(K225,源泉DB!$B$8:$L$254,11)))))),"")),"")</f>
        <v/>
      </c>
      <c r="U225" s="165"/>
      <c r="V225" s="166"/>
      <c r="W225" s="166"/>
      <c r="X225" s="166"/>
      <c r="Y225" s="166"/>
      <c r="Z225" s="178">
        <f>ROUND(IFERROR(IF(($G225="加入"),VLOOKUP($I225,年金DB!$G$16:$P$65,6,TRUE),0),0)-0.1,0)</f>
        <v>0</v>
      </c>
      <c r="AA225" s="178">
        <f>ROUND(IFERROR(IF(AND($G225="加入",$D225&gt;=40,$D225&lt;=64),VLOOKUP($I225,年金DB!$G$16:$P$65,10,TRUE),0),0)-0.1,0)</f>
        <v>0</v>
      </c>
      <c r="AB225" s="178">
        <f>ROUND(IFERROR(IF(AND($G225="加入",$D225&lt;40),VLOOKUP($J225,年金DB!$G$16:$X$62,14,TRUE),IF(AND($G225="加入",$D225&gt;=40),VLOOKUP($J225,年金DB!$G$16:$X$62,14,TRUE),"0")),0)-0.1,0)</f>
        <v>0</v>
      </c>
      <c r="AC225" s="178">
        <f t="shared" si="27"/>
        <v>0</v>
      </c>
      <c r="AD225" s="21">
        <f t="shared" si="24"/>
        <v>0</v>
      </c>
      <c r="AE225" s="173">
        <f t="shared" si="25"/>
        <v>0</v>
      </c>
      <c r="AF225" s="14" t="str">
        <f t="shared" si="26"/>
        <v/>
      </c>
      <c r="AG225" s="14"/>
      <c r="AH225" s="14"/>
    </row>
    <row r="226" spans="1:34">
      <c r="A226" s="28"/>
      <c r="B226" s="180"/>
      <c r="C226" s="188"/>
      <c r="D226" s="161"/>
      <c r="E226" s="162"/>
      <c r="F226" s="162"/>
      <c r="G226" s="163"/>
      <c r="H226" s="285"/>
      <c r="I226" s="282"/>
      <c r="J226" s="16"/>
      <c r="K226" s="18">
        <f t="shared" si="22"/>
        <v>0</v>
      </c>
      <c r="L226" s="288">
        <v>0</v>
      </c>
      <c r="M226" s="291"/>
      <c r="N226" s="164"/>
      <c r="O226" s="164"/>
      <c r="P226" s="164"/>
      <c r="Q226" s="175">
        <f t="shared" si="28"/>
        <v>0</v>
      </c>
      <c r="R226" s="164"/>
      <c r="S226" s="197">
        <f t="shared" si="23"/>
        <v>0</v>
      </c>
      <c r="T226" s="201" t="str" cm="1">
        <f t="array" ref="T226">IFERROR(IF(F226="甲",IF(K226&gt;3500000,VLOOKUP(3500000,源泉DB!$B$261:$L$261,L226+3)+ROUNDDOWN((K226-3500000)*45.945%,0),IF(AND(K226&gt;2250000,K226&lt;3500000),VLOOKUP(2250000,源泉DB!$B$260:$K$260,L226+3)+ROUNDDOWN((K226-2250000)*40.84%,0),IF(AND(K226&gt;2210000,K226&lt;2250000),VLOOKUP(2210000,源泉DB!$B$259:$K$259,L226+3)+ROUNDDOWN((K226-2210000)*40.84%,0),IF(AND(K226&gt;2170000,K226&lt;2210000),VLOOKUP(2170000,源泉DB!$B$258:$K$258,L226+3)+ROUNDDOWN((K226-2170000)*40.84%,0),IF(AND(K226&gt;1700000,K226&lt;2170000),VLOOKUP(1700000,源泉DB!$B$257:$K$257,L226+3)+ROUNDDOWN((K226-1700000)*40.84%,0),IF(AND(K226&gt;950000,K226&lt;1700000),VLOOKUP(950000,源泉DB!$B$256:$K$256,L226+3)+ROUNDDOWN((K226-950000)*33.693%,0),IF(AND(K226&gt;780000,K226&lt;950000),VLOOKUP(780000,源泉DB!$B$255:$K$255,L226+3)+ROUNDDOWN((K226-780000)*23.483%,0),IF(AND(K226&gt;740000,K226&lt;780000),VLOOKUP(740000,源泉DB!$B$254:$K$254,L226+3)+ROUNDDOWN((K226-740000)*20.42%,0),VLOOKUP(K226,源泉DB!$B$8:$K$299,L226+3))))))))),IF(F226="乙",IF(K226&gt;1700000,651900+(K226-1700000) *45.945%,IF(K226=1700000,651900,IF(AND(K226&gt;740000,K226&lt;1700000),259800+(K226-740000)*40.84%,IF(K226=740000,259800,IF(K226&lt;88000,ROUNDDOWN(K226*3.063%,9),VLOOKUP(K226,源泉DB!$B$8:$L$254,11)))))),"")),"")</f>
        <v/>
      </c>
      <c r="U226" s="165"/>
      <c r="V226" s="166"/>
      <c r="W226" s="166"/>
      <c r="X226" s="166"/>
      <c r="Y226" s="166"/>
      <c r="Z226" s="178">
        <f>ROUND(IFERROR(IF(($G226="加入"),VLOOKUP($I226,年金DB!$G$16:$P$65,6,TRUE),0),0)-0.1,0)</f>
        <v>0</v>
      </c>
      <c r="AA226" s="178">
        <f>ROUND(IFERROR(IF(AND($G226="加入",$D226&gt;=40,$D226&lt;=64),VLOOKUP($I226,年金DB!$G$16:$P$65,10,TRUE),0),0)-0.1,0)</f>
        <v>0</v>
      </c>
      <c r="AB226" s="178">
        <f>ROUND(IFERROR(IF(AND($G226="加入",$D226&lt;40),VLOOKUP($J226,年金DB!$G$16:$X$62,14,TRUE),IF(AND($G226="加入",$D226&gt;=40),VLOOKUP($J226,年金DB!$G$16:$X$62,14,TRUE),"0")),0)-0.1,0)</f>
        <v>0</v>
      </c>
      <c r="AC226" s="178">
        <f t="shared" si="27"/>
        <v>0</v>
      </c>
      <c r="AD226" s="21">
        <f t="shared" si="24"/>
        <v>0</v>
      </c>
      <c r="AE226" s="173">
        <f t="shared" si="25"/>
        <v>0</v>
      </c>
      <c r="AF226" s="14" t="str">
        <f t="shared" si="26"/>
        <v/>
      </c>
      <c r="AG226" s="14"/>
      <c r="AH226" s="14"/>
    </row>
    <row r="227" spans="1:34">
      <c r="A227" s="28"/>
      <c r="B227" s="180"/>
      <c r="C227" s="188"/>
      <c r="D227" s="161"/>
      <c r="E227" s="162"/>
      <c r="F227" s="162"/>
      <c r="G227" s="163"/>
      <c r="H227" s="285"/>
      <c r="I227" s="282"/>
      <c r="J227" s="16"/>
      <c r="K227" s="18">
        <f t="shared" si="22"/>
        <v>0</v>
      </c>
      <c r="L227" s="288">
        <v>0</v>
      </c>
      <c r="M227" s="291"/>
      <c r="N227" s="164"/>
      <c r="O227" s="164"/>
      <c r="P227" s="164"/>
      <c r="Q227" s="175">
        <f t="shared" si="28"/>
        <v>0</v>
      </c>
      <c r="R227" s="164"/>
      <c r="S227" s="197">
        <f t="shared" si="23"/>
        <v>0</v>
      </c>
      <c r="T227" s="201" t="str" cm="1">
        <f t="array" ref="T227">IFERROR(IF(F227="甲",IF(K227&gt;3500000,VLOOKUP(3500000,源泉DB!$B$261:$L$261,L227+3)+ROUNDDOWN((K227-3500000)*45.945%,0),IF(AND(K227&gt;2250000,K227&lt;3500000),VLOOKUP(2250000,源泉DB!$B$260:$K$260,L227+3)+ROUNDDOWN((K227-2250000)*40.84%,0),IF(AND(K227&gt;2210000,K227&lt;2250000),VLOOKUP(2210000,源泉DB!$B$259:$K$259,L227+3)+ROUNDDOWN((K227-2210000)*40.84%,0),IF(AND(K227&gt;2170000,K227&lt;2210000),VLOOKUP(2170000,源泉DB!$B$258:$K$258,L227+3)+ROUNDDOWN((K227-2170000)*40.84%,0),IF(AND(K227&gt;1700000,K227&lt;2170000),VLOOKUP(1700000,源泉DB!$B$257:$K$257,L227+3)+ROUNDDOWN((K227-1700000)*40.84%,0),IF(AND(K227&gt;950000,K227&lt;1700000),VLOOKUP(950000,源泉DB!$B$256:$K$256,L227+3)+ROUNDDOWN((K227-950000)*33.693%,0),IF(AND(K227&gt;780000,K227&lt;950000),VLOOKUP(780000,源泉DB!$B$255:$K$255,L227+3)+ROUNDDOWN((K227-780000)*23.483%,0),IF(AND(K227&gt;740000,K227&lt;780000),VLOOKUP(740000,源泉DB!$B$254:$K$254,L227+3)+ROUNDDOWN((K227-740000)*20.42%,0),VLOOKUP(K227,源泉DB!$B$8:$K$299,L227+3))))))))),IF(F227="乙",IF(K227&gt;1700000,651900+(K227-1700000) *45.945%,IF(K227=1700000,651900,IF(AND(K227&gt;740000,K227&lt;1700000),259800+(K227-740000)*40.84%,IF(K227=740000,259800,IF(K227&lt;88000,ROUNDDOWN(K227*3.063%,9),VLOOKUP(K227,源泉DB!$B$8:$L$254,11)))))),"")),"")</f>
        <v/>
      </c>
      <c r="U227" s="165"/>
      <c r="V227" s="166"/>
      <c r="W227" s="166"/>
      <c r="X227" s="166"/>
      <c r="Y227" s="166"/>
      <c r="Z227" s="178">
        <f>ROUND(IFERROR(IF(($G227="加入"),VLOOKUP($I227,年金DB!$G$16:$P$65,6,TRUE),0),0)-0.1,0)</f>
        <v>0</v>
      </c>
      <c r="AA227" s="178">
        <f>ROUND(IFERROR(IF(AND($G227="加入",$D227&gt;=40,$D227&lt;=64),VLOOKUP($I227,年金DB!$G$16:$P$65,10,TRUE),0),0)-0.1,0)</f>
        <v>0</v>
      </c>
      <c r="AB227" s="178">
        <f>ROUND(IFERROR(IF(AND($G227="加入",$D227&lt;40),VLOOKUP($J227,年金DB!$G$16:$X$62,14,TRUE),IF(AND($G227="加入",$D227&gt;=40),VLOOKUP($J227,年金DB!$G$16:$X$62,14,TRUE),"0")),0)-0.1,0)</f>
        <v>0</v>
      </c>
      <c r="AC227" s="178">
        <f t="shared" si="27"/>
        <v>0</v>
      </c>
      <c r="AD227" s="21">
        <f t="shared" si="24"/>
        <v>0</v>
      </c>
      <c r="AE227" s="173">
        <f t="shared" si="25"/>
        <v>0</v>
      </c>
      <c r="AF227" s="14" t="str">
        <f t="shared" si="26"/>
        <v/>
      </c>
      <c r="AG227" s="14"/>
      <c r="AH227" s="14"/>
    </row>
    <row r="228" spans="1:34">
      <c r="A228" s="28"/>
      <c r="B228" s="180"/>
      <c r="C228" s="188"/>
      <c r="D228" s="161"/>
      <c r="E228" s="162"/>
      <c r="F228" s="162"/>
      <c r="G228" s="163"/>
      <c r="H228" s="285"/>
      <c r="I228" s="282"/>
      <c r="J228" s="16"/>
      <c r="K228" s="18">
        <f t="shared" si="22"/>
        <v>0</v>
      </c>
      <c r="L228" s="288">
        <v>0</v>
      </c>
      <c r="M228" s="291"/>
      <c r="N228" s="164"/>
      <c r="O228" s="164"/>
      <c r="P228" s="164"/>
      <c r="Q228" s="175">
        <f t="shared" si="28"/>
        <v>0</v>
      </c>
      <c r="R228" s="164"/>
      <c r="S228" s="197">
        <f t="shared" si="23"/>
        <v>0</v>
      </c>
      <c r="T228" s="201" t="str" cm="1">
        <f t="array" ref="T228">IFERROR(IF(F228="甲",IF(K228&gt;3500000,VLOOKUP(3500000,源泉DB!$B$261:$L$261,L228+3)+ROUNDDOWN((K228-3500000)*45.945%,0),IF(AND(K228&gt;2250000,K228&lt;3500000),VLOOKUP(2250000,源泉DB!$B$260:$K$260,L228+3)+ROUNDDOWN((K228-2250000)*40.84%,0),IF(AND(K228&gt;2210000,K228&lt;2250000),VLOOKUP(2210000,源泉DB!$B$259:$K$259,L228+3)+ROUNDDOWN((K228-2210000)*40.84%,0),IF(AND(K228&gt;2170000,K228&lt;2210000),VLOOKUP(2170000,源泉DB!$B$258:$K$258,L228+3)+ROUNDDOWN((K228-2170000)*40.84%,0),IF(AND(K228&gt;1700000,K228&lt;2170000),VLOOKUP(1700000,源泉DB!$B$257:$K$257,L228+3)+ROUNDDOWN((K228-1700000)*40.84%,0),IF(AND(K228&gt;950000,K228&lt;1700000),VLOOKUP(950000,源泉DB!$B$256:$K$256,L228+3)+ROUNDDOWN((K228-950000)*33.693%,0),IF(AND(K228&gt;780000,K228&lt;950000),VLOOKUP(780000,源泉DB!$B$255:$K$255,L228+3)+ROUNDDOWN((K228-780000)*23.483%,0),IF(AND(K228&gt;740000,K228&lt;780000),VLOOKUP(740000,源泉DB!$B$254:$K$254,L228+3)+ROUNDDOWN((K228-740000)*20.42%,0),VLOOKUP(K228,源泉DB!$B$8:$K$299,L228+3))))))))),IF(F228="乙",IF(K228&gt;1700000,651900+(K228-1700000) *45.945%,IF(K228=1700000,651900,IF(AND(K228&gt;740000,K228&lt;1700000),259800+(K228-740000)*40.84%,IF(K228=740000,259800,IF(K228&lt;88000,ROUNDDOWN(K228*3.063%,9),VLOOKUP(K228,源泉DB!$B$8:$L$254,11)))))),"")),"")</f>
        <v/>
      </c>
      <c r="U228" s="165"/>
      <c r="V228" s="166"/>
      <c r="W228" s="166"/>
      <c r="X228" s="166"/>
      <c r="Y228" s="166"/>
      <c r="Z228" s="178">
        <f>ROUND(IFERROR(IF(($G228="加入"),VLOOKUP($I228,年金DB!$G$16:$P$65,6,TRUE),0),0)-0.1,0)</f>
        <v>0</v>
      </c>
      <c r="AA228" s="178">
        <f>ROUND(IFERROR(IF(AND($G228="加入",$D228&gt;=40,$D228&lt;=64),VLOOKUP($I228,年金DB!$G$16:$P$65,10,TRUE),0),0)-0.1,0)</f>
        <v>0</v>
      </c>
      <c r="AB228" s="178">
        <f>ROUND(IFERROR(IF(AND($G228="加入",$D228&lt;40),VLOOKUP($J228,年金DB!$G$16:$X$62,14,TRUE),IF(AND($G228="加入",$D228&gt;=40),VLOOKUP($J228,年金DB!$G$16:$X$62,14,TRUE),"0")),0)-0.1,0)</f>
        <v>0</v>
      </c>
      <c r="AC228" s="178">
        <f t="shared" si="27"/>
        <v>0</v>
      </c>
      <c r="AD228" s="21">
        <f t="shared" si="24"/>
        <v>0</v>
      </c>
      <c r="AE228" s="173">
        <f t="shared" si="25"/>
        <v>0</v>
      </c>
      <c r="AF228" s="14" t="str">
        <f t="shared" si="26"/>
        <v/>
      </c>
      <c r="AG228" s="14"/>
      <c r="AH228" s="14"/>
    </row>
    <row r="229" spans="1:34">
      <c r="A229" s="28"/>
      <c r="B229" s="180"/>
      <c r="C229" s="188"/>
      <c r="D229" s="161"/>
      <c r="E229" s="162"/>
      <c r="F229" s="162"/>
      <c r="G229" s="163"/>
      <c r="H229" s="285"/>
      <c r="I229" s="282"/>
      <c r="J229" s="16"/>
      <c r="K229" s="18">
        <f t="shared" si="22"/>
        <v>0</v>
      </c>
      <c r="L229" s="288">
        <v>0</v>
      </c>
      <c r="M229" s="291"/>
      <c r="N229" s="164"/>
      <c r="O229" s="164"/>
      <c r="P229" s="164"/>
      <c r="Q229" s="175">
        <f t="shared" si="28"/>
        <v>0</v>
      </c>
      <c r="R229" s="164"/>
      <c r="S229" s="197">
        <f t="shared" si="23"/>
        <v>0</v>
      </c>
      <c r="T229" s="201" t="str" cm="1">
        <f t="array" ref="T229">IFERROR(IF(F229="甲",IF(K229&gt;3500000,VLOOKUP(3500000,源泉DB!$B$261:$L$261,L229+3)+ROUNDDOWN((K229-3500000)*45.945%,0),IF(AND(K229&gt;2250000,K229&lt;3500000),VLOOKUP(2250000,源泉DB!$B$260:$K$260,L229+3)+ROUNDDOWN((K229-2250000)*40.84%,0),IF(AND(K229&gt;2210000,K229&lt;2250000),VLOOKUP(2210000,源泉DB!$B$259:$K$259,L229+3)+ROUNDDOWN((K229-2210000)*40.84%,0),IF(AND(K229&gt;2170000,K229&lt;2210000),VLOOKUP(2170000,源泉DB!$B$258:$K$258,L229+3)+ROUNDDOWN((K229-2170000)*40.84%,0),IF(AND(K229&gt;1700000,K229&lt;2170000),VLOOKUP(1700000,源泉DB!$B$257:$K$257,L229+3)+ROUNDDOWN((K229-1700000)*40.84%,0),IF(AND(K229&gt;950000,K229&lt;1700000),VLOOKUP(950000,源泉DB!$B$256:$K$256,L229+3)+ROUNDDOWN((K229-950000)*33.693%,0),IF(AND(K229&gt;780000,K229&lt;950000),VLOOKUP(780000,源泉DB!$B$255:$K$255,L229+3)+ROUNDDOWN((K229-780000)*23.483%,0),IF(AND(K229&gt;740000,K229&lt;780000),VLOOKUP(740000,源泉DB!$B$254:$K$254,L229+3)+ROUNDDOWN((K229-740000)*20.42%,0),VLOOKUP(K229,源泉DB!$B$8:$K$299,L229+3))))))))),IF(F229="乙",IF(K229&gt;1700000,651900+(K229-1700000) *45.945%,IF(K229=1700000,651900,IF(AND(K229&gt;740000,K229&lt;1700000),259800+(K229-740000)*40.84%,IF(K229=740000,259800,IF(K229&lt;88000,ROUNDDOWN(K229*3.063%,9),VLOOKUP(K229,源泉DB!$B$8:$L$254,11)))))),"")),"")</f>
        <v/>
      </c>
      <c r="U229" s="165"/>
      <c r="V229" s="166"/>
      <c r="W229" s="166"/>
      <c r="X229" s="166"/>
      <c r="Y229" s="166"/>
      <c r="Z229" s="178">
        <f>ROUND(IFERROR(IF(($G229="加入"),VLOOKUP($I229,年金DB!$G$16:$P$65,6,TRUE),0),0)-0.1,0)</f>
        <v>0</v>
      </c>
      <c r="AA229" s="178">
        <f>ROUND(IFERROR(IF(AND($G229="加入",$D229&gt;=40,$D229&lt;=64),VLOOKUP($I229,年金DB!$G$16:$P$65,10,TRUE),0),0)-0.1,0)</f>
        <v>0</v>
      </c>
      <c r="AB229" s="178">
        <f>ROUND(IFERROR(IF(AND($G229="加入",$D229&lt;40),VLOOKUP($J229,年金DB!$G$16:$X$62,14,TRUE),IF(AND($G229="加入",$D229&gt;=40),VLOOKUP($J229,年金DB!$G$16:$X$62,14,TRUE),"0")),0)-0.1,0)</f>
        <v>0</v>
      </c>
      <c r="AC229" s="178">
        <f t="shared" si="27"/>
        <v>0</v>
      </c>
      <c r="AD229" s="21">
        <f t="shared" si="24"/>
        <v>0</v>
      </c>
      <c r="AE229" s="173">
        <f t="shared" si="25"/>
        <v>0</v>
      </c>
      <c r="AF229" s="14" t="str">
        <f t="shared" si="26"/>
        <v/>
      </c>
      <c r="AG229" s="14"/>
      <c r="AH229" s="14"/>
    </row>
    <row r="230" spans="1:34">
      <c r="A230" s="28"/>
      <c r="B230" s="180"/>
      <c r="C230" s="188"/>
      <c r="D230" s="161"/>
      <c r="E230" s="162"/>
      <c r="F230" s="162"/>
      <c r="G230" s="163"/>
      <c r="H230" s="285"/>
      <c r="I230" s="282"/>
      <c r="J230" s="16"/>
      <c r="K230" s="18">
        <f t="shared" si="22"/>
        <v>0</v>
      </c>
      <c r="L230" s="288">
        <v>0</v>
      </c>
      <c r="M230" s="291"/>
      <c r="N230" s="164"/>
      <c r="O230" s="164"/>
      <c r="P230" s="164"/>
      <c r="Q230" s="175">
        <f t="shared" si="28"/>
        <v>0</v>
      </c>
      <c r="R230" s="164"/>
      <c r="S230" s="197">
        <f t="shared" si="23"/>
        <v>0</v>
      </c>
      <c r="T230" s="201" t="str" cm="1">
        <f t="array" ref="T230">IFERROR(IF(F230="甲",IF(K230&gt;3500000,VLOOKUP(3500000,源泉DB!$B$261:$L$261,L230+3)+ROUNDDOWN((K230-3500000)*45.945%,0),IF(AND(K230&gt;2250000,K230&lt;3500000),VLOOKUP(2250000,源泉DB!$B$260:$K$260,L230+3)+ROUNDDOWN((K230-2250000)*40.84%,0),IF(AND(K230&gt;2210000,K230&lt;2250000),VLOOKUP(2210000,源泉DB!$B$259:$K$259,L230+3)+ROUNDDOWN((K230-2210000)*40.84%,0),IF(AND(K230&gt;2170000,K230&lt;2210000),VLOOKUP(2170000,源泉DB!$B$258:$K$258,L230+3)+ROUNDDOWN((K230-2170000)*40.84%,0),IF(AND(K230&gt;1700000,K230&lt;2170000),VLOOKUP(1700000,源泉DB!$B$257:$K$257,L230+3)+ROUNDDOWN((K230-1700000)*40.84%,0),IF(AND(K230&gt;950000,K230&lt;1700000),VLOOKUP(950000,源泉DB!$B$256:$K$256,L230+3)+ROUNDDOWN((K230-950000)*33.693%,0),IF(AND(K230&gt;780000,K230&lt;950000),VLOOKUP(780000,源泉DB!$B$255:$K$255,L230+3)+ROUNDDOWN((K230-780000)*23.483%,0),IF(AND(K230&gt;740000,K230&lt;780000),VLOOKUP(740000,源泉DB!$B$254:$K$254,L230+3)+ROUNDDOWN((K230-740000)*20.42%,0),VLOOKUP(K230,源泉DB!$B$8:$K$299,L230+3))))))))),IF(F230="乙",IF(K230&gt;1700000,651900+(K230-1700000) *45.945%,IF(K230=1700000,651900,IF(AND(K230&gt;740000,K230&lt;1700000),259800+(K230-740000)*40.84%,IF(K230=740000,259800,IF(K230&lt;88000,ROUNDDOWN(K230*3.063%,9),VLOOKUP(K230,源泉DB!$B$8:$L$254,11)))))),"")),"")</f>
        <v/>
      </c>
      <c r="U230" s="165"/>
      <c r="V230" s="166"/>
      <c r="W230" s="166"/>
      <c r="X230" s="166"/>
      <c r="Y230" s="166"/>
      <c r="Z230" s="178">
        <f>ROUND(IFERROR(IF(($G230="加入"),VLOOKUP($I230,年金DB!$G$16:$P$65,6,TRUE),0),0)-0.1,0)</f>
        <v>0</v>
      </c>
      <c r="AA230" s="178">
        <f>ROUND(IFERROR(IF(AND($G230="加入",$D230&gt;=40,$D230&lt;=64),VLOOKUP($I230,年金DB!$G$16:$P$65,10,TRUE),0),0)-0.1,0)</f>
        <v>0</v>
      </c>
      <c r="AB230" s="178">
        <f>ROUND(IFERROR(IF(AND($G230="加入",$D230&lt;40),VLOOKUP($J230,年金DB!$G$16:$X$62,14,TRUE),IF(AND($G230="加入",$D230&gt;=40),VLOOKUP($J230,年金DB!$G$16:$X$62,14,TRUE),"0")),0)-0.1,0)</f>
        <v>0</v>
      </c>
      <c r="AC230" s="178">
        <f t="shared" si="27"/>
        <v>0</v>
      </c>
      <c r="AD230" s="21">
        <f t="shared" si="24"/>
        <v>0</v>
      </c>
      <c r="AE230" s="173">
        <f t="shared" si="25"/>
        <v>0</v>
      </c>
      <c r="AF230" s="14" t="str">
        <f t="shared" si="26"/>
        <v/>
      </c>
      <c r="AG230" s="14"/>
      <c r="AH230" s="14"/>
    </row>
    <row r="231" spans="1:34">
      <c r="A231" s="28"/>
      <c r="B231" s="180"/>
      <c r="C231" s="188"/>
      <c r="D231" s="161"/>
      <c r="E231" s="162"/>
      <c r="F231" s="162"/>
      <c r="G231" s="163"/>
      <c r="H231" s="285"/>
      <c r="I231" s="282"/>
      <c r="J231" s="16"/>
      <c r="K231" s="18">
        <f t="shared" si="22"/>
        <v>0</v>
      </c>
      <c r="L231" s="288">
        <v>0</v>
      </c>
      <c r="M231" s="291"/>
      <c r="N231" s="164"/>
      <c r="O231" s="164"/>
      <c r="P231" s="164"/>
      <c r="Q231" s="175">
        <f t="shared" si="28"/>
        <v>0</v>
      </c>
      <c r="R231" s="164"/>
      <c r="S231" s="197">
        <f t="shared" si="23"/>
        <v>0</v>
      </c>
      <c r="T231" s="201" t="str" cm="1">
        <f t="array" ref="T231">IFERROR(IF(F231="甲",IF(K231&gt;3500000,VLOOKUP(3500000,源泉DB!$B$261:$L$261,L231+3)+ROUNDDOWN((K231-3500000)*45.945%,0),IF(AND(K231&gt;2250000,K231&lt;3500000),VLOOKUP(2250000,源泉DB!$B$260:$K$260,L231+3)+ROUNDDOWN((K231-2250000)*40.84%,0),IF(AND(K231&gt;2210000,K231&lt;2250000),VLOOKUP(2210000,源泉DB!$B$259:$K$259,L231+3)+ROUNDDOWN((K231-2210000)*40.84%,0),IF(AND(K231&gt;2170000,K231&lt;2210000),VLOOKUP(2170000,源泉DB!$B$258:$K$258,L231+3)+ROUNDDOWN((K231-2170000)*40.84%,0),IF(AND(K231&gt;1700000,K231&lt;2170000),VLOOKUP(1700000,源泉DB!$B$257:$K$257,L231+3)+ROUNDDOWN((K231-1700000)*40.84%,0),IF(AND(K231&gt;950000,K231&lt;1700000),VLOOKUP(950000,源泉DB!$B$256:$K$256,L231+3)+ROUNDDOWN((K231-950000)*33.693%,0),IF(AND(K231&gt;780000,K231&lt;950000),VLOOKUP(780000,源泉DB!$B$255:$K$255,L231+3)+ROUNDDOWN((K231-780000)*23.483%,0),IF(AND(K231&gt;740000,K231&lt;780000),VLOOKUP(740000,源泉DB!$B$254:$K$254,L231+3)+ROUNDDOWN((K231-740000)*20.42%,0),VLOOKUP(K231,源泉DB!$B$8:$K$299,L231+3))))))))),IF(F231="乙",IF(K231&gt;1700000,651900+(K231-1700000) *45.945%,IF(K231=1700000,651900,IF(AND(K231&gt;740000,K231&lt;1700000),259800+(K231-740000)*40.84%,IF(K231=740000,259800,IF(K231&lt;88000,ROUNDDOWN(K231*3.063%,9),VLOOKUP(K231,源泉DB!$B$8:$L$254,11)))))),"")),"")</f>
        <v/>
      </c>
      <c r="U231" s="165"/>
      <c r="V231" s="166"/>
      <c r="W231" s="166"/>
      <c r="X231" s="166"/>
      <c r="Y231" s="166"/>
      <c r="Z231" s="178">
        <f>ROUND(IFERROR(IF(($G231="加入"),VLOOKUP($I231,年金DB!$G$16:$P$65,6,TRUE),0),0)-0.1,0)</f>
        <v>0</v>
      </c>
      <c r="AA231" s="178">
        <f>ROUND(IFERROR(IF(AND($G231="加入",$D231&gt;=40,$D231&lt;=64),VLOOKUP($I231,年金DB!$G$16:$P$65,10,TRUE),0),0)-0.1,0)</f>
        <v>0</v>
      </c>
      <c r="AB231" s="178">
        <f>ROUND(IFERROR(IF(AND($G231="加入",$D231&lt;40),VLOOKUP($J231,年金DB!$G$16:$X$62,14,TRUE),IF(AND($G231="加入",$D231&gt;=40),VLOOKUP($J231,年金DB!$G$16:$X$62,14,TRUE),"0")),0)-0.1,0)</f>
        <v>0</v>
      </c>
      <c r="AC231" s="178">
        <f t="shared" si="27"/>
        <v>0</v>
      </c>
      <c r="AD231" s="21">
        <f t="shared" si="24"/>
        <v>0</v>
      </c>
      <c r="AE231" s="173">
        <f t="shared" si="25"/>
        <v>0</v>
      </c>
      <c r="AF231" s="14" t="str">
        <f t="shared" si="26"/>
        <v/>
      </c>
      <c r="AG231" s="14"/>
      <c r="AH231" s="14"/>
    </row>
    <row r="232" spans="1:34">
      <c r="A232" s="28"/>
      <c r="B232" s="180"/>
      <c r="C232" s="188"/>
      <c r="D232" s="161"/>
      <c r="E232" s="162"/>
      <c r="F232" s="162"/>
      <c r="G232" s="163"/>
      <c r="H232" s="285"/>
      <c r="I232" s="282"/>
      <c r="J232" s="16"/>
      <c r="K232" s="18">
        <f t="shared" si="22"/>
        <v>0</v>
      </c>
      <c r="L232" s="288">
        <v>0</v>
      </c>
      <c r="M232" s="291"/>
      <c r="N232" s="164"/>
      <c r="O232" s="164"/>
      <c r="P232" s="164"/>
      <c r="Q232" s="175">
        <f t="shared" si="28"/>
        <v>0</v>
      </c>
      <c r="R232" s="164"/>
      <c r="S232" s="197">
        <f t="shared" si="23"/>
        <v>0</v>
      </c>
      <c r="T232" s="201" t="str" cm="1">
        <f t="array" ref="T232">IFERROR(IF(F232="甲",IF(K232&gt;3500000,VLOOKUP(3500000,源泉DB!$B$261:$L$261,L232+3)+ROUNDDOWN((K232-3500000)*45.945%,0),IF(AND(K232&gt;2250000,K232&lt;3500000),VLOOKUP(2250000,源泉DB!$B$260:$K$260,L232+3)+ROUNDDOWN((K232-2250000)*40.84%,0),IF(AND(K232&gt;2210000,K232&lt;2250000),VLOOKUP(2210000,源泉DB!$B$259:$K$259,L232+3)+ROUNDDOWN((K232-2210000)*40.84%,0),IF(AND(K232&gt;2170000,K232&lt;2210000),VLOOKUP(2170000,源泉DB!$B$258:$K$258,L232+3)+ROUNDDOWN((K232-2170000)*40.84%,0),IF(AND(K232&gt;1700000,K232&lt;2170000),VLOOKUP(1700000,源泉DB!$B$257:$K$257,L232+3)+ROUNDDOWN((K232-1700000)*40.84%,0),IF(AND(K232&gt;950000,K232&lt;1700000),VLOOKUP(950000,源泉DB!$B$256:$K$256,L232+3)+ROUNDDOWN((K232-950000)*33.693%,0),IF(AND(K232&gt;780000,K232&lt;950000),VLOOKUP(780000,源泉DB!$B$255:$K$255,L232+3)+ROUNDDOWN((K232-780000)*23.483%,0),IF(AND(K232&gt;740000,K232&lt;780000),VLOOKUP(740000,源泉DB!$B$254:$K$254,L232+3)+ROUNDDOWN((K232-740000)*20.42%,0),VLOOKUP(K232,源泉DB!$B$8:$K$299,L232+3))))))))),IF(F232="乙",IF(K232&gt;1700000,651900+(K232-1700000) *45.945%,IF(K232=1700000,651900,IF(AND(K232&gt;740000,K232&lt;1700000),259800+(K232-740000)*40.84%,IF(K232=740000,259800,IF(K232&lt;88000,ROUNDDOWN(K232*3.063%,9),VLOOKUP(K232,源泉DB!$B$8:$L$254,11)))))),"")),"")</f>
        <v/>
      </c>
      <c r="U232" s="165"/>
      <c r="V232" s="166"/>
      <c r="W232" s="166"/>
      <c r="X232" s="166"/>
      <c r="Y232" s="166"/>
      <c r="Z232" s="178">
        <f>ROUND(IFERROR(IF(($G232="加入"),VLOOKUP($I232,年金DB!$G$16:$P$65,6,TRUE),0),0)-0.1,0)</f>
        <v>0</v>
      </c>
      <c r="AA232" s="178">
        <f>ROUND(IFERROR(IF(AND($G232="加入",$D232&gt;=40,$D232&lt;=64),VLOOKUP($I232,年金DB!$G$16:$P$65,10,TRUE),0),0)-0.1,0)</f>
        <v>0</v>
      </c>
      <c r="AB232" s="178">
        <f>ROUND(IFERROR(IF(AND($G232="加入",$D232&lt;40),VLOOKUP($J232,年金DB!$G$16:$X$62,14,TRUE),IF(AND($G232="加入",$D232&gt;=40),VLOOKUP($J232,年金DB!$G$16:$X$62,14,TRUE),"0")),0)-0.1,0)</f>
        <v>0</v>
      </c>
      <c r="AC232" s="178">
        <f t="shared" si="27"/>
        <v>0</v>
      </c>
      <c r="AD232" s="21">
        <f t="shared" si="24"/>
        <v>0</v>
      </c>
      <c r="AE232" s="173">
        <f t="shared" si="25"/>
        <v>0</v>
      </c>
      <c r="AF232" s="14" t="str">
        <f t="shared" si="26"/>
        <v/>
      </c>
      <c r="AG232" s="14"/>
      <c r="AH232" s="14"/>
    </row>
    <row r="233" spans="1:34">
      <c r="A233" s="28"/>
      <c r="B233" s="180"/>
      <c r="C233" s="188"/>
      <c r="D233" s="161"/>
      <c r="E233" s="162"/>
      <c r="F233" s="162"/>
      <c r="G233" s="163"/>
      <c r="H233" s="285"/>
      <c r="I233" s="282"/>
      <c r="J233" s="16"/>
      <c r="K233" s="18">
        <f t="shared" si="22"/>
        <v>0</v>
      </c>
      <c r="L233" s="288">
        <v>0</v>
      </c>
      <c r="M233" s="291"/>
      <c r="N233" s="164"/>
      <c r="O233" s="164"/>
      <c r="P233" s="164"/>
      <c r="Q233" s="175">
        <f t="shared" si="28"/>
        <v>0</v>
      </c>
      <c r="R233" s="164"/>
      <c r="S233" s="197">
        <f t="shared" si="23"/>
        <v>0</v>
      </c>
      <c r="T233" s="201" t="str" cm="1">
        <f t="array" ref="T233">IFERROR(IF(F233="甲",IF(K233&gt;3500000,VLOOKUP(3500000,源泉DB!$B$261:$L$261,L233+3)+ROUNDDOWN((K233-3500000)*45.945%,0),IF(AND(K233&gt;2250000,K233&lt;3500000),VLOOKUP(2250000,源泉DB!$B$260:$K$260,L233+3)+ROUNDDOWN((K233-2250000)*40.84%,0),IF(AND(K233&gt;2210000,K233&lt;2250000),VLOOKUP(2210000,源泉DB!$B$259:$K$259,L233+3)+ROUNDDOWN((K233-2210000)*40.84%,0),IF(AND(K233&gt;2170000,K233&lt;2210000),VLOOKUP(2170000,源泉DB!$B$258:$K$258,L233+3)+ROUNDDOWN((K233-2170000)*40.84%,0),IF(AND(K233&gt;1700000,K233&lt;2170000),VLOOKUP(1700000,源泉DB!$B$257:$K$257,L233+3)+ROUNDDOWN((K233-1700000)*40.84%,0),IF(AND(K233&gt;950000,K233&lt;1700000),VLOOKUP(950000,源泉DB!$B$256:$K$256,L233+3)+ROUNDDOWN((K233-950000)*33.693%,0),IF(AND(K233&gt;780000,K233&lt;950000),VLOOKUP(780000,源泉DB!$B$255:$K$255,L233+3)+ROUNDDOWN((K233-780000)*23.483%,0),IF(AND(K233&gt;740000,K233&lt;780000),VLOOKUP(740000,源泉DB!$B$254:$K$254,L233+3)+ROUNDDOWN((K233-740000)*20.42%,0),VLOOKUP(K233,源泉DB!$B$8:$K$299,L233+3))))))))),IF(F233="乙",IF(K233&gt;1700000,651900+(K233-1700000) *45.945%,IF(K233=1700000,651900,IF(AND(K233&gt;740000,K233&lt;1700000),259800+(K233-740000)*40.84%,IF(K233=740000,259800,IF(K233&lt;88000,ROUNDDOWN(K233*3.063%,9),VLOOKUP(K233,源泉DB!$B$8:$L$254,11)))))),"")),"")</f>
        <v/>
      </c>
      <c r="U233" s="165"/>
      <c r="V233" s="166"/>
      <c r="W233" s="166"/>
      <c r="X233" s="166"/>
      <c r="Y233" s="166"/>
      <c r="Z233" s="178">
        <f>ROUND(IFERROR(IF(($G233="加入"),VLOOKUP($I233,年金DB!$G$16:$P$65,6,TRUE),0),0)-0.1,0)</f>
        <v>0</v>
      </c>
      <c r="AA233" s="178">
        <f>ROUND(IFERROR(IF(AND($G233="加入",$D233&gt;=40,$D233&lt;=64),VLOOKUP($I233,年金DB!$G$16:$P$65,10,TRUE),0),0)-0.1,0)</f>
        <v>0</v>
      </c>
      <c r="AB233" s="178">
        <f>ROUND(IFERROR(IF(AND($G233="加入",$D233&lt;40),VLOOKUP($J233,年金DB!$G$16:$X$62,14,TRUE),IF(AND($G233="加入",$D233&gt;=40),VLOOKUP($J233,年金DB!$G$16:$X$62,14,TRUE),"0")),0)-0.1,0)</f>
        <v>0</v>
      </c>
      <c r="AC233" s="178">
        <f t="shared" si="27"/>
        <v>0</v>
      </c>
      <c r="AD233" s="21">
        <f t="shared" si="24"/>
        <v>0</v>
      </c>
      <c r="AE233" s="173">
        <f t="shared" si="25"/>
        <v>0</v>
      </c>
      <c r="AF233" s="14" t="str">
        <f t="shared" si="26"/>
        <v/>
      </c>
      <c r="AG233" s="14"/>
      <c r="AH233" s="14"/>
    </row>
    <row r="234" spans="1:34">
      <c r="A234" s="28"/>
      <c r="B234" s="180"/>
      <c r="C234" s="188"/>
      <c r="D234" s="161"/>
      <c r="E234" s="162"/>
      <c r="F234" s="162"/>
      <c r="G234" s="163"/>
      <c r="H234" s="285"/>
      <c r="I234" s="282"/>
      <c r="J234" s="16"/>
      <c r="K234" s="18">
        <f t="shared" si="22"/>
        <v>0</v>
      </c>
      <c r="L234" s="288">
        <v>0</v>
      </c>
      <c r="M234" s="291"/>
      <c r="N234" s="164"/>
      <c r="O234" s="164"/>
      <c r="P234" s="164"/>
      <c r="Q234" s="175">
        <f t="shared" si="28"/>
        <v>0</v>
      </c>
      <c r="R234" s="164"/>
      <c r="S234" s="197">
        <f t="shared" si="23"/>
        <v>0</v>
      </c>
      <c r="T234" s="201" t="str" cm="1">
        <f t="array" ref="T234">IFERROR(IF(F234="甲",IF(K234&gt;3500000,VLOOKUP(3500000,源泉DB!$B$261:$L$261,L234+3)+ROUNDDOWN((K234-3500000)*45.945%,0),IF(AND(K234&gt;2250000,K234&lt;3500000),VLOOKUP(2250000,源泉DB!$B$260:$K$260,L234+3)+ROUNDDOWN((K234-2250000)*40.84%,0),IF(AND(K234&gt;2210000,K234&lt;2250000),VLOOKUP(2210000,源泉DB!$B$259:$K$259,L234+3)+ROUNDDOWN((K234-2210000)*40.84%,0),IF(AND(K234&gt;2170000,K234&lt;2210000),VLOOKUP(2170000,源泉DB!$B$258:$K$258,L234+3)+ROUNDDOWN((K234-2170000)*40.84%,0),IF(AND(K234&gt;1700000,K234&lt;2170000),VLOOKUP(1700000,源泉DB!$B$257:$K$257,L234+3)+ROUNDDOWN((K234-1700000)*40.84%,0),IF(AND(K234&gt;950000,K234&lt;1700000),VLOOKUP(950000,源泉DB!$B$256:$K$256,L234+3)+ROUNDDOWN((K234-950000)*33.693%,0),IF(AND(K234&gt;780000,K234&lt;950000),VLOOKUP(780000,源泉DB!$B$255:$K$255,L234+3)+ROUNDDOWN((K234-780000)*23.483%,0),IF(AND(K234&gt;740000,K234&lt;780000),VLOOKUP(740000,源泉DB!$B$254:$K$254,L234+3)+ROUNDDOWN((K234-740000)*20.42%,0),VLOOKUP(K234,源泉DB!$B$8:$K$299,L234+3))))))))),IF(F234="乙",IF(K234&gt;1700000,651900+(K234-1700000) *45.945%,IF(K234=1700000,651900,IF(AND(K234&gt;740000,K234&lt;1700000),259800+(K234-740000)*40.84%,IF(K234=740000,259800,IF(K234&lt;88000,ROUNDDOWN(K234*3.063%,9),VLOOKUP(K234,源泉DB!$B$8:$L$254,11)))))),"")),"")</f>
        <v/>
      </c>
      <c r="U234" s="165"/>
      <c r="V234" s="166"/>
      <c r="W234" s="166"/>
      <c r="X234" s="166"/>
      <c r="Y234" s="166"/>
      <c r="Z234" s="178">
        <f>ROUND(IFERROR(IF(($G234="加入"),VLOOKUP($I234,年金DB!$G$16:$P$65,6,TRUE),0),0)-0.1,0)</f>
        <v>0</v>
      </c>
      <c r="AA234" s="178">
        <f>ROUND(IFERROR(IF(AND($G234="加入",$D234&gt;=40,$D234&lt;=64),VLOOKUP($I234,年金DB!$G$16:$P$65,10,TRUE),0),0)-0.1,0)</f>
        <v>0</v>
      </c>
      <c r="AB234" s="178">
        <f>ROUND(IFERROR(IF(AND($G234="加入",$D234&lt;40),VLOOKUP($J234,年金DB!$G$16:$X$62,14,TRUE),IF(AND($G234="加入",$D234&gt;=40),VLOOKUP($J234,年金DB!$G$16:$X$62,14,TRUE),"0")),0)-0.1,0)</f>
        <v>0</v>
      </c>
      <c r="AC234" s="178">
        <f t="shared" si="27"/>
        <v>0</v>
      </c>
      <c r="AD234" s="21">
        <f t="shared" si="24"/>
        <v>0</v>
      </c>
      <c r="AE234" s="173">
        <f t="shared" si="25"/>
        <v>0</v>
      </c>
      <c r="AF234" s="14" t="str">
        <f t="shared" si="26"/>
        <v/>
      </c>
      <c r="AG234" s="14"/>
      <c r="AH234" s="14"/>
    </row>
    <row r="235" spans="1:34">
      <c r="A235" s="28"/>
      <c r="B235" s="180"/>
      <c r="C235" s="188"/>
      <c r="D235" s="161"/>
      <c r="E235" s="162"/>
      <c r="F235" s="162"/>
      <c r="G235" s="163"/>
      <c r="H235" s="285"/>
      <c r="I235" s="282"/>
      <c r="J235" s="16"/>
      <c r="K235" s="18">
        <f t="shared" si="22"/>
        <v>0</v>
      </c>
      <c r="L235" s="288">
        <v>0</v>
      </c>
      <c r="M235" s="291"/>
      <c r="N235" s="164"/>
      <c r="O235" s="164"/>
      <c r="P235" s="164"/>
      <c r="Q235" s="175">
        <f t="shared" si="28"/>
        <v>0</v>
      </c>
      <c r="R235" s="164"/>
      <c r="S235" s="197">
        <f t="shared" si="23"/>
        <v>0</v>
      </c>
      <c r="T235" s="201" t="str" cm="1">
        <f t="array" ref="T235">IFERROR(IF(F235="甲",IF(K235&gt;3500000,VLOOKUP(3500000,源泉DB!$B$261:$L$261,L235+3)+ROUNDDOWN((K235-3500000)*45.945%,0),IF(AND(K235&gt;2250000,K235&lt;3500000),VLOOKUP(2250000,源泉DB!$B$260:$K$260,L235+3)+ROUNDDOWN((K235-2250000)*40.84%,0),IF(AND(K235&gt;2210000,K235&lt;2250000),VLOOKUP(2210000,源泉DB!$B$259:$K$259,L235+3)+ROUNDDOWN((K235-2210000)*40.84%,0),IF(AND(K235&gt;2170000,K235&lt;2210000),VLOOKUP(2170000,源泉DB!$B$258:$K$258,L235+3)+ROUNDDOWN((K235-2170000)*40.84%,0),IF(AND(K235&gt;1700000,K235&lt;2170000),VLOOKUP(1700000,源泉DB!$B$257:$K$257,L235+3)+ROUNDDOWN((K235-1700000)*40.84%,0),IF(AND(K235&gt;950000,K235&lt;1700000),VLOOKUP(950000,源泉DB!$B$256:$K$256,L235+3)+ROUNDDOWN((K235-950000)*33.693%,0),IF(AND(K235&gt;780000,K235&lt;950000),VLOOKUP(780000,源泉DB!$B$255:$K$255,L235+3)+ROUNDDOWN((K235-780000)*23.483%,0),IF(AND(K235&gt;740000,K235&lt;780000),VLOOKUP(740000,源泉DB!$B$254:$K$254,L235+3)+ROUNDDOWN((K235-740000)*20.42%,0),VLOOKUP(K235,源泉DB!$B$8:$K$299,L235+3))))))))),IF(F235="乙",IF(K235&gt;1700000,651900+(K235-1700000) *45.945%,IF(K235=1700000,651900,IF(AND(K235&gt;740000,K235&lt;1700000),259800+(K235-740000)*40.84%,IF(K235=740000,259800,IF(K235&lt;88000,ROUNDDOWN(K235*3.063%,9),VLOOKUP(K235,源泉DB!$B$8:$L$254,11)))))),"")),"")</f>
        <v/>
      </c>
      <c r="U235" s="165"/>
      <c r="V235" s="166"/>
      <c r="W235" s="166"/>
      <c r="X235" s="166"/>
      <c r="Y235" s="166"/>
      <c r="Z235" s="178">
        <f>ROUND(IFERROR(IF(($G235="加入"),VLOOKUP($I235,年金DB!$G$16:$P$65,6,TRUE),0),0)-0.1,0)</f>
        <v>0</v>
      </c>
      <c r="AA235" s="178">
        <f>ROUND(IFERROR(IF(AND($G235="加入",$D235&gt;=40,$D235&lt;=64),VLOOKUP($I235,年金DB!$G$16:$P$65,10,TRUE),0),0)-0.1,0)</f>
        <v>0</v>
      </c>
      <c r="AB235" s="178">
        <f>ROUND(IFERROR(IF(AND($G235="加入",$D235&lt;40),VLOOKUP($J235,年金DB!$G$16:$X$62,14,TRUE),IF(AND($G235="加入",$D235&gt;=40),VLOOKUP($J235,年金DB!$G$16:$X$62,14,TRUE),"0")),0)-0.1,0)</f>
        <v>0</v>
      </c>
      <c r="AC235" s="178">
        <f t="shared" si="27"/>
        <v>0</v>
      </c>
      <c r="AD235" s="21">
        <f t="shared" si="24"/>
        <v>0</v>
      </c>
      <c r="AE235" s="173">
        <f t="shared" si="25"/>
        <v>0</v>
      </c>
      <c r="AF235" s="14" t="str">
        <f t="shared" si="26"/>
        <v/>
      </c>
      <c r="AG235" s="14"/>
      <c r="AH235" s="14"/>
    </row>
    <row r="236" spans="1:34">
      <c r="A236" s="28"/>
      <c r="B236" s="180"/>
      <c r="C236" s="188"/>
      <c r="D236" s="161"/>
      <c r="E236" s="162"/>
      <c r="F236" s="162"/>
      <c r="G236" s="163"/>
      <c r="H236" s="285"/>
      <c r="I236" s="282"/>
      <c r="J236" s="16"/>
      <c r="K236" s="18">
        <f t="shared" si="22"/>
        <v>0</v>
      </c>
      <c r="L236" s="288">
        <v>0</v>
      </c>
      <c r="M236" s="291"/>
      <c r="N236" s="164"/>
      <c r="O236" s="164"/>
      <c r="P236" s="164"/>
      <c r="Q236" s="175">
        <f t="shared" si="28"/>
        <v>0</v>
      </c>
      <c r="R236" s="164"/>
      <c r="S236" s="197">
        <f t="shared" si="23"/>
        <v>0</v>
      </c>
      <c r="T236" s="201" t="str" cm="1">
        <f t="array" ref="T236">IFERROR(IF(F236="甲",IF(K236&gt;3500000,VLOOKUP(3500000,源泉DB!$B$261:$L$261,L236+3)+ROUNDDOWN((K236-3500000)*45.945%,0),IF(AND(K236&gt;2250000,K236&lt;3500000),VLOOKUP(2250000,源泉DB!$B$260:$K$260,L236+3)+ROUNDDOWN((K236-2250000)*40.84%,0),IF(AND(K236&gt;2210000,K236&lt;2250000),VLOOKUP(2210000,源泉DB!$B$259:$K$259,L236+3)+ROUNDDOWN((K236-2210000)*40.84%,0),IF(AND(K236&gt;2170000,K236&lt;2210000),VLOOKUP(2170000,源泉DB!$B$258:$K$258,L236+3)+ROUNDDOWN((K236-2170000)*40.84%,0),IF(AND(K236&gt;1700000,K236&lt;2170000),VLOOKUP(1700000,源泉DB!$B$257:$K$257,L236+3)+ROUNDDOWN((K236-1700000)*40.84%,0),IF(AND(K236&gt;950000,K236&lt;1700000),VLOOKUP(950000,源泉DB!$B$256:$K$256,L236+3)+ROUNDDOWN((K236-950000)*33.693%,0),IF(AND(K236&gt;780000,K236&lt;950000),VLOOKUP(780000,源泉DB!$B$255:$K$255,L236+3)+ROUNDDOWN((K236-780000)*23.483%,0),IF(AND(K236&gt;740000,K236&lt;780000),VLOOKUP(740000,源泉DB!$B$254:$K$254,L236+3)+ROUNDDOWN((K236-740000)*20.42%,0),VLOOKUP(K236,源泉DB!$B$8:$K$299,L236+3))))))))),IF(F236="乙",IF(K236&gt;1700000,651900+(K236-1700000) *45.945%,IF(K236=1700000,651900,IF(AND(K236&gt;740000,K236&lt;1700000),259800+(K236-740000)*40.84%,IF(K236=740000,259800,IF(K236&lt;88000,ROUNDDOWN(K236*3.063%,9),VLOOKUP(K236,源泉DB!$B$8:$L$254,11)))))),"")),"")</f>
        <v/>
      </c>
      <c r="U236" s="165"/>
      <c r="V236" s="166"/>
      <c r="W236" s="166"/>
      <c r="X236" s="166"/>
      <c r="Y236" s="166"/>
      <c r="Z236" s="178">
        <f>ROUND(IFERROR(IF(($G236="加入"),VLOOKUP($I236,年金DB!$G$16:$P$65,6,TRUE),0),0)-0.1,0)</f>
        <v>0</v>
      </c>
      <c r="AA236" s="178">
        <f>ROUND(IFERROR(IF(AND($G236="加入",$D236&gt;=40,$D236&lt;=64),VLOOKUP($I236,年金DB!$G$16:$P$65,10,TRUE),0),0)-0.1,0)</f>
        <v>0</v>
      </c>
      <c r="AB236" s="178">
        <f>ROUND(IFERROR(IF(AND($G236="加入",$D236&lt;40),VLOOKUP($J236,年金DB!$G$16:$X$62,14,TRUE),IF(AND($G236="加入",$D236&gt;=40),VLOOKUP($J236,年金DB!$G$16:$X$62,14,TRUE),"0")),0)-0.1,0)</f>
        <v>0</v>
      </c>
      <c r="AC236" s="178">
        <f t="shared" si="27"/>
        <v>0</v>
      </c>
      <c r="AD236" s="21">
        <f t="shared" si="24"/>
        <v>0</v>
      </c>
      <c r="AE236" s="173">
        <f t="shared" si="25"/>
        <v>0</v>
      </c>
      <c r="AF236" s="14" t="str">
        <f t="shared" si="26"/>
        <v/>
      </c>
      <c r="AG236" s="14"/>
      <c r="AH236" s="14"/>
    </row>
    <row r="237" spans="1:34">
      <c r="A237" s="28"/>
      <c r="B237" s="180"/>
      <c r="C237" s="188"/>
      <c r="D237" s="161"/>
      <c r="E237" s="162"/>
      <c r="F237" s="162"/>
      <c r="G237" s="163"/>
      <c r="H237" s="285"/>
      <c r="I237" s="282"/>
      <c r="J237" s="16"/>
      <c r="K237" s="18">
        <f t="shared" si="22"/>
        <v>0</v>
      </c>
      <c r="L237" s="288">
        <v>0</v>
      </c>
      <c r="M237" s="291"/>
      <c r="N237" s="164"/>
      <c r="O237" s="164"/>
      <c r="P237" s="164"/>
      <c r="Q237" s="175">
        <f t="shared" si="28"/>
        <v>0</v>
      </c>
      <c r="R237" s="164"/>
      <c r="S237" s="197">
        <f t="shared" si="23"/>
        <v>0</v>
      </c>
      <c r="T237" s="201" t="str" cm="1">
        <f t="array" ref="T237">IFERROR(IF(F237="甲",IF(K237&gt;3500000,VLOOKUP(3500000,源泉DB!$B$261:$L$261,L237+3)+ROUNDDOWN((K237-3500000)*45.945%,0),IF(AND(K237&gt;2250000,K237&lt;3500000),VLOOKUP(2250000,源泉DB!$B$260:$K$260,L237+3)+ROUNDDOWN((K237-2250000)*40.84%,0),IF(AND(K237&gt;2210000,K237&lt;2250000),VLOOKUP(2210000,源泉DB!$B$259:$K$259,L237+3)+ROUNDDOWN((K237-2210000)*40.84%,0),IF(AND(K237&gt;2170000,K237&lt;2210000),VLOOKUP(2170000,源泉DB!$B$258:$K$258,L237+3)+ROUNDDOWN((K237-2170000)*40.84%,0),IF(AND(K237&gt;1700000,K237&lt;2170000),VLOOKUP(1700000,源泉DB!$B$257:$K$257,L237+3)+ROUNDDOWN((K237-1700000)*40.84%,0),IF(AND(K237&gt;950000,K237&lt;1700000),VLOOKUP(950000,源泉DB!$B$256:$K$256,L237+3)+ROUNDDOWN((K237-950000)*33.693%,0),IF(AND(K237&gt;780000,K237&lt;950000),VLOOKUP(780000,源泉DB!$B$255:$K$255,L237+3)+ROUNDDOWN((K237-780000)*23.483%,0),IF(AND(K237&gt;740000,K237&lt;780000),VLOOKUP(740000,源泉DB!$B$254:$K$254,L237+3)+ROUNDDOWN((K237-740000)*20.42%,0),VLOOKUP(K237,源泉DB!$B$8:$K$299,L237+3))))))))),IF(F237="乙",IF(K237&gt;1700000,651900+(K237-1700000) *45.945%,IF(K237=1700000,651900,IF(AND(K237&gt;740000,K237&lt;1700000),259800+(K237-740000)*40.84%,IF(K237=740000,259800,IF(K237&lt;88000,ROUNDDOWN(K237*3.063%,9),VLOOKUP(K237,源泉DB!$B$8:$L$254,11)))))),"")),"")</f>
        <v/>
      </c>
      <c r="U237" s="165"/>
      <c r="V237" s="166"/>
      <c r="W237" s="166"/>
      <c r="X237" s="166"/>
      <c r="Y237" s="166"/>
      <c r="Z237" s="178">
        <f>ROUND(IFERROR(IF(($G237="加入"),VLOOKUP($I237,年金DB!$G$16:$P$65,6,TRUE),0),0)-0.1,0)</f>
        <v>0</v>
      </c>
      <c r="AA237" s="178">
        <f>ROUND(IFERROR(IF(AND($G237="加入",$D237&gt;=40,$D237&lt;=64),VLOOKUP($I237,年金DB!$G$16:$P$65,10,TRUE),0),0)-0.1,0)</f>
        <v>0</v>
      </c>
      <c r="AB237" s="178">
        <f>ROUND(IFERROR(IF(AND($G237="加入",$D237&lt;40),VLOOKUP($J237,年金DB!$G$16:$X$62,14,TRUE),IF(AND($G237="加入",$D237&gt;=40),VLOOKUP($J237,年金DB!$G$16:$X$62,14,TRUE),"0")),0)-0.1,0)</f>
        <v>0</v>
      </c>
      <c r="AC237" s="178">
        <f t="shared" si="27"/>
        <v>0</v>
      </c>
      <c r="AD237" s="21">
        <f t="shared" si="24"/>
        <v>0</v>
      </c>
      <c r="AE237" s="173">
        <f t="shared" si="25"/>
        <v>0</v>
      </c>
      <c r="AF237" s="14" t="str">
        <f t="shared" si="26"/>
        <v/>
      </c>
      <c r="AG237" s="14"/>
      <c r="AH237" s="14"/>
    </row>
    <row r="238" spans="1:34">
      <c r="A238" s="28"/>
      <c r="B238" s="180"/>
      <c r="C238" s="188"/>
      <c r="D238" s="161"/>
      <c r="E238" s="162"/>
      <c r="F238" s="162"/>
      <c r="G238" s="163"/>
      <c r="H238" s="285"/>
      <c r="I238" s="282"/>
      <c r="J238" s="16"/>
      <c r="K238" s="18">
        <f t="shared" si="22"/>
        <v>0</v>
      </c>
      <c r="L238" s="288">
        <v>0</v>
      </c>
      <c r="M238" s="291"/>
      <c r="N238" s="164"/>
      <c r="O238" s="164"/>
      <c r="P238" s="164"/>
      <c r="Q238" s="175">
        <f t="shared" si="28"/>
        <v>0</v>
      </c>
      <c r="R238" s="164"/>
      <c r="S238" s="197">
        <f t="shared" si="23"/>
        <v>0</v>
      </c>
      <c r="T238" s="201" t="str" cm="1">
        <f t="array" ref="T238">IFERROR(IF(F238="甲",IF(K238&gt;3500000,VLOOKUP(3500000,源泉DB!$B$261:$L$261,L238+3)+ROUNDDOWN((K238-3500000)*45.945%,0),IF(AND(K238&gt;2250000,K238&lt;3500000),VLOOKUP(2250000,源泉DB!$B$260:$K$260,L238+3)+ROUNDDOWN((K238-2250000)*40.84%,0),IF(AND(K238&gt;2210000,K238&lt;2250000),VLOOKUP(2210000,源泉DB!$B$259:$K$259,L238+3)+ROUNDDOWN((K238-2210000)*40.84%,0),IF(AND(K238&gt;2170000,K238&lt;2210000),VLOOKUP(2170000,源泉DB!$B$258:$K$258,L238+3)+ROUNDDOWN((K238-2170000)*40.84%,0),IF(AND(K238&gt;1700000,K238&lt;2170000),VLOOKUP(1700000,源泉DB!$B$257:$K$257,L238+3)+ROUNDDOWN((K238-1700000)*40.84%,0),IF(AND(K238&gt;950000,K238&lt;1700000),VLOOKUP(950000,源泉DB!$B$256:$K$256,L238+3)+ROUNDDOWN((K238-950000)*33.693%,0),IF(AND(K238&gt;780000,K238&lt;950000),VLOOKUP(780000,源泉DB!$B$255:$K$255,L238+3)+ROUNDDOWN((K238-780000)*23.483%,0),IF(AND(K238&gt;740000,K238&lt;780000),VLOOKUP(740000,源泉DB!$B$254:$K$254,L238+3)+ROUNDDOWN((K238-740000)*20.42%,0),VLOOKUP(K238,源泉DB!$B$8:$K$299,L238+3))))))))),IF(F238="乙",IF(K238&gt;1700000,651900+(K238-1700000) *45.945%,IF(K238=1700000,651900,IF(AND(K238&gt;740000,K238&lt;1700000),259800+(K238-740000)*40.84%,IF(K238=740000,259800,IF(K238&lt;88000,ROUNDDOWN(K238*3.063%,9),VLOOKUP(K238,源泉DB!$B$8:$L$254,11)))))),"")),"")</f>
        <v/>
      </c>
      <c r="U238" s="165"/>
      <c r="V238" s="166"/>
      <c r="W238" s="166"/>
      <c r="X238" s="166"/>
      <c r="Y238" s="166"/>
      <c r="Z238" s="178">
        <f>ROUND(IFERROR(IF(($G238="加入"),VLOOKUP($I238,年金DB!$G$16:$P$65,6,TRUE),0),0)-0.1,0)</f>
        <v>0</v>
      </c>
      <c r="AA238" s="178">
        <f>ROUND(IFERROR(IF(AND($G238="加入",$D238&gt;=40,$D238&lt;=64),VLOOKUP($I238,年金DB!$G$16:$P$65,10,TRUE),0),0)-0.1,0)</f>
        <v>0</v>
      </c>
      <c r="AB238" s="178">
        <f>ROUND(IFERROR(IF(AND($G238="加入",$D238&lt;40),VLOOKUP($J238,年金DB!$G$16:$X$62,14,TRUE),IF(AND($G238="加入",$D238&gt;=40),VLOOKUP($J238,年金DB!$G$16:$X$62,14,TRUE),"0")),0)-0.1,0)</f>
        <v>0</v>
      </c>
      <c r="AC238" s="178">
        <f t="shared" si="27"/>
        <v>0</v>
      </c>
      <c r="AD238" s="21">
        <f t="shared" si="24"/>
        <v>0</v>
      </c>
      <c r="AE238" s="173">
        <f t="shared" si="25"/>
        <v>0</v>
      </c>
      <c r="AF238" s="14" t="str">
        <f t="shared" si="26"/>
        <v/>
      </c>
      <c r="AG238" s="14"/>
      <c r="AH238" s="14"/>
    </row>
    <row r="239" spans="1:34">
      <c r="A239" s="28"/>
      <c r="B239" s="180"/>
      <c r="C239" s="188"/>
      <c r="D239" s="161"/>
      <c r="E239" s="162"/>
      <c r="F239" s="162"/>
      <c r="G239" s="163"/>
      <c r="H239" s="285"/>
      <c r="I239" s="282"/>
      <c r="J239" s="16"/>
      <c r="K239" s="18">
        <f t="shared" si="22"/>
        <v>0</v>
      </c>
      <c r="L239" s="288">
        <v>0</v>
      </c>
      <c r="M239" s="291"/>
      <c r="N239" s="164"/>
      <c r="O239" s="164"/>
      <c r="P239" s="164"/>
      <c r="Q239" s="175">
        <f t="shared" si="28"/>
        <v>0</v>
      </c>
      <c r="R239" s="164"/>
      <c r="S239" s="197">
        <f t="shared" si="23"/>
        <v>0</v>
      </c>
      <c r="T239" s="201" t="str" cm="1">
        <f t="array" ref="T239">IFERROR(IF(F239="甲",IF(K239&gt;3500000,VLOOKUP(3500000,源泉DB!$B$261:$L$261,L239+3)+ROUNDDOWN((K239-3500000)*45.945%,0),IF(AND(K239&gt;2250000,K239&lt;3500000),VLOOKUP(2250000,源泉DB!$B$260:$K$260,L239+3)+ROUNDDOWN((K239-2250000)*40.84%,0),IF(AND(K239&gt;2210000,K239&lt;2250000),VLOOKUP(2210000,源泉DB!$B$259:$K$259,L239+3)+ROUNDDOWN((K239-2210000)*40.84%,0),IF(AND(K239&gt;2170000,K239&lt;2210000),VLOOKUP(2170000,源泉DB!$B$258:$K$258,L239+3)+ROUNDDOWN((K239-2170000)*40.84%,0),IF(AND(K239&gt;1700000,K239&lt;2170000),VLOOKUP(1700000,源泉DB!$B$257:$K$257,L239+3)+ROUNDDOWN((K239-1700000)*40.84%,0),IF(AND(K239&gt;950000,K239&lt;1700000),VLOOKUP(950000,源泉DB!$B$256:$K$256,L239+3)+ROUNDDOWN((K239-950000)*33.693%,0),IF(AND(K239&gt;780000,K239&lt;950000),VLOOKUP(780000,源泉DB!$B$255:$K$255,L239+3)+ROUNDDOWN((K239-780000)*23.483%,0),IF(AND(K239&gt;740000,K239&lt;780000),VLOOKUP(740000,源泉DB!$B$254:$K$254,L239+3)+ROUNDDOWN((K239-740000)*20.42%,0),VLOOKUP(K239,源泉DB!$B$8:$K$299,L239+3))))))))),IF(F239="乙",IF(K239&gt;1700000,651900+(K239-1700000) *45.945%,IF(K239=1700000,651900,IF(AND(K239&gt;740000,K239&lt;1700000),259800+(K239-740000)*40.84%,IF(K239=740000,259800,IF(K239&lt;88000,ROUNDDOWN(K239*3.063%,9),VLOOKUP(K239,源泉DB!$B$8:$L$254,11)))))),"")),"")</f>
        <v/>
      </c>
      <c r="U239" s="165"/>
      <c r="V239" s="166"/>
      <c r="W239" s="166"/>
      <c r="X239" s="166"/>
      <c r="Y239" s="166"/>
      <c r="Z239" s="178">
        <f>ROUND(IFERROR(IF(($G239="加入"),VLOOKUP($I239,年金DB!$G$16:$P$65,6,TRUE),0),0)-0.1,0)</f>
        <v>0</v>
      </c>
      <c r="AA239" s="178">
        <f>ROUND(IFERROR(IF(AND($G239="加入",$D239&gt;=40,$D239&lt;=64),VLOOKUP($I239,年金DB!$G$16:$P$65,10,TRUE),0),0)-0.1,0)</f>
        <v>0</v>
      </c>
      <c r="AB239" s="178">
        <f>ROUND(IFERROR(IF(AND($G239="加入",$D239&lt;40),VLOOKUP($J239,年金DB!$G$16:$X$62,14,TRUE),IF(AND($G239="加入",$D239&gt;=40),VLOOKUP($J239,年金DB!$G$16:$X$62,14,TRUE),"0")),0)-0.1,0)</f>
        <v>0</v>
      </c>
      <c r="AC239" s="178">
        <f t="shared" si="27"/>
        <v>0</v>
      </c>
      <c r="AD239" s="21">
        <f t="shared" si="24"/>
        <v>0</v>
      </c>
      <c r="AE239" s="173">
        <f t="shared" si="25"/>
        <v>0</v>
      </c>
      <c r="AF239" s="14" t="str">
        <f t="shared" si="26"/>
        <v/>
      </c>
      <c r="AG239" s="14"/>
      <c r="AH239" s="14"/>
    </row>
    <row r="240" spans="1:34">
      <c r="A240" s="28"/>
      <c r="B240" s="180"/>
      <c r="C240" s="188"/>
      <c r="D240" s="161"/>
      <c r="E240" s="162"/>
      <c r="F240" s="162"/>
      <c r="G240" s="163"/>
      <c r="H240" s="285"/>
      <c r="I240" s="282"/>
      <c r="J240" s="16"/>
      <c r="K240" s="18">
        <f t="shared" si="22"/>
        <v>0</v>
      </c>
      <c r="L240" s="288">
        <v>0</v>
      </c>
      <c r="M240" s="291"/>
      <c r="N240" s="164"/>
      <c r="O240" s="164"/>
      <c r="P240" s="164"/>
      <c r="Q240" s="175">
        <f t="shared" si="28"/>
        <v>0</v>
      </c>
      <c r="R240" s="164"/>
      <c r="S240" s="197">
        <f t="shared" si="23"/>
        <v>0</v>
      </c>
      <c r="T240" s="201" t="str" cm="1">
        <f t="array" ref="T240">IFERROR(IF(F240="甲",IF(K240&gt;3500000,VLOOKUP(3500000,源泉DB!$B$261:$L$261,L240+3)+ROUNDDOWN((K240-3500000)*45.945%,0),IF(AND(K240&gt;2250000,K240&lt;3500000),VLOOKUP(2250000,源泉DB!$B$260:$K$260,L240+3)+ROUNDDOWN((K240-2250000)*40.84%,0),IF(AND(K240&gt;2210000,K240&lt;2250000),VLOOKUP(2210000,源泉DB!$B$259:$K$259,L240+3)+ROUNDDOWN((K240-2210000)*40.84%,0),IF(AND(K240&gt;2170000,K240&lt;2210000),VLOOKUP(2170000,源泉DB!$B$258:$K$258,L240+3)+ROUNDDOWN((K240-2170000)*40.84%,0),IF(AND(K240&gt;1700000,K240&lt;2170000),VLOOKUP(1700000,源泉DB!$B$257:$K$257,L240+3)+ROUNDDOWN((K240-1700000)*40.84%,0),IF(AND(K240&gt;950000,K240&lt;1700000),VLOOKUP(950000,源泉DB!$B$256:$K$256,L240+3)+ROUNDDOWN((K240-950000)*33.693%,0),IF(AND(K240&gt;780000,K240&lt;950000),VLOOKUP(780000,源泉DB!$B$255:$K$255,L240+3)+ROUNDDOWN((K240-780000)*23.483%,0),IF(AND(K240&gt;740000,K240&lt;780000),VLOOKUP(740000,源泉DB!$B$254:$K$254,L240+3)+ROUNDDOWN((K240-740000)*20.42%,0),VLOOKUP(K240,源泉DB!$B$8:$K$299,L240+3))))))))),IF(F240="乙",IF(K240&gt;1700000,651900+(K240-1700000) *45.945%,IF(K240=1700000,651900,IF(AND(K240&gt;740000,K240&lt;1700000),259800+(K240-740000)*40.84%,IF(K240=740000,259800,IF(K240&lt;88000,ROUNDDOWN(K240*3.063%,9),VLOOKUP(K240,源泉DB!$B$8:$L$254,11)))))),"")),"")</f>
        <v/>
      </c>
      <c r="U240" s="165"/>
      <c r="V240" s="166"/>
      <c r="W240" s="166"/>
      <c r="X240" s="166"/>
      <c r="Y240" s="166"/>
      <c r="Z240" s="178">
        <f>ROUND(IFERROR(IF(($G240="加入"),VLOOKUP($I240,年金DB!$G$16:$P$65,6,TRUE),0),0)-0.1,0)</f>
        <v>0</v>
      </c>
      <c r="AA240" s="178">
        <f>ROUND(IFERROR(IF(AND($G240="加入",$D240&gt;=40,$D240&lt;=64),VLOOKUP($I240,年金DB!$G$16:$P$65,10,TRUE),0),0)-0.1,0)</f>
        <v>0</v>
      </c>
      <c r="AB240" s="178">
        <f>ROUND(IFERROR(IF(AND($G240="加入",$D240&lt;40),VLOOKUP($J240,年金DB!$G$16:$X$62,14,TRUE),IF(AND($G240="加入",$D240&gt;=40),VLOOKUP($J240,年金DB!$G$16:$X$62,14,TRUE),"0")),0)-0.1,0)</f>
        <v>0</v>
      </c>
      <c r="AC240" s="178">
        <f t="shared" si="27"/>
        <v>0</v>
      </c>
      <c r="AD240" s="21">
        <f t="shared" si="24"/>
        <v>0</v>
      </c>
      <c r="AE240" s="173">
        <f t="shared" si="25"/>
        <v>0</v>
      </c>
      <c r="AF240" s="14" t="str">
        <f t="shared" si="26"/>
        <v/>
      </c>
      <c r="AG240" s="14"/>
      <c r="AH240" s="14"/>
    </row>
    <row r="241" spans="1:34">
      <c r="A241" s="28"/>
      <c r="B241" s="180"/>
      <c r="C241" s="188"/>
      <c r="D241" s="161"/>
      <c r="E241" s="162"/>
      <c r="F241" s="162"/>
      <c r="G241" s="163"/>
      <c r="H241" s="285"/>
      <c r="I241" s="282"/>
      <c r="J241" s="16"/>
      <c r="K241" s="18">
        <f t="shared" si="22"/>
        <v>0</v>
      </c>
      <c r="L241" s="288">
        <v>0</v>
      </c>
      <c r="M241" s="291"/>
      <c r="N241" s="164"/>
      <c r="O241" s="164"/>
      <c r="P241" s="164"/>
      <c r="Q241" s="175">
        <f t="shared" si="28"/>
        <v>0</v>
      </c>
      <c r="R241" s="164"/>
      <c r="S241" s="197">
        <f t="shared" si="23"/>
        <v>0</v>
      </c>
      <c r="T241" s="201" t="str" cm="1">
        <f t="array" ref="T241">IFERROR(IF(F241="甲",IF(K241&gt;3500000,VLOOKUP(3500000,源泉DB!$B$261:$L$261,L241+3)+ROUNDDOWN((K241-3500000)*45.945%,0),IF(AND(K241&gt;2250000,K241&lt;3500000),VLOOKUP(2250000,源泉DB!$B$260:$K$260,L241+3)+ROUNDDOWN((K241-2250000)*40.84%,0),IF(AND(K241&gt;2210000,K241&lt;2250000),VLOOKUP(2210000,源泉DB!$B$259:$K$259,L241+3)+ROUNDDOWN((K241-2210000)*40.84%,0),IF(AND(K241&gt;2170000,K241&lt;2210000),VLOOKUP(2170000,源泉DB!$B$258:$K$258,L241+3)+ROUNDDOWN((K241-2170000)*40.84%,0),IF(AND(K241&gt;1700000,K241&lt;2170000),VLOOKUP(1700000,源泉DB!$B$257:$K$257,L241+3)+ROUNDDOWN((K241-1700000)*40.84%,0),IF(AND(K241&gt;950000,K241&lt;1700000),VLOOKUP(950000,源泉DB!$B$256:$K$256,L241+3)+ROUNDDOWN((K241-950000)*33.693%,0),IF(AND(K241&gt;780000,K241&lt;950000),VLOOKUP(780000,源泉DB!$B$255:$K$255,L241+3)+ROUNDDOWN((K241-780000)*23.483%,0),IF(AND(K241&gt;740000,K241&lt;780000),VLOOKUP(740000,源泉DB!$B$254:$K$254,L241+3)+ROUNDDOWN((K241-740000)*20.42%,0),VLOOKUP(K241,源泉DB!$B$8:$K$299,L241+3))))))))),IF(F241="乙",IF(K241&gt;1700000,651900+(K241-1700000) *45.945%,IF(K241=1700000,651900,IF(AND(K241&gt;740000,K241&lt;1700000),259800+(K241-740000)*40.84%,IF(K241=740000,259800,IF(K241&lt;88000,ROUNDDOWN(K241*3.063%,9),VLOOKUP(K241,源泉DB!$B$8:$L$254,11)))))),"")),"")</f>
        <v/>
      </c>
      <c r="U241" s="165"/>
      <c r="V241" s="166"/>
      <c r="W241" s="166"/>
      <c r="X241" s="166"/>
      <c r="Y241" s="166"/>
      <c r="Z241" s="178">
        <f>ROUND(IFERROR(IF(($G241="加入"),VLOOKUP($I241,年金DB!$G$16:$P$65,6,TRUE),0),0)-0.1,0)</f>
        <v>0</v>
      </c>
      <c r="AA241" s="178">
        <f>ROUND(IFERROR(IF(AND($G241="加入",$D241&gt;=40,$D241&lt;=64),VLOOKUP($I241,年金DB!$G$16:$P$65,10,TRUE),0),0)-0.1,0)</f>
        <v>0</v>
      </c>
      <c r="AB241" s="178">
        <f>ROUND(IFERROR(IF(AND($G241="加入",$D241&lt;40),VLOOKUP($J241,年金DB!$G$16:$X$62,14,TRUE),IF(AND($G241="加入",$D241&gt;=40),VLOOKUP($J241,年金DB!$G$16:$X$62,14,TRUE),"0")),0)-0.1,0)</f>
        <v>0</v>
      </c>
      <c r="AC241" s="178">
        <f t="shared" si="27"/>
        <v>0</v>
      </c>
      <c r="AD241" s="21">
        <f t="shared" si="24"/>
        <v>0</v>
      </c>
      <c r="AE241" s="173">
        <f t="shared" si="25"/>
        <v>0</v>
      </c>
      <c r="AF241" s="14" t="str">
        <f t="shared" si="26"/>
        <v/>
      </c>
      <c r="AG241" s="14"/>
      <c r="AH241" s="14"/>
    </row>
    <row r="242" spans="1:34">
      <c r="A242" s="28"/>
      <c r="B242" s="180"/>
      <c r="C242" s="188"/>
      <c r="D242" s="161"/>
      <c r="E242" s="162"/>
      <c r="F242" s="162"/>
      <c r="G242" s="163"/>
      <c r="H242" s="285"/>
      <c r="I242" s="282"/>
      <c r="J242" s="16"/>
      <c r="K242" s="18">
        <f t="shared" si="22"/>
        <v>0</v>
      </c>
      <c r="L242" s="288">
        <v>0</v>
      </c>
      <c r="M242" s="291"/>
      <c r="N242" s="164"/>
      <c r="O242" s="164"/>
      <c r="P242" s="164"/>
      <c r="Q242" s="175">
        <f t="shared" si="28"/>
        <v>0</v>
      </c>
      <c r="R242" s="164"/>
      <c r="S242" s="197">
        <f t="shared" si="23"/>
        <v>0</v>
      </c>
      <c r="T242" s="201" t="str" cm="1">
        <f t="array" ref="T242">IFERROR(IF(F242="甲",IF(K242&gt;3500000,VLOOKUP(3500000,源泉DB!$B$261:$L$261,L242+3)+ROUNDDOWN((K242-3500000)*45.945%,0),IF(AND(K242&gt;2250000,K242&lt;3500000),VLOOKUP(2250000,源泉DB!$B$260:$K$260,L242+3)+ROUNDDOWN((K242-2250000)*40.84%,0),IF(AND(K242&gt;2210000,K242&lt;2250000),VLOOKUP(2210000,源泉DB!$B$259:$K$259,L242+3)+ROUNDDOWN((K242-2210000)*40.84%,0),IF(AND(K242&gt;2170000,K242&lt;2210000),VLOOKUP(2170000,源泉DB!$B$258:$K$258,L242+3)+ROUNDDOWN((K242-2170000)*40.84%,0),IF(AND(K242&gt;1700000,K242&lt;2170000),VLOOKUP(1700000,源泉DB!$B$257:$K$257,L242+3)+ROUNDDOWN((K242-1700000)*40.84%,0),IF(AND(K242&gt;950000,K242&lt;1700000),VLOOKUP(950000,源泉DB!$B$256:$K$256,L242+3)+ROUNDDOWN((K242-950000)*33.693%,0),IF(AND(K242&gt;780000,K242&lt;950000),VLOOKUP(780000,源泉DB!$B$255:$K$255,L242+3)+ROUNDDOWN((K242-780000)*23.483%,0),IF(AND(K242&gt;740000,K242&lt;780000),VLOOKUP(740000,源泉DB!$B$254:$K$254,L242+3)+ROUNDDOWN((K242-740000)*20.42%,0),VLOOKUP(K242,源泉DB!$B$8:$K$299,L242+3))))))))),IF(F242="乙",IF(K242&gt;1700000,651900+(K242-1700000) *45.945%,IF(K242=1700000,651900,IF(AND(K242&gt;740000,K242&lt;1700000),259800+(K242-740000)*40.84%,IF(K242=740000,259800,IF(K242&lt;88000,ROUNDDOWN(K242*3.063%,9),VLOOKUP(K242,源泉DB!$B$8:$L$254,11)))))),"")),"")</f>
        <v/>
      </c>
      <c r="U242" s="165"/>
      <c r="V242" s="166"/>
      <c r="W242" s="166"/>
      <c r="X242" s="166"/>
      <c r="Y242" s="166"/>
      <c r="Z242" s="178">
        <f>ROUND(IFERROR(IF(($G242="加入"),VLOOKUP($I242,年金DB!$G$16:$P$65,6,TRUE),0),0)-0.1,0)</f>
        <v>0</v>
      </c>
      <c r="AA242" s="178">
        <f>ROUND(IFERROR(IF(AND($G242="加入",$D242&gt;=40,$D242&lt;=64),VLOOKUP($I242,年金DB!$G$16:$P$65,10,TRUE),0),0)-0.1,0)</f>
        <v>0</v>
      </c>
      <c r="AB242" s="178">
        <f>ROUND(IFERROR(IF(AND($G242="加入",$D242&lt;40),VLOOKUP($J242,年金DB!$G$16:$X$62,14,TRUE),IF(AND($G242="加入",$D242&gt;=40),VLOOKUP($J242,年金DB!$G$16:$X$62,14,TRUE),"0")),0)-0.1,0)</f>
        <v>0</v>
      </c>
      <c r="AC242" s="178">
        <f t="shared" si="27"/>
        <v>0</v>
      </c>
      <c r="AD242" s="21">
        <f t="shared" si="24"/>
        <v>0</v>
      </c>
      <c r="AE242" s="173">
        <f t="shared" si="25"/>
        <v>0</v>
      </c>
      <c r="AF242" s="14" t="str">
        <f t="shared" si="26"/>
        <v/>
      </c>
      <c r="AG242" s="14"/>
      <c r="AH242" s="14"/>
    </row>
    <row r="243" spans="1:34">
      <c r="A243" s="28"/>
      <c r="B243" s="180"/>
      <c r="C243" s="188"/>
      <c r="D243" s="161"/>
      <c r="E243" s="162"/>
      <c r="F243" s="162"/>
      <c r="G243" s="163"/>
      <c r="H243" s="285"/>
      <c r="I243" s="282"/>
      <c r="J243" s="16"/>
      <c r="K243" s="18">
        <f t="shared" si="22"/>
        <v>0</v>
      </c>
      <c r="L243" s="288">
        <v>0</v>
      </c>
      <c r="M243" s="291"/>
      <c r="N243" s="164"/>
      <c r="O243" s="164"/>
      <c r="P243" s="164"/>
      <c r="Q243" s="175">
        <f t="shared" si="28"/>
        <v>0</v>
      </c>
      <c r="R243" s="164"/>
      <c r="S243" s="197">
        <f t="shared" si="23"/>
        <v>0</v>
      </c>
      <c r="T243" s="201" t="str" cm="1">
        <f t="array" ref="T243">IFERROR(IF(F243="甲",IF(K243&gt;3500000,VLOOKUP(3500000,源泉DB!$B$261:$L$261,L243+3)+ROUNDDOWN((K243-3500000)*45.945%,0),IF(AND(K243&gt;2250000,K243&lt;3500000),VLOOKUP(2250000,源泉DB!$B$260:$K$260,L243+3)+ROUNDDOWN((K243-2250000)*40.84%,0),IF(AND(K243&gt;2210000,K243&lt;2250000),VLOOKUP(2210000,源泉DB!$B$259:$K$259,L243+3)+ROUNDDOWN((K243-2210000)*40.84%,0),IF(AND(K243&gt;2170000,K243&lt;2210000),VLOOKUP(2170000,源泉DB!$B$258:$K$258,L243+3)+ROUNDDOWN((K243-2170000)*40.84%,0),IF(AND(K243&gt;1700000,K243&lt;2170000),VLOOKUP(1700000,源泉DB!$B$257:$K$257,L243+3)+ROUNDDOWN((K243-1700000)*40.84%,0),IF(AND(K243&gt;950000,K243&lt;1700000),VLOOKUP(950000,源泉DB!$B$256:$K$256,L243+3)+ROUNDDOWN((K243-950000)*33.693%,0),IF(AND(K243&gt;780000,K243&lt;950000),VLOOKUP(780000,源泉DB!$B$255:$K$255,L243+3)+ROUNDDOWN((K243-780000)*23.483%,0),IF(AND(K243&gt;740000,K243&lt;780000),VLOOKUP(740000,源泉DB!$B$254:$K$254,L243+3)+ROUNDDOWN((K243-740000)*20.42%,0),VLOOKUP(K243,源泉DB!$B$8:$K$299,L243+3))))))))),IF(F243="乙",IF(K243&gt;1700000,651900+(K243-1700000) *45.945%,IF(K243=1700000,651900,IF(AND(K243&gt;740000,K243&lt;1700000),259800+(K243-740000)*40.84%,IF(K243=740000,259800,IF(K243&lt;88000,ROUNDDOWN(K243*3.063%,9),VLOOKUP(K243,源泉DB!$B$8:$L$254,11)))))),"")),"")</f>
        <v/>
      </c>
      <c r="U243" s="165"/>
      <c r="V243" s="166"/>
      <c r="W243" s="166"/>
      <c r="X243" s="166"/>
      <c r="Y243" s="166"/>
      <c r="Z243" s="178">
        <f>ROUND(IFERROR(IF(($G243="加入"),VLOOKUP($I243,年金DB!$G$16:$P$65,6,TRUE),0),0)-0.1,0)</f>
        <v>0</v>
      </c>
      <c r="AA243" s="178">
        <f>ROUND(IFERROR(IF(AND($G243="加入",$D243&gt;=40,$D243&lt;=64),VLOOKUP($I243,年金DB!$G$16:$P$65,10,TRUE),0),0)-0.1,0)</f>
        <v>0</v>
      </c>
      <c r="AB243" s="178">
        <f>ROUND(IFERROR(IF(AND($G243="加入",$D243&lt;40),VLOOKUP($J243,年金DB!$G$16:$X$62,14,TRUE),IF(AND($G243="加入",$D243&gt;=40),VLOOKUP($J243,年金DB!$G$16:$X$62,14,TRUE),"0")),0)-0.1,0)</f>
        <v>0</v>
      </c>
      <c r="AC243" s="178">
        <f t="shared" si="27"/>
        <v>0</v>
      </c>
      <c r="AD243" s="21">
        <f t="shared" si="24"/>
        <v>0</v>
      </c>
      <c r="AE243" s="173">
        <f t="shared" si="25"/>
        <v>0</v>
      </c>
      <c r="AF243" s="14" t="str">
        <f t="shared" si="26"/>
        <v/>
      </c>
      <c r="AG243" s="14"/>
      <c r="AH243" s="14"/>
    </row>
    <row r="244" spans="1:34">
      <c r="A244" s="28"/>
      <c r="B244" s="180"/>
      <c r="C244" s="188"/>
      <c r="D244" s="161"/>
      <c r="E244" s="162"/>
      <c r="F244" s="162"/>
      <c r="G244" s="163"/>
      <c r="H244" s="285"/>
      <c r="I244" s="282"/>
      <c r="J244" s="16"/>
      <c r="K244" s="18">
        <f t="shared" si="22"/>
        <v>0</v>
      </c>
      <c r="L244" s="288">
        <v>0</v>
      </c>
      <c r="M244" s="291"/>
      <c r="N244" s="164"/>
      <c r="O244" s="164"/>
      <c r="P244" s="164"/>
      <c r="Q244" s="175">
        <f t="shared" si="28"/>
        <v>0</v>
      </c>
      <c r="R244" s="164"/>
      <c r="S244" s="197">
        <f t="shared" si="23"/>
        <v>0</v>
      </c>
      <c r="T244" s="201" t="str" cm="1">
        <f t="array" ref="T244">IFERROR(IF(F244="甲",IF(K244&gt;3500000,VLOOKUP(3500000,源泉DB!$B$261:$L$261,L244+3)+ROUNDDOWN((K244-3500000)*45.945%,0),IF(AND(K244&gt;2250000,K244&lt;3500000),VLOOKUP(2250000,源泉DB!$B$260:$K$260,L244+3)+ROUNDDOWN((K244-2250000)*40.84%,0),IF(AND(K244&gt;2210000,K244&lt;2250000),VLOOKUP(2210000,源泉DB!$B$259:$K$259,L244+3)+ROUNDDOWN((K244-2210000)*40.84%,0),IF(AND(K244&gt;2170000,K244&lt;2210000),VLOOKUP(2170000,源泉DB!$B$258:$K$258,L244+3)+ROUNDDOWN((K244-2170000)*40.84%,0),IF(AND(K244&gt;1700000,K244&lt;2170000),VLOOKUP(1700000,源泉DB!$B$257:$K$257,L244+3)+ROUNDDOWN((K244-1700000)*40.84%,0),IF(AND(K244&gt;950000,K244&lt;1700000),VLOOKUP(950000,源泉DB!$B$256:$K$256,L244+3)+ROUNDDOWN((K244-950000)*33.693%,0),IF(AND(K244&gt;780000,K244&lt;950000),VLOOKUP(780000,源泉DB!$B$255:$K$255,L244+3)+ROUNDDOWN((K244-780000)*23.483%,0),IF(AND(K244&gt;740000,K244&lt;780000),VLOOKUP(740000,源泉DB!$B$254:$K$254,L244+3)+ROUNDDOWN((K244-740000)*20.42%,0),VLOOKUP(K244,源泉DB!$B$8:$K$299,L244+3))))))))),IF(F244="乙",IF(K244&gt;1700000,651900+(K244-1700000) *45.945%,IF(K244=1700000,651900,IF(AND(K244&gt;740000,K244&lt;1700000),259800+(K244-740000)*40.84%,IF(K244=740000,259800,IF(K244&lt;88000,ROUNDDOWN(K244*3.063%,9),VLOOKUP(K244,源泉DB!$B$8:$L$254,11)))))),"")),"")</f>
        <v/>
      </c>
      <c r="U244" s="165"/>
      <c r="V244" s="166"/>
      <c r="W244" s="166"/>
      <c r="X244" s="166"/>
      <c r="Y244" s="166"/>
      <c r="Z244" s="178">
        <f>ROUND(IFERROR(IF(($G244="加入"),VLOOKUP($I244,年金DB!$G$16:$P$65,6,TRUE),0),0)-0.1,0)</f>
        <v>0</v>
      </c>
      <c r="AA244" s="178">
        <f>ROUND(IFERROR(IF(AND($G244="加入",$D244&gt;=40,$D244&lt;=64),VLOOKUP($I244,年金DB!$G$16:$P$65,10,TRUE),0),0)-0.1,0)</f>
        <v>0</v>
      </c>
      <c r="AB244" s="178">
        <f>ROUND(IFERROR(IF(AND($G244="加入",$D244&lt;40),VLOOKUP($J244,年金DB!$G$16:$X$62,14,TRUE),IF(AND($G244="加入",$D244&gt;=40),VLOOKUP($J244,年金DB!$G$16:$X$62,14,TRUE),"0")),0)-0.1,0)</f>
        <v>0</v>
      </c>
      <c r="AC244" s="178">
        <f t="shared" si="27"/>
        <v>0</v>
      </c>
      <c r="AD244" s="21">
        <f t="shared" si="24"/>
        <v>0</v>
      </c>
      <c r="AE244" s="173">
        <f t="shared" si="25"/>
        <v>0</v>
      </c>
      <c r="AF244" s="14" t="str">
        <f t="shared" si="26"/>
        <v/>
      </c>
      <c r="AG244" s="14"/>
      <c r="AH244" s="14"/>
    </row>
    <row r="245" spans="1:34">
      <c r="A245" s="28"/>
      <c r="B245" s="180"/>
      <c r="C245" s="188"/>
      <c r="D245" s="161"/>
      <c r="E245" s="162"/>
      <c r="F245" s="162"/>
      <c r="G245" s="163"/>
      <c r="H245" s="285"/>
      <c r="I245" s="282"/>
      <c r="J245" s="16"/>
      <c r="K245" s="18">
        <f t="shared" si="22"/>
        <v>0</v>
      </c>
      <c r="L245" s="288">
        <v>0</v>
      </c>
      <c r="M245" s="291"/>
      <c r="N245" s="164"/>
      <c r="O245" s="164"/>
      <c r="P245" s="164"/>
      <c r="Q245" s="175">
        <f t="shared" si="28"/>
        <v>0</v>
      </c>
      <c r="R245" s="164"/>
      <c r="S245" s="197">
        <f t="shared" si="23"/>
        <v>0</v>
      </c>
      <c r="T245" s="201" t="str" cm="1">
        <f t="array" ref="T245">IFERROR(IF(F245="甲",IF(K245&gt;3500000,VLOOKUP(3500000,源泉DB!$B$261:$L$261,L245+3)+ROUNDDOWN((K245-3500000)*45.945%,0),IF(AND(K245&gt;2250000,K245&lt;3500000),VLOOKUP(2250000,源泉DB!$B$260:$K$260,L245+3)+ROUNDDOWN((K245-2250000)*40.84%,0),IF(AND(K245&gt;2210000,K245&lt;2250000),VLOOKUP(2210000,源泉DB!$B$259:$K$259,L245+3)+ROUNDDOWN((K245-2210000)*40.84%,0),IF(AND(K245&gt;2170000,K245&lt;2210000),VLOOKUP(2170000,源泉DB!$B$258:$K$258,L245+3)+ROUNDDOWN((K245-2170000)*40.84%,0),IF(AND(K245&gt;1700000,K245&lt;2170000),VLOOKUP(1700000,源泉DB!$B$257:$K$257,L245+3)+ROUNDDOWN((K245-1700000)*40.84%,0),IF(AND(K245&gt;950000,K245&lt;1700000),VLOOKUP(950000,源泉DB!$B$256:$K$256,L245+3)+ROUNDDOWN((K245-950000)*33.693%,0),IF(AND(K245&gt;780000,K245&lt;950000),VLOOKUP(780000,源泉DB!$B$255:$K$255,L245+3)+ROUNDDOWN((K245-780000)*23.483%,0),IF(AND(K245&gt;740000,K245&lt;780000),VLOOKUP(740000,源泉DB!$B$254:$K$254,L245+3)+ROUNDDOWN((K245-740000)*20.42%,0),VLOOKUP(K245,源泉DB!$B$8:$K$299,L245+3))))))))),IF(F245="乙",IF(K245&gt;1700000,651900+(K245-1700000) *45.945%,IF(K245=1700000,651900,IF(AND(K245&gt;740000,K245&lt;1700000),259800+(K245-740000)*40.84%,IF(K245=740000,259800,IF(K245&lt;88000,ROUNDDOWN(K245*3.063%,9),VLOOKUP(K245,源泉DB!$B$8:$L$254,11)))))),"")),"")</f>
        <v/>
      </c>
      <c r="U245" s="165"/>
      <c r="V245" s="166"/>
      <c r="W245" s="166"/>
      <c r="X245" s="166"/>
      <c r="Y245" s="166"/>
      <c r="Z245" s="178">
        <f>ROUND(IFERROR(IF(($G245="加入"),VLOOKUP($I245,年金DB!$G$16:$P$65,6,TRUE),0),0)-0.1,0)</f>
        <v>0</v>
      </c>
      <c r="AA245" s="178">
        <f>ROUND(IFERROR(IF(AND($G245="加入",$D245&gt;=40,$D245&lt;=64),VLOOKUP($I245,年金DB!$G$16:$P$65,10,TRUE),0),0)-0.1,0)</f>
        <v>0</v>
      </c>
      <c r="AB245" s="178">
        <f>ROUND(IFERROR(IF(AND($G245="加入",$D245&lt;40),VLOOKUP($J245,年金DB!$G$16:$X$62,14,TRUE),IF(AND($G245="加入",$D245&gt;=40),VLOOKUP($J245,年金DB!$G$16:$X$62,14,TRUE),"0")),0)-0.1,0)</f>
        <v>0</v>
      </c>
      <c r="AC245" s="178">
        <f t="shared" si="27"/>
        <v>0</v>
      </c>
      <c r="AD245" s="21">
        <f t="shared" si="24"/>
        <v>0</v>
      </c>
      <c r="AE245" s="173">
        <f t="shared" si="25"/>
        <v>0</v>
      </c>
      <c r="AF245" s="14" t="str">
        <f t="shared" si="26"/>
        <v/>
      </c>
      <c r="AG245" s="14"/>
      <c r="AH245" s="14"/>
    </row>
    <row r="246" spans="1:34">
      <c r="A246" s="28"/>
      <c r="B246" s="180"/>
      <c r="C246" s="188"/>
      <c r="D246" s="161"/>
      <c r="E246" s="162"/>
      <c r="F246" s="162"/>
      <c r="G246" s="163"/>
      <c r="H246" s="285"/>
      <c r="I246" s="282"/>
      <c r="J246" s="16"/>
      <c r="K246" s="18">
        <f t="shared" si="22"/>
        <v>0</v>
      </c>
      <c r="L246" s="288">
        <v>0</v>
      </c>
      <c r="M246" s="291"/>
      <c r="N246" s="164"/>
      <c r="O246" s="164"/>
      <c r="P246" s="164"/>
      <c r="Q246" s="175">
        <f t="shared" si="28"/>
        <v>0</v>
      </c>
      <c r="R246" s="164"/>
      <c r="S246" s="197">
        <f t="shared" si="23"/>
        <v>0</v>
      </c>
      <c r="T246" s="201" t="str" cm="1">
        <f t="array" ref="T246">IFERROR(IF(F246="甲",IF(K246&gt;3500000,VLOOKUP(3500000,源泉DB!$B$261:$L$261,L246+3)+ROUNDDOWN((K246-3500000)*45.945%,0),IF(AND(K246&gt;2250000,K246&lt;3500000),VLOOKUP(2250000,源泉DB!$B$260:$K$260,L246+3)+ROUNDDOWN((K246-2250000)*40.84%,0),IF(AND(K246&gt;2210000,K246&lt;2250000),VLOOKUP(2210000,源泉DB!$B$259:$K$259,L246+3)+ROUNDDOWN((K246-2210000)*40.84%,0),IF(AND(K246&gt;2170000,K246&lt;2210000),VLOOKUP(2170000,源泉DB!$B$258:$K$258,L246+3)+ROUNDDOWN((K246-2170000)*40.84%,0),IF(AND(K246&gt;1700000,K246&lt;2170000),VLOOKUP(1700000,源泉DB!$B$257:$K$257,L246+3)+ROUNDDOWN((K246-1700000)*40.84%,0),IF(AND(K246&gt;950000,K246&lt;1700000),VLOOKUP(950000,源泉DB!$B$256:$K$256,L246+3)+ROUNDDOWN((K246-950000)*33.693%,0),IF(AND(K246&gt;780000,K246&lt;950000),VLOOKUP(780000,源泉DB!$B$255:$K$255,L246+3)+ROUNDDOWN((K246-780000)*23.483%,0),IF(AND(K246&gt;740000,K246&lt;780000),VLOOKUP(740000,源泉DB!$B$254:$K$254,L246+3)+ROUNDDOWN((K246-740000)*20.42%,0),VLOOKUP(K246,源泉DB!$B$8:$K$299,L246+3))))))))),IF(F246="乙",IF(K246&gt;1700000,651900+(K246-1700000) *45.945%,IF(K246=1700000,651900,IF(AND(K246&gt;740000,K246&lt;1700000),259800+(K246-740000)*40.84%,IF(K246=740000,259800,IF(K246&lt;88000,ROUNDDOWN(K246*3.063%,9),VLOOKUP(K246,源泉DB!$B$8:$L$254,11)))))),"")),"")</f>
        <v/>
      </c>
      <c r="U246" s="165"/>
      <c r="V246" s="166"/>
      <c r="W246" s="166"/>
      <c r="X246" s="166"/>
      <c r="Y246" s="166"/>
      <c r="Z246" s="178">
        <f>ROUND(IFERROR(IF(($G246="加入"),VLOOKUP($I246,年金DB!$G$16:$P$65,6,TRUE),0),0)-0.1,0)</f>
        <v>0</v>
      </c>
      <c r="AA246" s="178">
        <f>ROUND(IFERROR(IF(AND($G246="加入",$D246&gt;=40,$D246&lt;=64),VLOOKUP($I246,年金DB!$G$16:$P$65,10,TRUE),0),0)-0.1,0)</f>
        <v>0</v>
      </c>
      <c r="AB246" s="178">
        <f>ROUND(IFERROR(IF(AND($G246="加入",$D246&lt;40),VLOOKUP($J246,年金DB!$G$16:$X$62,14,TRUE),IF(AND($G246="加入",$D246&gt;=40),VLOOKUP($J246,年金DB!$G$16:$X$62,14,TRUE),"0")),0)-0.1,0)</f>
        <v>0</v>
      </c>
      <c r="AC246" s="178">
        <f t="shared" si="27"/>
        <v>0</v>
      </c>
      <c r="AD246" s="21">
        <f t="shared" si="24"/>
        <v>0</v>
      </c>
      <c r="AE246" s="173">
        <f t="shared" si="25"/>
        <v>0</v>
      </c>
      <c r="AF246" s="14" t="str">
        <f t="shared" si="26"/>
        <v/>
      </c>
      <c r="AG246" s="14"/>
      <c r="AH246" s="14"/>
    </row>
    <row r="247" spans="1:34">
      <c r="A247" s="28"/>
      <c r="B247" s="180"/>
      <c r="C247" s="188"/>
      <c r="D247" s="161"/>
      <c r="E247" s="162"/>
      <c r="F247" s="162"/>
      <c r="G247" s="163"/>
      <c r="H247" s="285"/>
      <c r="I247" s="282"/>
      <c r="J247" s="16"/>
      <c r="K247" s="18">
        <f t="shared" si="22"/>
        <v>0</v>
      </c>
      <c r="L247" s="288">
        <v>0</v>
      </c>
      <c r="M247" s="291"/>
      <c r="N247" s="164"/>
      <c r="O247" s="164"/>
      <c r="P247" s="164"/>
      <c r="Q247" s="175">
        <f t="shared" si="28"/>
        <v>0</v>
      </c>
      <c r="R247" s="164"/>
      <c r="S247" s="197">
        <f t="shared" si="23"/>
        <v>0</v>
      </c>
      <c r="T247" s="201" t="str" cm="1">
        <f t="array" ref="T247">IFERROR(IF(F247="甲",IF(K247&gt;3500000,VLOOKUP(3500000,源泉DB!$B$261:$L$261,L247+3)+ROUNDDOWN((K247-3500000)*45.945%,0),IF(AND(K247&gt;2250000,K247&lt;3500000),VLOOKUP(2250000,源泉DB!$B$260:$K$260,L247+3)+ROUNDDOWN((K247-2250000)*40.84%,0),IF(AND(K247&gt;2210000,K247&lt;2250000),VLOOKUP(2210000,源泉DB!$B$259:$K$259,L247+3)+ROUNDDOWN((K247-2210000)*40.84%,0),IF(AND(K247&gt;2170000,K247&lt;2210000),VLOOKUP(2170000,源泉DB!$B$258:$K$258,L247+3)+ROUNDDOWN((K247-2170000)*40.84%,0),IF(AND(K247&gt;1700000,K247&lt;2170000),VLOOKUP(1700000,源泉DB!$B$257:$K$257,L247+3)+ROUNDDOWN((K247-1700000)*40.84%,0),IF(AND(K247&gt;950000,K247&lt;1700000),VLOOKUP(950000,源泉DB!$B$256:$K$256,L247+3)+ROUNDDOWN((K247-950000)*33.693%,0),IF(AND(K247&gt;780000,K247&lt;950000),VLOOKUP(780000,源泉DB!$B$255:$K$255,L247+3)+ROUNDDOWN((K247-780000)*23.483%,0),IF(AND(K247&gt;740000,K247&lt;780000),VLOOKUP(740000,源泉DB!$B$254:$K$254,L247+3)+ROUNDDOWN((K247-740000)*20.42%,0),VLOOKUP(K247,源泉DB!$B$8:$K$299,L247+3))))))))),IF(F247="乙",IF(K247&gt;1700000,651900+(K247-1700000) *45.945%,IF(K247=1700000,651900,IF(AND(K247&gt;740000,K247&lt;1700000),259800+(K247-740000)*40.84%,IF(K247=740000,259800,IF(K247&lt;88000,ROUNDDOWN(K247*3.063%,9),VLOOKUP(K247,源泉DB!$B$8:$L$254,11)))))),"")),"")</f>
        <v/>
      </c>
      <c r="U247" s="165"/>
      <c r="V247" s="166"/>
      <c r="W247" s="166"/>
      <c r="X247" s="166"/>
      <c r="Y247" s="166"/>
      <c r="Z247" s="178">
        <f>ROUND(IFERROR(IF(($G247="加入"),VLOOKUP($I247,年金DB!$G$16:$P$65,6,TRUE),0),0)-0.1,0)</f>
        <v>0</v>
      </c>
      <c r="AA247" s="178">
        <f>ROUND(IFERROR(IF(AND($G247="加入",$D247&gt;=40,$D247&lt;=64),VLOOKUP($I247,年金DB!$G$16:$P$65,10,TRUE),0),0)-0.1,0)</f>
        <v>0</v>
      </c>
      <c r="AB247" s="178">
        <f>ROUND(IFERROR(IF(AND($G247="加入",$D247&lt;40),VLOOKUP($J247,年金DB!$G$16:$X$62,14,TRUE),IF(AND($G247="加入",$D247&gt;=40),VLOOKUP($J247,年金DB!$G$16:$X$62,14,TRUE),"0")),0)-0.1,0)</f>
        <v>0</v>
      </c>
      <c r="AC247" s="178">
        <f t="shared" si="27"/>
        <v>0</v>
      </c>
      <c r="AD247" s="21">
        <f t="shared" si="24"/>
        <v>0</v>
      </c>
      <c r="AE247" s="173">
        <f t="shared" si="25"/>
        <v>0</v>
      </c>
      <c r="AF247" s="14" t="str">
        <f t="shared" si="26"/>
        <v/>
      </c>
      <c r="AG247" s="14"/>
      <c r="AH247" s="14"/>
    </row>
    <row r="248" spans="1:34">
      <c r="A248" s="28"/>
      <c r="B248" s="180"/>
      <c r="C248" s="188"/>
      <c r="D248" s="161"/>
      <c r="E248" s="162"/>
      <c r="F248" s="162"/>
      <c r="G248" s="163"/>
      <c r="H248" s="285"/>
      <c r="I248" s="282"/>
      <c r="J248" s="16"/>
      <c r="K248" s="18">
        <f t="shared" si="22"/>
        <v>0</v>
      </c>
      <c r="L248" s="288">
        <v>0</v>
      </c>
      <c r="M248" s="291"/>
      <c r="N248" s="164"/>
      <c r="O248" s="164"/>
      <c r="P248" s="164"/>
      <c r="Q248" s="175">
        <f t="shared" si="28"/>
        <v>0</v>
      </c>
      <c r="R248" s="164"/>
      <c r="S248" s="197">
        <f t="shared" si="23"/>
        <v>0</v>
      </c>
      <c r="T248" s="201" t="str" cm="1">
        <f t="array" ref="T248">IFERROR(IF(F248="甲",IF(K248&gt;3500000,VLOOKUP(3500000,源泉DB!$B$261:$L$261,L248+3)+ROUNDDOWN((K248-3500000)*45.945%,0),IF(AND(K248&gt;2250000,K248&lt;3500000),VLOOKUP(2250000,源泉DB!$B$260:$K$260,L248+3)+ROUNDDOWN((K248-2250000)*40.84%,0),IF(AND(K248&gt;2210000,K248&lt;2250000),VLOOKUP(2210000,源泉DB!$B$259:$K$259,L248+3)+ROUNDDOWN((K248-2210000)*40.84%,0),IF(AND(K248&gt;2170000,K248&lt;2210000),VLOOKUP(2170000,源泉DB!$B$258:$K$258,L248+3)+ROUNDDOWN((K248-2170000)*40.84%,0),IF(AND(K248&gt;1700000,K248&lt;2170000),VLOOKUP(1700000,源泉DB!$B$257:$K$257,L248+3)+ROUNDDOWN((K248-1700000)*40.84%,0),IF(AND(K248&gt;950000,K248&lt;1700000),VLOOKUP(950000,源泉DB!$B$256:$K$256,L248+3)+ROUNDDOWN((K248-950000)*33.693%,0),IF(AND(K248&gt;780000,K248&lt;950000),VLOOKUP(780000,源泉DB!$B$255:$K$255,L248+3)+ROUNDDOWN((K248-780000)*23.483%,0),IF(AND(K248&gt;740000,K248&lt;780000),VLOOKUP(740000,源泉DB!$B$254:$K$254,L248+3)+ROUNDDOWN((K248-740000)*20.42%,0),VLOOKUP(K248,源泉DB!$B$8:$K$299,L248+3))))))))),IF(F248="乙",IF(K248&gt;1700000,651900+(K248-1700000) *45.945%,IF(K248=1700000,651900,IF(AND(K248&gt;740000,K248&lt;1700000),259800+(K248-740000)*40.84%,IF(K248=740000,259800,IF(K248&lt;88000,ROUNDDOWN(K248*3.063%,9),VLOOKUP(K248,源泉DB!$B$8:$L$254,11)))))),"")),"")</f>
        <v/>
      </c>
      <c r="U248" s="165"/>
      <c r="V248" s="166"/>
      <c r="W248" s="166"/>
      <c r="X248" s="166"/>
      <c r="Y248" s="166"/>
      <c r="Z248" s="178">
        <f>ROUND(IFERROR(IF(($G248="加入"),VLOOKUP($I248,年金DB!$G$16:$P$65,6,TRUE),0),0)-0.1,0)</f>
        <v>0</v>
      </c>
      <c r="AA248" s="178">
        <f>ROUND(IFERROR(IF(AND($G248="加入",$D248&gt;=40,$D248&lt;=64),VLOOKUP($I248,年金DB!$G$16:$P$65,10,TRUE),0),0)-0.1,0)</f>
        <v>0</v>
      </c>
      <c r="AB248" s="178">
        <f>ROUND(IFERROR(IF(AND($G248="加入",$D248&lt;40),VLOOKUP($J248,年金DB!$G$16:$X$62,14,TRUE),IF(AND($G248="加入",$D248&gt;=40),VLOOKUP($J248,年金DB!$G$16:$X$62,14,TRUE),"0")),0)-0.1,0)</f>
        <v>0</v>
      </c>
      <c r="AC248" s="178">
        <f t="shared" si="27"/>
        <v>0</v>
      </c>
      <c r="AD248" s="21">
        <f t="shared" si="24"/>
        <v>0</v>
      </c>
      <c r="AE248" s="173">
        <f t="shared" si="25"/>
        <v>0</v>
      </c>
      <c r="AF248" s="14" t="str">
        <f t="shared" si="26"/>
        <v/>
      </c>
      <c r="AG248" s="14"/>
      <c r="AH248" s="14"/>
    </row>
    <row r="249" spans="1:34">
      <c r="A249" s="28"/>
      <c r="B249" s="180"/>
      <c r="C249" s="188"/>
      <c r="D249" s="161"/>
      <c r="E249" s="162"/>
      <c r="F249" s="162"/>
      <c r="G249" s="163"/>
      <c r="H249" s="285"/>
      <c r="I249" s="282"/>
      <c r="J249" s="16"/>
      <c r="K249" s="18">
        <f t="shared" si="22"/>
        <v>0</v>
      </c>
      <c r="L249" s="288">
        <v>0</v>
      </c>
      <c r="M249" s="291"/>
      <c r="N249" s="164"/>
      <c r="O249" s="164"/>
      <c r="P249" s="164"/>
      <c r="Q249" s="175">
        <f t="shared" si="28"/>
        <v>0</v>
      </c>
      <c r="R249" s="164"/>
      <c r="S249" s="197">
        <f t="shared" si="23"/>
        <v>0</v>
      </c>
      <c r="T249" s="201" t="str" cm="1">
        <f t="array" ref="T249">IFERROR(IF(F249="甲",IF(K249&gt;3500000,VLOOKUP(3500000,源泉DB!$B$261:$L$261,L249+3)+ROUNDDOWN((K249-3500000)*45.945%,0),IF(AND(K249&gt;2250000,K249&lt;3500000),VLOOKUP(2250000,源泉DB!$B$260:$K$260,L249+3)+ROUNDDOWN((K249-2250000)*40.84%,0),IF(AND(K249&gt;2210000,K249&lt;2250000),VLOOKUP(2210000,源泉DB!$B$259:$K$259,L249+3)+ROUNDDOWN((K249-2210000)*40.84%,0),IF(AND(K249&gt;2170000,K249&lt;2210000),VLOOKUP(2170000,源泉DB!$B$258:$K$258,L249+3)+ROUNDDOWN((K249-2170000)*40.84%,0),IF(AND(K249&gt;1700000,K249&lt;2170000),VLOOKUP(1700000,源泉DB!$B$257:$K$257,L249+3)+ROUNDDOWN((K249-1700000)*40.84%,0),IF(AND(K249&gt;950000,K249&lt;1700000),VLOOKUP(950000,源泉DB!$B$256:$K$256,L249+3)+ROUNDDOWN((K249-950000)*33.693%,0),IF(AND(K249&gt;780000,K249&lt;950000),VLOOKUP(780000,源泉DB!$B$255:$K$255,L249+3)+ROUNDDOWN((K249-780000)*23.483%,0),IF(AND(K249&gt;740000,K249&lt;780000),VLOOKUP(740000,源泉DB!$B$254:$K$254,L249+3)+ROUNDDOWN((K249-740000)*20.42%,0),VLOOKUP(K249,源泉DB!$B$8:$K$299,L249+3))))))))),IF(F249="乙",IF(K249&gt;1700000,651900+(K249-1700000) *45.945%,IF(K249=1700000,651900,IF(AND(K249&gt;740000,K249&lt;1700000),259800+(K249-740000)*40.84%,IF(K249=740000,259800,IF(K249&lt;88000,ROUNDDOWN(K249*3.063%,9),VLOOKUP(K249,源泉DB!$B$8:$L$254,11)))))),"")),"")</f>
        <v/>
      </c>
      <c r="U249" s="165"/>
      <c r="V249" s="166"/>
      <c r="W249" s="166"/>
      <c r="X249" s="166"/>
      <c r="Y249" s="166"/>
      <c r="Z249" s="178">
        <f>ROUND(IFERROR(IF(($G249="加入"),VLOOKUP($I249,年金DB!$G$16:$P$65,6,TRUE),0),0)-0.1,0)</f>
        <v>0</v>
      </c>
      <c r="AA249" s="178">
        <f>ROUND(IFERROR(IF(AND($G249="加入",$D249&gt;=40,$D249&lt;=64),VLOOKUP($I249,年金DB!$G$16:$P$65,10,TRUE),0),0)-0.1,0)</f>
        <v>0</v>
      </c>
      <c r="AB249" s="178">
        <f>ROUND(IFERROR(IF(AND($G249="加入",$D249&lt;40),VLOOKUP($J249,年金DB!$G$16:$X$62,14,TRUE),IF(AND($G249="加入",$D249&gt;=40),VLOOKUP($J249,年金DB!$G$16:$X$62,14,TRUE),"0")),0)-0.1,0)</f>
        <v>0</v>
      </c>
      <c r="AC249" s="178">
        <f t="shared" si="27"/>
        <v>0</v>
      </c>
      <c r="AD249" s="21">
        <f t="shared" si="24"/>
        <v>0</v>
      </c>
      <c r="AE249" s="173">
        <f t="shared" si="25"/>
        <v>0</v>
      </c>
      <c r="AF249" s="14" t="str">
        <f t="shared" si="26"/>
        <v/>
      </c>
      <c r="AG249" s="14"/>
      <c r="AH249" s="14"/>
    </row>
    <row r="250" spans="1:34">
      <c r="A250" s="28"/>
      <c r="B250" s="180"/>
      <c r="C250" s="188"/>
      <c r="D250" s="161"/>
      <c r="E250" s="162"/>
      <c r="F250" s="162"/>
      <c r="G250" s="163"/>
      <c r="H250" s="285"/>
      <c r="I250" s="282"/>
      <c r="J250" s="16"/>
      <c r="K250" s="18">
        <f t="shared" si="22"/>
        <v>0</v>
      </c>
      <c r="L250" s="288">
        <v>0</v>
      </c>
      <c r="M250" s="291"/>
      <c r="N250" s="164"/>
      <c r="O250" s="164"/>
      <c r="P250" s="164"/>
      <c r="Q250" s="175">
        <f t="shared" si="28"/>
        <v>0</v>
      </c>
      <c r="R250" s="164"/>
      <c r="S250" s="197">
        <f t="shared" si="23"/>
        <v>0</v>
      </c>
      <c r="T250" s="201" t="str" cm="1">
        <f t="array" ref="T250">IFERROR(IF(F250="甲",IF(K250&gt;3500000,VLOOKUP(3500000,源泉DB!$B$261:$L$261,L250+3)+ROUNDDOWN((K250-3500000)*45.945%,0),IF(AND(K250&gt;2250000,K250&lt;3500000),VLOOKUP(2250000,源泉DB!$B$260:$K$260,L250+3)+ROUNDDOWN((K250-2250000)*40.84%,0),IF(AND(K250&gt;2210000,K250&lt;2250000),VLOOKUP(2210000,源泉DB!$B$259:$K$259,L250+3)+ROUNDDOWN((K250-2210000)*40.84%,0),IF(AND(K250&gt;2170000,K250&lt;2210000),VLOOKUP(2170000,源泉DB!$B$258:$K$258,L250+3)+ROUNDDOWN((K250-2170000)*40.84%,0),IF(AND(K250&gt;1700000,K250&lt;2170000),VLOOKUP(1700000,源泉DB!$B$257:$K$257,L250+3)+ROUNDDOWN((K250-1700000)*40.84%,0),IF(AND(K250&gt;950000,K250&lt;1700000),VLOOKUP(950000,源泉DB!$B$256:$K$256,L250+3)+ROUNDDOWN((K250-950000)*33.693%,0),IF(AND(K250&gt;780000,K250&lt;950000),VLOOKUP(780000,源泉DB!$B$255:$K$255,L250+3)+ROUNDDOWN((K250-780000)*23.483%,0),IF(AND(K250&gt;740000,K250&lt;780000),VLOOKUP(740000,源泉DB!$B$254:$K$254,L250+3)+ROUNDDOWN((K250-740000)*20.42%,0),VLOOKUP(K250,源泉DB!$B$8:$K$299,L250+3))))))))),IF(F250="乙",IF(K250&gt;1700000,651900+(K250-1700000) *45.945%,IF(K250=1700000,651900,IF(AND(K250&gt;740000,K250&lt;1700000),259800+(K250-740000)*40.84%,IF(K250=740000,259800,IF(K250&lt;88000,ROUNDDOWN(K250*3.063%,9),VLOOKUP(K250,源泉DB!$B$8:$L$254,11)))))),"")),"")</f>
        <v/>
      </c>
      <c r="U250" s="165"/>
      <c r="V250" s="166"/>
      <c r="W250" s="166"/>
      <c r="X250" s="166"/>
      <c r="Y250" s="166"/>
      <c r="Z250" s="178">
        <f>ROUND(IFERROR(IF(($G250="加入"),VLOOKUP($I250,年金DB!$G$16:$P$65,6,TRUE),0),0)-0.1,0)</f>
        <v>0</v>
      </c>
      <c r="AA250" s="178">
        <f>ROUND(IFERROR(IF(AND($G250="加入",$D250&gt;=40,$D250&lt;=64),VLOOKUP($I250,年金DB!$G$16:$P$65,10,TRUE),0),0)-0.1,0)</f>
        <v>0</v>
      </c>
      <c r="AB250" s="178">
        <f>ROUND(IFERROR(IF(AND($G250="加入",$D250&lt;40),VLOOKUP($J250,年金DB!$G$16:$X$62,14,TRUE),IF(AND($G250="加入",$D250&gt;=40),VLOOKUP($J250,年金DB!$G$16:$X$62,14,TRUE),"0")),0)-0.1,0)</f>
        <v>0</v>
      </c>
      <c r="AC250" s="178">
        <f t="shared" si="27"/>
        <v>0</v>
      </c>
      <c r="AD250" s="21">
        <f t="shared" si="24"/>
        <v>0</v>
      </c>
      <c r="AE250" s="173">
        <f t="shared" si="25"/>
        <v>0</v>
      </c>
      <c r="AF250" s="14" t="str">
        <f t="shared" si="26"/>
        <v/>
      </c>
      <c r="AG250" s="14"/>
      <c r="AH250" s="14"/>
    </row>
    <row r="251" spans="1:34">
      <c r="A251" s="28"/>
      <c r="B251" s="180"/>
      <c r="C251" s="188"/>
      <c r="D251" s="161"/>
      <c r="E251" s="162"/>
      <c r="F251" s="162"/>
      <c r="G251" s="163"/>
      <c r="H251" s="285"/>
      <c r="I251" s="282"/>
      <c r="J251" s="16"/>
      <c r="K251" s="18">
        <f t="shared" si="22"/>
        <v>0</v>
      </c>
      <c r="L251" s="288">
        <v>0</v>
      </c>
      <c r="M251" s="291"/>
      <c r="N251" s="164"/>
      <c r="O251" s="164"/>
      <c r="P251" s="164"/>
      <c r="Q251" s="175">
        <f t="shared" si="28"/>
        <v>0</v>
      </c>
      <c r="R251" s="164"/>
      <c r="S251" s="197">
        <f t="shared" si="23"/>
        <v>0</v>
      </c>
      <c r="T251" s="201" t="str" cm="1">
        <f t="array" ref="T251">IFERROR(IF(F251="甲",IF(K251&gt;3500000,VLOOKUP(3500000,源泉DB!$B$261:$L$261,L251+3)+ROUNDDOWN((K251-3500000)*45.945%,0),IF(AND(K251&gt;2250000,K251&lt;3500000),VLOOKUP(2250000,源泉DB!$B$260:$K$260,L251+3)+ROUNDDOWN((K251-2250000)*40.84%,0),IF(AND(K251&gt;2210000,K251&lt;2250000),VLOOKUP(2210000,源泉DB!$B$259:$K$259,L251+3)+ROUNDDOWN((K251-2210000)*40.84%,0),IF(AND(K251&gt;2170000,K251&lt;2210000),VLOOKUP(2170000,源泉DB!$B$258:$K$258,L251+3)+ROUNDDOWN((K251-2170000)*40.84%,0),IF(AND(K251&gt;1700000,K251&lt;2170000),VLOOKUP(1700000,源泉DB!$B$257:$K$257,L251+3)+ROUNDDOWN((K251-1700000)*40.84%,0),IF(AND(K251&gt;950000,K251&lt;1700000),VLOOKUP(950000,源泉DB!$B$256:$K$256,L251+3)+ROUNDDOWN((K251-950000)*33.693%,0),IF(AND(K251&gt;780000,K251&lt;950000),VLOOKUP(780000,源泉DB!$B$255:$K$255,L251+3)+ROUNDDOWN((K251-780000)*23.483%,0),IF(AND(K251&gt;740000,K251&lt;780000),VLOOKUP(740000,源泉DB!$B$254:$K$254,L251+3)+ROUNDDOWN((K251-740000)*20.42%,0),VLOOKUP(K251,源泉DB!$B$8:$K$299,L251+3))))))))),IF(F251="乙",IF(K251&gt;1700000,651900+(K251-1700000) *45.945%,IF(K251=1700000,651900,IF(AND(K251&gt;740000,K251&lt;1700000),259800+(K251-740000)*40.84%,IF(K251=740000,259800,IF(K251&lt;88000,ROUNDDOWN(K251*3.063%,9),VLOOKUP(K251,源泉DB!$B$8:$L$254,11)))))),"")),"")</f>
        <v/>
      </c>
      <c r="U251" s="165"/>
      <c r="V251" s="166"/>
      <c r="W251" s="166"/>
      <c r="X251" s="166"/>
      <c r="Y251" s="166"/>
      <c r="Z251" s="178">
        <f>ROUND(IFERROR(IF(($G251="加入"),VLOOKUP($I251,年金DB!$G$16:$P$65,6,TRUE),0),0)-0.1,0)</f>
        <v>0</v>
      </c>
      <c r="AA251" s="178">
        <f>ROUND(IFERROR(IF(AND($G251="加入",$D251&gt;=40,$D251&lt;=64),VLOOKUP($I251,年金DB!$G$16:$P$65,10,TRUE),0),0)-0.1,0)</f>
        <v>0</v>
      </c>
      <c r="AB251" s="178">
        <f>ROUND(IFERROR(IF(AND($G251="加入",$D251&lt;40),VLOOKUP($J251,年金DB!$G$16:$X$62,14,TRUE),IF(AND($G251="加入",$D251&gt;=40),VLOOKUP($J251,年金DB!$G$16:$X$62,14,TRUE),"0")),0)-0.1,0)</f>
        <v>0</v>
      </c>
      <c r="AC251" s="178">
        <f t="shared" si="27"/>
        <v>0</v>
      </c>
      <c r="AD251" s="21">
        <f t="shared" si="24"/>
        <v>0</v>
      </c>
      <c r="AE251" s="173">
        <f t="shared" si="25"/>
        <v>0</v>
      </c>
      <c r="AF251" s="14" t="str">
        <f t="shared" si="26"/>
        <v/>
      </c>
      <c r="AG251" s="14"/>
      <c r="AH251" s="14"/>
    </row>
    <row r="252" spans="1:34">
      <c r="A252" s="28"/>
      <c r="B252" s="180"/>
      <c r="C252" s="188"/>
      <c r="D252" s="161"/>
      <c r="E252" s="162"/>
      <c r="F252" s="162"/>
      <c r="G252" s="163"/>
      <c r="H252" s="285"/>
      <c r="I252" s="282"/>
      <c r="J252" s="16"/>
      <c r="K252" s="18">
        <f t="shared" si="22"/>
        <v>0</v>
      </c>
      <c r="L252" s="288">
        <v>0</v>
      </c>
      <c r="M252" s="291"/>
      <c r="N252" s="164"/>
      <c r="O252" s="164"/>
      <c r="P252" s="164"/>
      <c r="Q252" s="175">
        <f t="shared" si="28"/>
        <v>0</v>
      </c>
      <c r="R252" s="164"/>
      <c r="S252" s="197">
        <f t="shared" si="23"/>
        <v>0</v>
      </c>
      <c r="T252" s="201" t="str" cm="1">
        <f t="array" ref="T252">IFERROR(IF(F252="甲",IF(K252&gt;3500000,VLOOKUP(3500000,源泉DB!$B$261:$L$261,L252+3)+ROUNDDOWN((K252-3500000)*45.945%,0),IF(AND(K252&gt;2250000,K252&lt;3500000),VLOOKUP(2250000,源泉DB!$B$260:$K$260,L252+3)+ROUNDDOWN((K252-2250000)*40.84%,0),IF(AND(K252&gt;2210000,K252&lt;2250000),VLOOKUP(2210000,源泉DB!$B$259:$K$259,L252+3)+ROUNDDOWN((K252-2210000)*40.84%,0),IF(AND(K252&gt;2170000,K252&lt;2210000),VLOOKUP(2170000,源泉DB!$B$258:$K$258,L252+3)+ROUNDDOWN((K252-2170000)*40.84%,0),IF(AND(K252&gt;1700000,K252&lt;2170000),VLOOKUP(1700000,源泉DB!$B$257:$K$257,L252+3)+ROUNDDOWN((K252-1700000)*40.84%,0),IF(AND(K252&gt;950000,K252&lt;1700000),VLOOKUP(950000,源泉DB!$B$256:$K$256,L252+3)+ROUNDDOWN((K252-950000)*33.693%,0),IF(AND(K252&gt;780000,K252&lt;950000),VLOOKUP(780000,源泉DB!$B$255:$K$255,L252+3)+ROUNDDOWN((K252-780000)*23.483%,0),IF(AND(K252&gt;740000,K252&lt;780000),VLOOKUP(740000,源泉DB!$B$254:$K$254,L252+3)+ROUNDDOWN((K252-740000)*20.42%,0),VLOOKUP(K252,源泉DB!$B$8:$K$299,L252+3))))))))),IF(F252="乙",IF(K252&gt;1700000,651900+(K252-1700000) *45.945%,IF(K252=1700000,651900,IF(AND(K252&gt;740000,K252&lt;1700000),259800+(K252-740000)*40.84%,IF(K252=740000,259800,IF(K252&lt;88000,ROUNDDOWN(K252*3.063%,9),VLOOKUP(K252,源泉DB!$B$8:$L$254,11)))))),"")),"")</f>
        <v/>
      </c>
      <c r="U252" s="165"/>
      <c r="V252" s="166"/>
      <c r="W252" s="166"/>
      <c r="X252" s="166"/>
      <c r="Y252" s="166"/>
      <c r="Z252" s="178">
        <f>ROUND(IFERROR(IF(($G252="加入"),VLOOKUP($I252,年金DB!$G$16:$P$65,6,TRUE),0),0)-0.1,0)</f>
        <v>0</v>
      </c>
      <c r="AA252" s="178">
        <f>ROUND(IFERROR(IF(AND($G252="加入",$D252&gt;=40,$D252&lt;=64),VLOOKUP($I252,年金DB!$G$16:$P$65,10,TRUE),0),0)-0.1,0)</f>
        <v>0</v>
      </c>
      <c r="AB252" s="178">
        <f>ROUND(IFERROR(IF(AND($G252="加入",$D252&lt;40),VLOOKUP($J252,年金DB!$G$16:$X$62,14,TRUE),IF(AND($G252="加入",$D252&gt;=40),VLOOKUP($J252,年金DB!$G$16:$X$62,14,TRUE),"0")),0)-0.1,0)</f>
        <v>0</v>
      </c>
      <c r="AC252" s="178">
        <f t="shared" si="27"/>
        <v>0</v>
      </c>
      <c r="AD252" s="21">
        <f t="shared" si="24"/>
        <v>0</v>
      </c>
      <c r="AE252" s="173">
        <f t="shared" si="25"/>
        <v>0</v>
      </c>
      <c r="AF252" s="14" t="str">
        <f t="shared" si="26"/>
        <v/>
      </c>
      <c r="AG252" s="14"/>
      <c r="AH252" s="14"/>
    </row>
    <row r="253" spans="1:34">
      <c r="A253" s="28"/>
      <c r="B253" s="180"/>
      <c r="C253" s="188"/>
      <c r="D253" s="161"/>
      <c r="E253" s="162"/>
      <c r="F253" s="162"/>
      <c r="G253" s="163"/>
      <c r="H253" s="285"/>
      <c r="I253" s="282"/>
      <c r="J253" s="16"/>
      <c r="K253" s="18">
        <f t="shared" si="22"/>
        <v>0</v>
      </c>
      <c r="L253" s="288">
        <v>0</v>
      </c>
      <c r="M253" s="291"/>
      <c r="N253" s="164"/>
      <c r="O253" s="164"/>
      <c r="P253" s="164"/>
      <c r="Q253" s="175">
        <f t="shared" si="28"/>
        <v>0</v>
      </c>
      <c r="R253" s="164"/>
      <c r="S253" s="197">
        <f t="shared" si="23"/>
        <v>0</v>
      </c>
      <c r="T253" s="201" t="str" cm="1">
        <f t="array" ref="T253">IFERROR(IF(F253="甲",IF(K253&gt;3500000,VLOOKUP(3500000,源泉DB!$B$261:$L$261,L253+3)+ROUNDDOWN((K253-3500000)*45.945%,0),IF(AND(K253&gt;2250000,K253&lt;3500000),VLOOKUP(2250000,源泉DB!$B$260:$K$260,L253+3)+ROUNDDOWN((K253-2250000)*40.84%,0),IF(AND(K253&gt;2210000,K253&lt;2250000),VLOOKUP(2210000,源泉DB!$B$259:$K$259,L253+3)+ROUNDDOWN((K253-2210000)*40.84%,0),IF(AND(K253&gt;2170000,K253&lt;2210000),VLOOKUP(2170000,源泉DB!$B$258:$K$258,L253+3)+ROUNDDOWN((K253-2170000)*40.84%,0),IF(AND(K253&gt;1700000,K253&lt;2170000),VLOOKUP(1700000,源泉DB!$B$257:$K$257,L253+3)+ROUNDDOWN((K253-1700000)*40.84%,0),IF(AND(K253&gt;950000,K253&lt;1700000),VLOOKUP(950000,源泉DB!$B$256:$K$256,L253+3)+ROUNDDOWN((K253-950000)*33.693%,0),IF(AND(K253&gt;780000,K253&lt;950000),VLOOKUP(780000,源泉DB!$B$255:$K$255,L253+3)+ROUNDDOWN((K253-780000)*23.483%,0),IF(AND(K253&gt;740000,K253&lt;780000),VLOOKUP(740000,源泉DB!$B$254:$K$254,L253+3)+ROUNDDOWN((K253-740000)*20.42%,0),VLOOKUP(K253,源泉DB!$B$8:$K$299,L253+3))))))))),IF(F253="乙",IF(K253&gt;1700000,651900+(K253-1700000) *45.945%,IF(K253=1700000,651900,IF(AND(K253&gt;740000,K253&lt;1700000),259800+(K253-740000)*40.84%,IF(K253=740000,259800,IF(K253&lt;88000,ROUNDDOWN(K253*3.063%,9),VLOOKUP(K253,源泉DB!$B$8:$L$254,11)))))),"")),"")</f>
        <v/>
      </c>
      <c r="U253" s="165"/>
      <c r="V253" s="166"/>
      <c r="W253" s="166"/>
      <c r="X253" s="166"/>
      <c r="Y253" s="166"/>
      <c r="Z253" s="178">
        <f>ROUND(IFERROR(IF(($G253="加入"),VLOOKUP($I253,年金DB!$G$16:$P$65,6,TRUE),0),0)-0.1,0)</f>
        <v>0</v>
      </c>
      <c r="AA253" s="178">
        <f>ROUND(IFERROR(IF(AND($G253="加入",$D253&gt;=40,$D253&lt;=64),VLOOKUP($I253,年金DB!$G$16:$P$65,10,TRUE),0),0)-0.1,0)</f>
        <v>0</v>
      </c>
      <c r="AB253" s="178">
        <f>ROUND(IFERROR(IF(AND($G253="加入",$D253&lt;40),VLOOKUP($J253,年金DB!$G$16:$X$62,14,TRUE),IF(AND($G253="加入",$D253&gt;=40),VLOOKUP($J253,年金DB!$G$16:$X$62,14,TRUE),"0")),0)-0.1,0)</f>
        <v>0</v>
      </c>
      <c r="AC253" s="178">
        <f t="shared" si="27"/>
        <v>0</v>
      </c>
      <c r="AD253" s="21">
        <f t="shared" si="24"/>
        <v>0</v>
      </c>
      <c r="AE253" s="173">
        <f t="shared" si="25"/>
        <v>0</v>
      </c>
      <c r="AF253" s="14" t="str">
        <f t="shared" si="26"/>
        <v/>
      </c>
      <c r="AG253" s="14"/>
      <c r="AH253" s="14"/>
    </row>
    <row r="254" spans="1:34">
      <c r="A254" s="28"/>
      <c r="B254" s="180"/>
      <c r="C254" s="188"/>
      <c r="D254" s="161"/>
      <c r="E254" s="162"/>
      <c r="F254" s="162"/>
      <c r="G254" s="163"/>
      <c r="H254" s="285"/>
      <c r="I254" s="282"/>
      <c r="J254" s="16"/>
      <c r="K254" s="18">
        <f t="shared" si="22"/>
        <v>0</v>
      </c>
      <c r="L254" s="288">
        <v>0</v>
      </c>
      <c r="M254" s="291"/>
      <c r="N254" s="164"/>
      <c r="O254" s="164"/>
      <c r="P254" s="164"/>
      <c r="Q254" s="175">
        <f t="shared" si="28"/>
        <v>0</v>
      </c>
      <c r="R254" s="164"/>
      <c r="S254" s="197">
        <f t="shared" si="23"/>
        <v>0</v>
      </c>
      <c r="T254" s="201" t="str" cm="1">
        <f t="array" ref="T254">IFERROR(IF(F254="甲",IF(K254&gt;3500000,VLOOKUP(3500000,源泉DB!$B$261:$L$261,L254+3)+ROUNDDOWN((K254-3500000)*45.945%,0),IF(AND(K254&gt;2250000,K254&lt;3500000),VLOOKUP(2250000,源泉DB!$B$260:$K$260,L254+3)+ROUNDDOWN((K254-2250000)*40.84%,0),IF(AND(K254&gt;2210000,K254&lt;2250000),VLOOKUP(2210000,源泉DB!$B$259:$K$259,L254+3)+ROUNDDOWN((K254-2210000)*40.84%,0),IF(AND(K254&gt;2170000,K254&lt;2210000),VLOOKUP(2170000,源泉DB!$B$258:$K$258,L254+3)+ROUNDDOWN((K254-2170000)*40.84%,0),IF(AND(K254&gt;1700000,K254&lt;2170000),VLOOKUP(1700000,源泉DB!$B$257:$K$257,L254+3)+ROUNDDOWN((K254-1700000)*40.84%,0),IF(AND(K254&gt;950000,K254&lt;1700000),VLOOKUP(950000,源泉DB!$B$256:$K$256,L254+3)+ROUNDDOWN((K254-950000)*33.693%,0),IF(AND(K254&gt;780000,K254&lt;950000),VLOOKUP(780000,源泉DB!$B$255:$K$255,L254+3)+ROUNDDOWN((K254-780000)*23.483%,0),IF(AND(K254&gt;740000,K254&lt;780000),VLOOKUP(740000,源泉DB!$B$254:$K$254,L254+3)+ROUNDDOWN((K254-740000)*20.42%,0),VLOOKUP(K254,源泉DB!$B$8:$K$299,L254+3))))))))),IF(F254="乙",IF(K254&gt;1700000,651900+(K254-1700000) *45.945%,IF(K254=1700000,651900,IF(AND(K254&gt;740000,K254&lt;1700000),259800+(K254-740000)*40.84%,IF(K254=740000,259800,IF(K254&lt;88000,ROUNDDOWN(K254*3.063%,9),VLOOKUP(K254,源泉DB!$B$8:$L$254,11)))))),"")),"")</f>
        <v/>
      </c>
      <c r="U254" s="165"/>
      <c r="V254" s="166"/>
      <c r="W254" s="166"/>
      <c r="X254" s="166"/>
      <c r="Y254" s="166"/>
      <c r="Z254" s="178">
        <f>ROUND(IFERROR(IF(($G254="加入"),VLOOKUP($I254,年金DB!$G$16:$P$65,6,TRUE),0),0)-0.1,0)</f>
        <v>0</v>
      </c>
      <c r="AA254" s="178">
        <f>ROUND(IFERROR(IF(AND($G254="加入",$D254&gt;=40,$D254&lt;=64),VLOOKUP($I254,年金DB!$G$16:$P$65,10,TRUE),0),0)-0.1,0)</f>
        <v>0</v>
      </c>
      <c r="AB254" s="178">
        <f>ROUND(IFERROR(IF(AND($G254="加入",$D254&lt;40),VLOOKUP($J254,年金DB!$G$16:$X$62,14,TRUE),IF(AND($G254="加入",$D254&gt;=40),VLOOKUP($J254,年金DB!$G$16:$X$62,14,TRUE),"0")),0)-0.1,0)</f>
        <v>0</v>
      </c>
      <c r="AC254" s="178">
        <f t="shared" si="27"/>
        <v>0</v>
      </c>
      <c r="AD254" s="21">
        <f t="shared" si="24"/>
        <v>0</v>
      </c>
      <c r="AE254" s="173">
        <f t="shared" si="25"/>
        <v>0</v>
      </c>
      <c r="AF254" s="14" t="str">
        <f t="shared" si="26"/>
        <v/>
      </c>
      <c r="AG254" s="14"/>
      <c r="AH254" s="14"/>
    </row>
    <row r="255" spans="1:34">
      <c r="A255" s="28"/>
      <c r="B255" s="180"/>
      <c r="C255" s="188"/>
      <c r="D255" s="161"/>
      <c r="E255" s="162"/>
      <c r="F255" s="162"/>
      <c r="G255" s="163"/>
      <c r="H255" s="285"/>
      <c r="I255" s="282"/>
      <c r="J255" s="16"/>
      <c r="K255" s="18">
        <f t="shared" si="22"/>
        <v>0</v>
      </c>
      <c r="L255" s="288">
        <v>0</v>
      </c>
      <c r="M255" s="291"/>
      <c r="N255" s="164"/>
      <c r="O255" s="164"/>
      <c r="P255" s="164"/>
      <c r="Q255" s="175">
        <f t="shared" si="28"/>
        <v>0</v>
      </c>
      <c r="R255" s="164"/>
      <c r="S255" s="197">
        <f t="shared" si="23"/>
        <v>0</v>
      </c>
      <c r="T255" s="201" t="str" cm="1">
        <f t="array" ref="T255">IFERROR(IF(F255="甲",IF(K255&gt;3500000,VLOOKUP(3500000,源泉DB!$B$261:$L$261,L255+3)+ROUNDDOWN((K255-3500000)*45.945%,0),IF(AND(K255&gt;2250000,K255&lt;3500000),VLOOKUP(2250000,源泉DB!$B$260:$K$260,L255+3)+ROUNDDOWN((K255-2250000)*40.84%,0),IF(AND(K255&gt;2210000,K255&lt;2250000),VLOOKUP(2210000,源泉DB!$B$259:$K$259,L255+3)+ROUNDDOWN((K255-2210000)*40.84%,0),IF(AND(K255&gt;2170000,K255&lt;2210000),VLOOKUP(2170000,源泉DB!$B$258:$K$258,L255+3)+ROUNDDOWN((K255-2170000)*40.84%,0),IF(AND(K255&gt;1700000,K255&lt;2170000),VLOOKUP(1700000,源泉DB!$B$257:$K$257,L255+3)+ROUNDDOWN((K255-1700000)*40.84%,0),IF(AND(K255&gt;950000,K255&lt;1700000),VLOOKUP(950000,源泉DB!$B$256:$K$256,L255+3)+ROUNDDOWN((K255-950000)*33.693%,0),IF(AND(K255&gt;780000,K255&lt;950000),VLOOKUP(780000,源泉DB!$B$255:$K$255,L255+3)+ROUNDDOWN((K255-780000)*23.483%,0),IF(AND(K255&gt;740000,K255&lt;780000),VLOOKUP(740000,源泉DB!$B$254:$K$254,L255+3)+ROUNDDOWN((K255-740000)*20.42%,0),VLOOKUP(K255,源泉DB!$B$8:$K$299,L255+3))))))))),IF(F255="乙",IF(K255&gt;1700000,651900+(K255-1700000) *45.945%,IF(K255=1700000,651900,IF(AND(K255&gt;740000,K255&lt;1700000),259800+(K255-740000)*40.84%,IF(K255=740000,259800,IF(K255&lt;88000,ROUNDDOWN(K255*3.063%,9),VLOOKUP(K255,源泉DB!$B$8:$L$254,11)))))),"")),"")</f>
        <v/>
      </c>
      <c r="U255" s="165"/>
      <c r="V255" s="166"/>
      <c r="W255" s="166"/>
      <c r="X255" s="166"/>
      <c r="Y255" s="166"/>
      <c r="Z255" s="178">
        <f>ROUND(IFERROR(IF(($G255="加入"),VLOOKUP($I255,年金DB!$G$16:$P$65,6,TRUE),0),0)-0.1,0)</f>
        <v>0</v>
      </c>
      <c r="AA255" s="178">
        <f>ROUND(IFERROR(IF(AND($G255="加入",$D255&gt;=40,$D255&lt;=64),VLOOKUP($I255,年金DB!$G$16:$P$65,10,TRUE),0),0)-0.1,0)</f>
        <v>0</v>
      </c>
      <c r="AB255" s="178">
        <f>ROUND(IFERROR(IF(AND($G255="加入",$D255&lt;40),VLOOKUP($J255,年金DB!$G$16:$X$62,14,TRUE),IF(AND($G255="加入",$D255&gt;=40),VLOOKUP($J255,年金DB!$G$16:$X$62,14,TRUE),"0")),0)-0.1,0)</f>
        <v>0</v>
      </c>
      <c r="AC255" s="178">
        <f t="shared" si="27"/>
        <v>0</v>
      </c>
      <c r="AD255" s="21">
        <f t="shared" si="24"/>
        <v>0</v>
      </c>
      <c r="AE255" s="173">
        <f t="shared" si="25"/>
        <v>0</v>
      </c>
      <c r="AF255" s="14" t="str">
        <f t="shared" si="26"/>
        <v/>
      </c>
      <c r="AG255" s="14"/>
      <c r="AH255" s="14"/>
    </row>
    <row r="256" spans="1:34">
      <c r="A256" s="28"/>
      <c r="B256" s="180"/>
      <c r="C256" s="188"/>
      <c r="D256" s="161"/>
      <c r="E256" s="162"/>
      <c r="F256" s="162"/>
      <c r="G256" s="163"/>
      <c r="H256" s="285"/>
      <c r="I256" s="282"/>
      <c r="J256" s="16"/>
      <c r="K256" s="18">
        <f t="shared" si="22"/>
        <v>0</v>
      </c>
      <c r="L256" s="288">
        <v>0</v>
      </c>
      <c r="M256" s="291"/>
      <c r="N256" s="164"/>
      <c r="O256" s="164"/>
      <c r="P256" s="164"/>
      <c r="Q256" s="175">
        <f t="shared" si="28"/>
        <v>0</v>
      </c>
      <c r="R256" s="164"/>
      <c r="S256" s="197">
        <f t="shared" si="23"/>
        <v>0</v>
      </c>
      <c r="T256" s="201" t="str" cm="1">
        <f t="array" ref="T256">IFERROR(IF(F256="甲",IF(K256&gt;3500000,VLOOKUP(3500000,源泉DB!$B$261:$L$261,L256+3)+ROUNDDOWN((K256-3500000)*45.945%,0),IF(AND(K256&gt;2250000,K256&lt;3500000),VLOOKUP(2250000,源泉DB!$B$260:$K$260,L256+3)+ROUNDDOWN((K256-2250000)*40.84%,0),IF(AND(K256&gt;2210000,K256&lt;2250000),VLOOKUP(2210000,源泉DB!$B$259:$K$259,L256+3)+ROUNDDOWN((K256-2210000)*40.84%,0),IF(AND(K256&gt;2170000,K256&lt;2210000),VLOOKUP(2170000,源泉DB!$B$258:$K$258,L256+3)+ROUNDDOWN((K256-2170000)*40.84%,0),IF(AND(K256&gt;1700000,K256&lt;2170000),VLOOKUP(1700000,源泉DB!$B$257:$K$257,L256+3)+ROUNDDOWN((K256-1700000)*40.84%,0),IF(AND(K256&gt;950000,K256&lt;1700000),VLOOKUP(950000,源泉DB!$B$256:$K$256,L256+3)+ROUNDDOWN((K256-950000)*33.693%,0),IF(AND(K256&gt;780000,K256&lt;950000),VLOOKUP(780000,源泉DB!$B$255:$K$255,L256+3)+ROUNDDOWN((K256-780000)*23.483%,0),IF(AND(K256&gt;740000,K256&lt;780000),VLOOKUP(740000,源泉DB!$B$254:$K$254,L256+3)+ROUNDDOWN((K256-740000)*20.42%,0),VLOOKUP(K256,源泉DB!$B$8:$K$299,L256+3))))))))),IF(F256="乙",IF(K256&gt;1700000,651900+(K256-1700000) *45.945%,IF(K256=1700000,651900,IF(AND(K256&gt;740000,K256&lt;1700000),259800+(K256-740000)*40.84%,IF(K256=740000,259800,IF(K256&lt;88000,ROUNDDOWN(K256*3.063%,9),VLOOKUP(K256,源泉DB!$B$8:$L$254,11)))))),"")),"")</f>
        <v/>
      </c>
      <c r="U256" s="165"/>
      <c r="V256" s="166"/>
      <c r="W256" s="166"/>
      <c r="X256" s="166"/>
      <c r="Y256" s="166"/>
      <c r="Z256" s="178">
        <f>ROUND(IFERROR(IF(($G256="加入"),VLOOKUP($I256,年金DB!$G$16:$P$65,6,TRUE),0),0)-0.1,0)</f>
        <v>0</v>
      </c>
      <c r="AA256" s="178">
        <f>ROUND(IFERROR(IF(AND($G256="加入",$D256&gt;=40,$D256&lt;=64),VLOOKUP($I256,年金DB!$G$16:$P$65,10,TRUE),0),0)-0.1,0)</f>
        <v>0</v>
      </c>
      <c r="AB256" s="178">
        <f>ROUND(IFERROR(IF(AND($G256="加入",$D256&lt;40),VLOOKUP($J256,年金DB!$G$16:$X$62,14,TRUE),IF(AND($G256="加入",$D256&gt;=40),VLOOKUP($J256,年金DB!$G$16:$X$62,14,TRUE),"0")),0)-0.1,0)</f>
        <v>0</v>
      </c>
      <c r="AC256" s="178">
        <f t="shared" si="27"/>
        <v>0</v>
      </c>
      <c r="AD256" s="21">
        <f t="shared" si="24"/>
        <v>0</v>
      </c>
      <c r="AE256" s="173">
        <f t="shared" si="25"/>
        <v>0</v>
      </c>
      <c r="AF256" s="14" t="str">
        <f t="shared" si="26"/>
        <v/>
      </c>
      <c r="AG256" s="14"/>
      <c r="AH256" s="14"/>
    </row>
    <row r="257" spans="1:34">
      <c r="A257" s="28"/>
      <c r="B257" s="180"/>
      <c r="C257" s="188"/>
      <c r="D257" s="161"/>
      <c r="E257" s="162"/>
      <c r="F257" s="162"/>
      <c r="G257" s="163"/>
      <c r="H257" s="285"/>
      <c r="I257" s="282"/>
      <c r="J257" s="16"/>
      <c r="K257" s="18">
        <f t="shared" si="22"/>
        <v>0</v>
      </c>
      <c r="L257" s="288">
        <v>0</v>
      </c>
      <c r="M257" s="291"/>
      <c r="N257" s="164"/>
      <c r="O257" s="164"/>
      <c r="P257" s="164"/>
      <c r="Q257" s="175">
        <f t="shared" si="28"/>
        <v>0</v>
      </c>
      <c r="R257" s="164"/>
      <c r="S257" s="197">
        <f t="shared" si="23"/>
        <v>0</v>
      </c>
      <c r="T257" s="201" t="str" cm="1">
        <f t="array" ref="T257">IFERROR(IF(F257="甲",IF(K257&gt;3500000,VLOOKUP(3500000,源泉DB!$B$261:$L$261,L257+3)+ROUNDDOWN((K257-3500000)*45.945%,0),IF(AND(K257&gt;2250000,K257&lt;3500000),VLOOKUP(2250000,源泉DB!$B$260:$K$260,L257+3)+ROUNDDOWN((K257-2250000)*40.84%,0),IF(AND(K257&gt;2210000,K257&lt;2250000),VLOOKUP(2210000,源泉DB!$B$259:$K$259,L257+3)+ROUNDDOWN((K257-2210000)*40.84%,0),IF(AND(K257&gt;2170000,K257&lt;2210000),VLOOKUP(2170000,源泉DB!$B$258:$K$258,L257+3)+ROUNDDOWN((K257-2170000)*40.84%,0),IF(AND(K257&gt;1700000,K257&lt;2170000),VLOOKUP(1700000,源泉DB!$B$257:$K$257,L257+3)+ROUNDDOWN((K257-1700000)*40.84%,0),IF(AND(K257&gt;950000,K257&lt;1700000),VLOOKUP(950000,源泉DB!$B$256:$K$256,L257+3)+ROUNDDOWN((K257-950000)*33.693%,0),IF(AND(K257&gt;780000,K257&lt;950000),VLOOKUP(780000,源泉DB!$B$255:$K$255,L257+3)+ROUNDDOWN((K257-780000)*23.483%,0),IF(AND(K257&gt;740000,K257&lt;780000),VLOOKUP(740000,源泉DB!$B$254:$K$254,L257+3)+ROUNDDOWN((K257-740000)*20.42%,0),VLOOKUP(K257,源泉DB!$B$8:$K$299,L257+3))))))))),IF(F257="乙",IF(K257&gt;1700000,651900+(K257-1700000) *45.945%,IF(K257=1700000,651900,IF(AND(K257&gt;740000,K257&lt;1700000),259800+(K257-740000)*40.84%,IF(K257=740000,259800,IF(K257&lt;88000,ROUNDDOWN(K257*3.063%,9),VLOOKUP(K257,源泉DB!$B$8:$L$254,11)))))),"")),"")</f>
        <v/>
      </c>
      <c r="U257" s="165"/>
      <c r="V257" s="166"/>
      <c r="W257" s="166"/>
      <c r="X257" s="166"/>
      <c r="Y257" s="166"/>
      <c r="Z257" s="178">
        <f>ROUND(IFERROR(IF(($G257="加入"),VLOOKUP($I257,年金DB!$G$16:$P$65,6,TRUE),0),0)-0.1,0)</f>
        <v>0</v>
      </c>
      <c r="AA257" s="178">
        <f>ROUND(IFERROR(IF(AND($G257="加入",$D257&gt;=40,$D257&lt;=64),VLOOKUP($I257,年金DB!$G$16:$P$65,10,TRUE),0),0)-0.1,0)</f>
        <v>0</v>
      </c>
      <c r="AB257" s="178">
        <f>ROUND(IFERROR(IF(AND($G257="加入",$D257&lt;40),VLOOKUP($J257,年金DB!$G$16:$X$62,14,TRUE),IF(AND($G257="加入",$D257&gt;=40),VLOOKUP($J257,年金DB!$G$16:$X$62,14,TRUE),"0")),0)-0.1,0)</f>
        <v>0</v>
      </c>
      <c r="AC257" s="178">
        <f t="shared" si="27"/>
        <v>0</v>
      </c>
      <c r="AD257" s="21">
        <f t="shared" si="24"/>
        <v>0</v>
      </c>
      <c r="AE257" s="173">
        <f t="shared" si="25"/>
        <v>0</v>
      </c>
      <c r="AF257" s="14" t="str">
        <f t="shared" si="26"/>
        <v/>
      </c>
      <c r="AG257" s="14"/>
      <c r="AH257" s="14"/>
    </row>
    <row r="258" spans="1:34">
      <c r="A258" s="28"/>
      <c r="B258" s="180"/>
      <c r="C258" s="188"/>
      <c r="D258" s="161"/>
      <c r="E258" s="162"/>
      <c r="F258" s="162"/>
      <c r="G258" s="163"/>
      <c r="H258" s="285"/>
      <c r="I258" s="282"/>
      <c r="J258" s="16"/>
      <c r="K258" s="18">
        <f t="shared" si="22"/>
        <v>0</v>
      </c>
      <c r="L258" s="288">
        <v>0</v>
      </c>
      <c r="M258" s="291"/>
      <c r="N258" s="164"/>
      <c r="O258" s="164"/>
      <c r="P258" s="164"/>
      <c r="Q258" s="175">
        <f t="shared" si="28"/>
        <v>0</v>
      </c>
      <c r="R258" s="164"/>
      <c r="S258" s="197">
        <f t="shared" si="23"/>
        <v>0</v>
      </c>
      <c r="T258" s="201" t="str" cm="1">
        <f t="array" ref="T258">IFERROR(IF(F258="甲",IF(K258&gt;3500000,VLOOKUP(3500000,源泉DB!$B$261:$L$261,L258+3)+ROUNDDOWN((K258-3500000)*45.945%,0),IF(AND(K258&gt;2250000,K258&lt;3500000),VLOOKUP(2250000,源泉DB!$B$260:$K$260,L258+3)+ROUNDDOWN((K258-2250000)*40.84%,0),IF(AND(K258&gt;2210000,K258&lt;2250000),VLOOKUP(2210000,源泉DB!$B$259:$K$259,L258+3)+ROUNDDOWN((K258-2210000)*40.84%,0),IF(AND(K258&gt;2170000,K258&lt;2210000),VLOOKUP(2170000,源泉DB!$B$258:$K$258,L258+3)+ROUNDDOWN((K258-2170000)*40.84%,0),IF(AND(K258&gt;1700000,K258&lt;2170000),VLOOKUP(1700000,源泉DB!$B$257:$K$257,L258+3)+ROUNDDOWN((K258-1700000)*40.84%,0),IF(AND(K258&gt;950000,K258&lt;1700000),VLOOKUP(950000,源泉DB!$B$256:$K$256,L258+3)+ROUNDDOWN((K258-950000)*33.693%,0),IF(AND(K258&gt;780000,K258&lt;950000),VLOOKUP(780000,源泉DB!$B$255:$K$255,L258+3)+ROUNDDOWN((K258-780000)*23.483%,0),IF(AND(K258&gt;740000,K258&lt;780000),VLOOKUP(740000,源泉DB!$B$254:$K$254,L258+3)+ROUNDDOWN((K258-740000)*20.42%,0),VLOOKUP(K258,源泉DB!$B$8:$K$299,L258+3))))))))),IF(F258="乙",IF(K258&gt;1700000,651900+(K258-1700000) *45.945%,IF(K258=1700000,651900,IF(AND(K258&gt;740000,K258&lt;1700000),259800+(K258-740000)*40.84%,IF(K258=740000,259800,IF(K258&lt;88000,ROUNDDOWN(K258*3.063%,9),VLOOKUP(K258,源泉DB!$B$8:$L$254,11)))))),"")),"")</f>
        <v/>
      </c>
      <c r="U258" s="165"/>
      <c r="V258" s="166"/>
      <c r="W258" s="166"/>
      <c r="X258" s="166"/>
      <c r="Y258" s="166"/>
      <c r="Z258" s="178">
        <f>ROUND(IFERROR(IF(($G258="加入"),VLOOKUP($I258,年金DB!$G$16:$P$65,6,TRUE),0),0)-0.1,0)</f>
        <v>0</v>
      </c>
      <c r="AA258" s="178">
        <f>ROUND(IFERROR(IF(AND($G258="加入",$D258&gt;=40,$D258&lt;=64),VLOOKUP($I258,年金DB!$G$16:$P$65,10,TRUE),0),0)-0.1,0)</f>
        <v>0</v>
      </c>
      <c r="AB258" s="178">
        <f>ROUND(IFERROR(IF(AND($G258="加入",$D258&lt;40),VLOOKUP($J258,年金DB!$G$16:$X$62,14,TRUE),IF(AND($G258="加入",$D258&gt;=40),VLOOKUP($J258,年金DB!$G$16:$X$62,14,TRUE),"0")),0)-0.1,0)</f>
        <v>0</v>
      </c>
      <c r="AC258" s="178">
        <f t="shared" si="27"/>
        <v>0</v>
      </c>
      <c r="AD258" s="21">
        <f t="shared" si="24"/>
        <v>0</v>
      </c>
      <c r="AE258" s="173">
        <f t="shared" si="25"/>
        <v>0</v>
      </c>
      <c r="AF258" s="14" t="str">
        <f t="shared" si="26"/>
        <v/>
      </c>
      <c r="AG258" s="14"/>
      <c r="AH258" s="14"/>
    </row>
    <row r="259" spans="1:34">
      <c r="A259" s="28"/>
      <c r="B259" s="180"/>
      <c r="C259" s="188"/>
      <c r="D259" s="161"/>
      <c r="E259" s="162"/>
      <c r="F259" s="162"/>
      <c r="G259" s="163"/>
      <c r="H259" s="285"/>
      <c r="I259" s="282"/>
      <c r="J259" s="16"/>
      <c r="K259" s="18">
        <f t="shared" si="22"/>
        <v>0</v>
      </c>
      <c r="L259" s="288">
        <v>0</v>
      </c>
      <c r="M259" s="291"/>
      <c r="N259" s="164"/>
      <c r="O259" s="164"/>
      <c r="P259" s="164"/>
      <c r="Q259" s="175">
        <f t="shared" si="28"/>
        <v>0</v>
      </c>
      <c r="R259" s="164"/>
      <c r="S259" s="197">
        <f t="shared" si="23"/>
        <v>0</v>
      </c>
      <c r="T259" s="201" t="str" cm="1">
        <f t="array" ref="T259">IFERROR(IF(F259="甲",IF(K259&gt;3500000,VLOOKUP(3500000,源泉DB!$B$261:$L$261,L259+3)+ROUNDDOWN((K259-3500000)*45.945%,0),IF(AND(K259&gt;2250000,K259&lt;3500000),VLOOKUP(2250000,源泉DB!$B$260:$K$260,L259+3)+ROUNDDOWN((K259-2250000)*40.84%,0),IF(AND(K259&gt;2210000,K259&lt;2250000),VLOOKUP(2210000,源泉DB!$B$259:$K$259,L259+3)+ROUNDDOWN((K259-2210000)*40.84%,0),IF(AND(K259&gt;2170000,K259&lt;2210000),VLOOKUP(2170000,源泉DB!$B$258:$K$258,L259+3)+ROUNDDOWN((K259-2170000)*40.84%,0),IF(AND(K259&gt;1700000,K259&lt;2170000),VLOOKUP(1700000,源泉DB!$B$257:$K$257,L259+3)+ROUNDDOWN((K259-1700000)*40.84%,0),IF(AND(K259&gt;950000,K259&lt;1700000),VLOOKUP(950000,源泉DB!$B$256:$K$256,L259+3)+ROUNDDOWN((K259-950000)*33.693%,0),IF(AND(K259&gt;780000,K259&lt;950000),VLOOKUP(780000,源泉DB!$B$255:$K$255,L259+3)+ROUNDDOWN((K259-780000)*23.483%,0),IF(AND(K259&gt;740000,K259&lt;780000),VLOOKUP(740000,源泉DB!$B$254:$K$254,L259+3)+ROUNDDOWN((K259-740000)*20.42%,0),VLOOKUP(K259,源泉DB!$B$8:$K$299,L259+3))))))))),IF(F259="乙",IF(K259&gt;1700000,651900+(K259-1700000) *45.945%,IF(K259=1700000,651900,IF(AND(K259&gt;740000,K259&lt;1700000),259800+(K259-740000)*40.84%,IF(K259=740000,259800,IF(K259&lt;88000,ROUNDDOWN(K259*3.063%,9),VLOOKUP(K259,源泉DB!$B$8:$L$254,11)))))),"")),"")</f>
        <v/>
      </c>
      <c r="U259" s="165"/>
      <c r="V259" s="166"/>
      <c r="W259" s="166"/>
      <c r="X259" s="166"/>
      <c r="Y259" s="166"/>
      <c r="Z259" s="178">
        <f>ROUND(IFERROR(IF(($G259="加入"),VLOOKUP($I259,年金DB!$G$16:$P$65,6,TRUE),0),0)-0.1,0)</f>
        <v>0</v>
      </c>
      <c r="AA259" s="178">
        <f>ROUND(IFERROR(IF(AND($G259="加入",$D259&gt;=40,$D259&lt;=64),VLOOKUP($I259,年金DB!$G$16:$P$65,10,TRUE),0),0)-0.1,0)</f>
        <v>0</v>
      </c>
      <c r="AB259" s="178">
        <f>ROUND(IFERROR(IF(AND($G259="加入",$D259&lt;40),VLOOKUP($J259,年金DB!$G$16:$X$62,14,TRUE),IF(AND($G259="加入",$D259&gt;=40),VLOOKUP($J259,年金DB!$G$16:$X$62,14,TRUE),"0")),0)-0.1,0)</f>
        <v>0</v>
      </c>
      <c r="AC259" s="178">
        <f t="shared" si="27"/>
        <v>0</v>
      </c>
      <c r="AD259" s="21">
        <f t="shared" si="24"/>
        <v>0</v>
      </c>
      <c r="AE259" s="173">
        <f t="shared" si="25"/>
        <v>0</v>
      </c>
      <c r="AF259" s="14" t="str">
        <f t="shared" si="26"/>
        <v/>
      </c>
      <c r="AG259" s="14"/>
      <c r="AH259" s="14"/>
    </row>
    <row r="260" spans="1:34">
      <c r="A260" s="28"/>
      <c r="B260" s="180"/>
      <c r="C260" s="188"/>
      <c r="D260" s="161"/>
      <c r="E260" s="162"/>
      <c r="F260" s="162"/>
      <c r="G260" s="163"/>
      <c r="H260" s="285"/>
      <c r="I260" s="282"/>
      <c r="J260" s="16"/>
      <c r="K260" s="18">
        <f t="shared" si="22"/>
        <v>0</v>
      </c>
      <c r="L260" s="288">
        <v>0</v>
      </c>
      <c r="M260" s="291"/>
      <c r="N260" s="164"/>
      <c r="O260" s="164"/>
      <c r="P260" s="164"/>
      <c r="Q260" s="175">
        <f t="shared" si="28"/>
        <v>0</v>
      </c>
      <c r="R260" s="164"/>
      <c r="S260" s="197">
        <f t="shared" si="23"/>
        <v>0</v>
      </c>
      <c r="T260" s="201" t="str" cm="1">
        <f t="array" ref="T260">IFERROR(IF(F260="甲",IF(K260&gt;3500000,VLOOKUP(3500000,源泉DB!$B$261:$L$261,L260+3)+ROUNDDOWN((K260-3500000)*45.945%,0),IF(AND(K260&gt;2250000,K260&lt;3500000),VLOOKUP(2250000,源泉DB!$B$260:$K$260,L260+3)+ROUNDDOWN((K260-2250000)*40.84%,0),IF(AND(K260&gt;2210000,K260&lt;2250000),VLOOKUP(2210000,源泉DB!$B$259:$K$259,L260+3)+ROUNDDOWN((K260-2210000)*40.84%,0),IF(AND(K260&gt;2170000,K260&lt;2210000),VLOOKUP(2170000,源泉DB!$B$258:$K$258,L260+3)+ROUNDDOWN((K260-2170000)*40.84%,0),IF(AND(K260&gt;1700000,K260&lt;2170000),VLOOKUP(1700000,源泉DB!$B$257:$K$257,L260+3)+ROUNDDOWN((K260-1700000)*40.84%,0),IF(AND(K260&gt;950000,K260&lt;1700000),VLOOKUP(950000,源泉DB!$B$256:$K$256,L260+3)+ROUNDDOWN((K260-950000)*33.693%,0),IF(AND(K260&gt;780000,K260&lt;950000),VLOOKUP(780000,源泉DB!$B$255:$K$255,L260+3)+ROUNDDOWN((K260-780000)*23.483%,0),IF(AND(K260&gt;740000,K260&lt;780000),VLOOKUP(740000,源泉DB!$B$254:$K$254,L260+3)+ROUNDDOWN((K260-740000)*20.42%,0),VLOOKUP(K260,源泉DB!$B$8:$K$299,L260+3))))))))),IF(F260="乙",IF(K260&gt;1700000,651900+(K260-1700000) *45.945%,IF(K260=1700000,651900,IF(AND(K260&gt;740000,K260&lt;1700000),259800+(K260-740000)*40.84%,IF(K260=740000,259800,IF(K260&lt;88000,ROUNDDOWN(K260*3.063%,9),VLOOKUP(K260,源泉DB!$B$8:$L$254,11)))))),"")),"")</f>
        <v/>
      </c>
      <c r="U260" s="165"/>
      <c r="V260" s="166"/>
      <c r="W260" s="166"/>
      <c r="X260" s="166"/>
      <c r="Y260" s="166"/>
      <c r="Z260" s="178">
        <f>ROUND(IFERROR(IF(($G260="加入"),VLOOKUP($I260,年金DB!$G$16:$P$65,6,TRUE),0),0)-0.1,0)</f>
        <v>0</v>
      </c>
      <c r="AA260" s="178">
        <f>ROUND(IFERROR(IF(AND($G260="加入",$D260&gt;=40,$D260&lt;=64),VLOOKUP($I260,年金DB!$G$16:$P$65,10,TRUE),0),0)-0.1,0)</f>
        <v>0</v>
      </c>
      <c r="AB260" s="178">
        <f>ROUND(IFERROR(IF(AND($G260="加入",$D260&lt;40),VLOOKUP($J260,年金DB!$G$16:$X$62,14,TRUE),IF(AND($G260="加入",$D260&gt;=40),VLOOKUP($J260,年金DB!$G$16:$X$62,14,TRUE),"0")),0)-0.1,0)</f>
        <v>0</v>
      </c>
      <c r="AC260" s="178">
        <f t="shared" si="27"/>
        <v>0</v>
      </c>
      <c r="AD260" s="21">
        <f t="shared" si="24"/>
        <v>0</v>
      </c>
      <c r="AE260" s="173">
        <f t="shared" si="25"/>
        <v>0</v>
      </c>
      <c r="AF260" s="14" t="str">
        <f t="shared" si="26"/>
        <v/>
      </c>
      <c r="AG260" s="14"/>
      <c r="AH260" s="14"/>
    </row>
    <row r="261" spans="1:34">
      <c r="A261" s="28"/>
      <c r="B261" s="180"/>
      <c r="C261" s="188"/>
      <c r="D261" s="161"/>
      <c r="E261" s="162"/>
      <c r="F261" s="162"/>
      <c r="G261" s="163"/>
      <c r="H261" s="285"/>
      <c r="I261" s="282"/>
      <c r="J261" s="16"/>
      <c r="K261" s="18">
        <f t="shared" si="22"/>
        <v>0</v>
      </c>
      <c r="L261" s="288">
        <v>0</v>
      </c>
      <c r="M261" s="291"/>
      <c r="N261" s="164"/>
      <c r="O261" s="164"/>
      <c r="P261" s="164"/>
      <c r="Q261" s="175">
        <f t="shared" si="28"/>
        <v>0</v>
      </c>
      <c r="R261" s="164"/>
      <c r="S261" s="197">
        <f t="shared" si="23"/>
        <v>0</v>
      </c>
      <c r="T261" s="201" t="str" cm="1">
        <f t="array" ref="T261">IFERROR(IF(F261="甲",IF(K261&gt;3500000,VLOOKUP(3500000,源泉DB!$B$261:$L$261,L261+3)+ROUNDDOWN((K261-3500000)*45.945%,0),IF(AND(K261&gt;2250000,K261&lt;3500000),VLOOKUP(2250000,源泉DB!$B$260:$K$260,L261+3)+ROUNDDOWN((K261-2250000)*40.84%,0),IF(AND(K261&gt;2210000,K261&lt;2250000),VLOOKUP(2210000,源泉DB!$B$259:$K$259,L261+3)+ROUNDDOWN((K261-2210000)*40.84%,0),IF(AND(K261&gt;2170000,K261&lt;2210000),VLOOKUP(2170000,源泉DB!$B$258:$K$258,L261+3)+ROUNDDOWN((K261-2170000)*40.84%,0),IF(AND(K261&gt;1700000,K261&lt;2170000),VLOOKUP(1700000,源泉DB!$B$257:$K$257,L261+3)+ROUNDDOWN((K261-1700000)*40.84%,0),IF(AND(K261&gt;950000,K261&lt;1700000),VLOOKUP(950000,源泉DB!$B$256:$K$256,L261+3)+ROUNDDOWN((K261-950000)*33.693%,0),IF(AND(K261&gt;780000,K261&lt;950000),VLOOKUP(780000,源泉DB!$B$255:$K$255,L261+3)+ROUNDDOWN((K261-780000)*23.483%,0),IF(AND(K261&gt;740000,K261&lt;780000),VLOOKUP(740000,源泉DB!$B$254:$K$254,L261+3)+ROUNDDOWN((K261-740000)*20.42%,0),VLOOKUP(K261,源泉DB!$B$8:$K$299,L261+3))))))))),IF(F261="乙",IF(K261&gt;1700000,651900+(K261-1700000) *45.945%,IF(K261=1700000,651900,IF(AND(K261&gt;740000,K261&lt;1700000),259800+(K261-740000)*40.84%,IF(K261=740000,259800,IF(K261&lt;88000,ROUNDDOWN(K261*3.063%,9),VLOOKUP(K261,源泉DB!$B$8:$L$254,11)))))),"")),"")</f>
        <v/>
      </c>
      <c r="U261" s="165"/>
      <c r="V261" s="166"/>
      <c r="W261" s="166"/>
      <c r="X261" s="166"/>
      <c r="Y261" s="166"/>
      <c r="Z261" s="178">
        <f>ROUND(IFERROR(IF(($G261="加入"),VLOOKUP($I261,年金DB!$G$16:$P$65,6,TRUE),0),0)-0.1,0)</f>
        <v>0</v>
      </c>
      <c r="AA261" s="178">
        <f>ROUND(IFERROR(IF(AND($G261="加入",$D261&gt;=40,$D261&lt;=64),VLOOKUP($I261,年金DB!$G$16:$P$65,10,TRUE),0),0)-0.1,0)</f>
        <v>0</v>
      </c>
      <c r="AB261" s="178">
        <f>ROUND(IFERROR(IF(AND($G261="加入",$D261&lt;40),VLOOKUP($J261,年金DB!$G$16:$X$62,14,TRUE),IF(AND($G261="加入",$D261&gt;=40),VLOOKUP($J261,年金DB!$G$16:$X$62,14,TRUE),"0")),0)-0.1,0)</f>
        <v>0</v>
      </c>
      <c r="AC261" s="178">
        <f t="shared" si="27"/>
        <v>0</v>
      </c>
      <c r="AD261" s="21">
        <f t="shared" si="24"/>
        <v>0</v>
      </c>
      <c r="AE261" s="173">
        <f t="shared" si="25"/>
        <v>0</v>
      </c>
      <c r="AF261" s="14" t="str">
        <f t="shared" si="26"/>
        <v/>
      </c>
      <c r="AG261" s="14"/>
      <c r="AH261" s="14"/>
    </row>
    <row r="262" spans="1:34">
      <c r="A262" s="28"/>
      <c r="B262" s="180"/>
      <c r="C262" s="188"/>
      <c r="D262" s="161"/>
      <c r="E262" s="162"/>
      <c r="F262" s="162"/>
      <c r="G262" s="163"/>
      <c r="H262" s="285"/>
      <c r="I262" s="282"/>
      <c r="J262" s="16"/>
      <c r="K262" s="18">
        <f t="shared" si="22"/>
        <v>0</v>
      </c>
      <c r="L262" s="288">
        <v>0</v>
      </c>
      <c r="M262" s="291"/>
      <c r="N262" s="164"/>
      <c r="O262" s="164"/>
      <c r="P262" s="164"/>
      <c r="Q262" s="175">
        <f t="shared" si="28"/>
        <v>0</v>
      </c>
      <c r="R262" s="164"/>
      <c r="S262" s="197">
        <f t="shared" si="23"/>
        <v>0</v>
      </c>
      <c r="T262" s="201" t="str" cm="1">
        <f t="array" ref="T262">IFERROR(IF(F262="甲",IF(K262&gt;3500000,VLOOKUP(3500000,源泉DB!$B$261:$L$261,L262+3)+ROUNDDOWN((K262-3500000)*45.945%,0),IF(AND(K262&gt;2250000,K262&lt;3500000),VLOOKUP(2250000,源泉DB!$B$260:$K$260,L262+3)+ROUNDDOWN((K262-2250000)*40.84%,0),IF(AND(K262&gt;2210000,K262&lt;2250000),VLOOKUP(2210000,源泉DB!$B$259:$K$259,L262+3)+ROUNDDOWN((K262-2210000)*40.84%,0),IF(AND(K262&gt;2170000,K262&lt;2210000),VLOOKUP(2170000,源泉DB!$B$258:$K$258,L262+3)+ROUNDDOWN((K262-2170000)*40.84%,0),IF(AND(K262&gt;1700000,K262&lt;2170000),VLOOKUP(1700000,源泉DB!$B$257:$K$257,L262+3)+ROUNDDOWN((K262-1700000)*40.84%,0),IF(AND(K262&gt;950000,K262&lt;1700000),VLOOKUP(950000,源泉DB!$B$256:$K$256,L262+3)+ROUNDDOWN((K262-950000)*33.693%,0),IF(AND(K262&gt;780000,K262&lt;950000),VLOOKUP(780000,源泉DB!$B$255:$K$255,L262+3)+ROUNDDOWN((K262-780000)*23.483%,0),IF(AND(K262&gt;740000,K262&lt;780000),VLOOKUP(740000,源泉DB!$B$254:$K$254,L262+3)+ROUNDDOWN((K262-740000)*20.42%,0),VLOOKUP(K262,源泉DB!$B$8:$K$299,L262+3))))))))),IF(F262="乙",IF(K262&gt;1700000,651900+(K262-1700000) *45.945%,IF(K262=1700000,651900,IF(AND(K262&gt;740000,K262&lt;1700000),259800+(K262-740000)*40.84%,IF(K262=740000,259800,IF(K262&lt;88000,ROUNDDOWN(K262*3.063%,9),VLOOKUP(K262,源泉DB!$B$8:$L$254,11)))))),"")),"")</f>
        <v/>
      </c>
      <c r="U262" s="165"/>
      <c r="V262" s="166"/>
      <c r="W262" s="166"/>
      <c r="X262" s="166"/>
      <c r="Y262" s="166"/>
      <c r="Z262" s="178">
        <f>ROUND(IFERROR(IF(($G262="加入"),VLOOKUP($I262,年金DB!$G$16:$P$65,6,TRUE),0),0)-0.1,0)</f>
        <v>0</v>
      </c>
      <c r="AA262" s="178">
        <f>ROUND(IFERROR(IF(AND($G262="加入",$D262&gt;=40,$D262&lt;=64),VLOOKUP($I262,年金DB!$G$16:$P$65,10,TRUE),0),0)-0.1,0)</f>
        <v>0</v>
      </c>
      <c r="AB262" s="178">
        <f>ROUND(IFERROR(IF(AND($G262="加入",$D262&lt;40),VLOOKUP($J262,年金DB!$G$16:$X$62,14,TRUE),IF(AND($G262="加入",$D262&gt;=40),VLOOKUP($J262,年金DB!$G$16:$X$62,14,TRUE),"0")),0)-0.1,0)</f>
        <v>0</v>
      </c>
      <c r="AC262" s="178">
        <f t="shared" si="27"/>
        <v>0</v>
      </c>
      <c r="AD262" s="21">
        <f t="shared" si="24"/>
        <v>0</v>
      </c>
      <c r="AE262" s="173">
        <f t="shared" si="25"/>
        <v>0</v>
      </c>
      <c r="AF262" s="14" t="str">
        <f t="shared" si="26"/>
        <v/>
      </c>
      <c r="AG262" s="14"/>
      <c r="AH262" s="14"/>
    </row>
    <row r="263" spans="1:34">
      <c r="A263" s="28"/>
      <c r="B263" s="180"/>
      <c r="C263" s="188"/>
      <c r="D263" s="161"/>
      <c r="E263" s="162"/>
      <c r="F263" s="162"/>
      <c r="G263" s="163"/>
      <c r="H263" s="285"/>
      <c r="I263" s="282"/>
      <c r="J263" s="16"/>
      <c r="K263" s="18">
        <f t="shared" ref="K263:K282" si="29">IF((Q263-Z263-AA263-AB263-AC263)&lt;0,0,Q263-Z263-AA263-AB263-AC263)</f>
        <v>0</v>
      </c>
      <c r="L263" s="288">
        <v>0</v>
      </c>
      <c r="M263" s="291"/>
      <c r="N263" s="164"/>
      <c r="O263" s="164"/>
      <c r="P263" s="164"/>
      <c r="Q263" s="175">
        <f t="shared" si="28"/>
        <v>0</v>
      </c>
      <c r="R263" s="164"/>
      <c r="S263" s="197">
        <f t="shared" ref="S263:S282" si="30">SUM(Q263:R263)</f>
        <v>0</v>
      </c>
      <c r="T263" s="201" t="str" cm="1">
        <f t="array" ref="T263">IFERROR(IF(F263="甲",IF(K263&gt;3500000,VLOOKUP(3500000,源泉DB!$B$261:$L$261,L263+3)+ROUNDDOWN((K263-3500000)*45.945%,0),IF(AND(K263&gt;2250000,K263&lt;3500000),VLOOKUP(2250000,源泉DB!$B$260:$K$260,L263+3)+ROUNDDOWN((K263-2250000)*40.84%,0),IF(AND(K263&gt;2210000,K263&lt;2250000),VLOOKUP(2210000,源泉DB!$B$259:$K$259,L263+3)+ROUNDDOWN((K263-2210000)*40.84%,0),IF(AND(K263&gt;2170000,K263&lt;2210000),VLOOKUP(2170000,源泉DB!$B$258:$K$258,L263+3)+ROUNDDOWN((K263-2170000)*40.84%,0),IF(AND(K263&gt;1700000,K263&lt;2170000),VLOOKUP(1700000,源泉DB!$B$257:$K$257,L263+3)+ROUNDDOWN((K263-1700000)*40.84%,0),IF(AND(K263&gt;950000,K263&lt;1700000),VLOOKUP(950000,源泉DB!$B$256:$K$256,L263+3)+ROUNDDOWN((K263-950000)*33.693%,0),IF(AND(K263&gt;780000,K263&lt;950000),VLOOKUP(780000,源泉DB!$B$255:$K$255,L263+3)+ROUNDDOWN((K263-780000)*23.483%,0),IF(AND(K263&gt;740000,K263&lt;780000),VLOOKUP(740000,源泉DB!$B$254:$K$254,L263+3)+ROUNDDOWN((K263-740000)*20.42%,0),VLOOKUP(K263,源泉DB!$B$8:$K$299,L263+3))))))))),IF(F263="乙",IF(K263&gt;1700000,651900+(K263-1700000) *45.945%,IF(K263=1700000,651900,IF(AND(K263&gt;740000,K263&lt;1700000),259800+(K263-740000)*40.84%,IF(K263=740000,259800,IF(K263&lt;88000,ROUNDDOWN(K263*3.063%,9),VLOOKUP(K263,源泉DB!$B$8:$L$254,11)))))),"")),"")</f>
        <v/>
      </c>
      <c r="U263" s="165"/>
      <c r="V263" s="166"/>
      <c r="W263" s="166"/>
      <c r="X263" s="166"/>
      <c r="Y263" s="166"/>
      <c r="Z263" s="178">
        <f>ROUND(IFERROR(IF(($G263="加入"),VLOOKUP($I263,年金DB!$G$16:$P$65,6,TRUE),0),0)-0.1,0)</f>
        <v>0</v>
      </c>
      <c r="AA263" s="178">
        <f>ROUND(IFERROR(IF(AND($G263="加入",$D263&gt;=40,$D263&lt;=64),VLOOKUP($I263,年金DB!$G$16:$P$65,10,TRUE),0),0)-0.1,0)</f>
        <v>0</v>
      </c>
      <c r="AB263" s="178">
        <f>ROUND(IFERROR(IF(AND($G263="加入",$D263&lt;40),VLOOKUP($J263,年金DB!$G$16:$X$62,14,TRUE),IF(AND($G263="加入",$D263&gt;=40),VLOOKUP($J263,年金DB!$G$16:$X$62,14,TRUE),"0")),0)-0.1,0)</f>
        <v>0</v>
      </c>
      <c r="AC263" s="178">
        <f t="shared" si="27"/>
        <v>0</v>
      </c>
      <c r="AD263" s="21">
        <f t="shared" ref="AD263:AD282" si="31">SUM(T263:AC263)</f>
        <v>0</v>
      </c>
      <c r="AE263" s="173">
        <f t="shared" ref="AE263:AE282" si="32">S263-AD263</f>
        <v>0</v>
      </c>
      <c r="AF263" s="14" t="str">
        <f t="shared" ref="AF263:AF282" si="33">IF(AE263&gt;0,"←同額をお振込みください","")</f>
        <v/>
      </c>
      <c r="AG263" s="14"/>
      <c r="AH263" s="14"/>
    </row>
    <row r="264" spans="1:34">
      <c r="A264" s="28"/>
      <c r="B264" s="180"/>
      <c r="C264" s="188"/>
      <c r="D264" s="161"/>
      <c r="E264" s="162"/>
      <c r="F264" s="162"/>
      <c r="G264" s="163"/>
      <c r="H264" s="285"/>
      <c r="I264" s="282"/>
      <c r="J264" s="16"/>
      <c r="K264" s="18">
        <f t="shared" si="29"/>
        <v>0</v>
      </c>
      <c r="L264" s="288">
        <v>0</v>
      </c>
      <c r="M264" s="291"/>
      <c r="N264" s="164"/>
      <c r="O264" s="164"/>
      <c r="P264" s="164"/>
      <c r="Q264" s="175">
        <f t="shared" si="28"/>
        <v>0</v>
      </c>
      <c r="R264" s="164"/>
      <c r="S264" s="197">
        <f t="shared" si="30"/>
        <v>0</v>
      </c>
      <c r="T264" s="201" t="str" cm="1">
        <f t="array" ref="T264">IFERROR(IF(F264="甲",IF(K264&gt;3500000,VLOOKUP(3500000,源泉DB!$B$261:$L$261,L264+3)+ROUNDDOWN((K264-3500000)*45.945%,0),IF(AND(K264&gt;2250000,K264&lt;3500000),VLOOKUP(2250000,源泉DB!$B$260:$K$260,L264+3)+ROUNDDOWN((K264-2250000)*40.84%,0),IF(AND(K264&gt;2210000,K264&lt;2250000),VLOOKUP(2210000,源泉DB!$B$259:$K$259,L264+3)+ROUNDDOWN((K264-2210000)*40.84%,0),IF(AND(K264&gt;2170000,K264&lt;2210000),VLOOKUP(2170000,源泉DB!$B$258:$K$258,L264+3)+ROUNDDOWN((K264-2170000)*40.84%,0),IF(AND(K264&gt;1700000,K264&lt;2170000),VLOOKUP(1700000,源泉DB!$B$257:$K$257,L264+3)+ROUNDDOWN((K264-1700000)*40.84%,0),IF(AND(K264&gt;950000,K264&lt;1700000),VLOOKUP(950000,源泉DB!$B$256:$K$256,L264+3)+ROUNDDOWN((K264-950000)*33.693%,0),IF(AND(K264&gt;780000,K264&lt;950000),VLOOKUP(780000,源泉DB!$B$255:$K$255,L264+3)+ROUNDDOWN((K264-780000)*23.483%,0),IF(AND(K264&gt;740000,K264&lt;780000),VLOOKUP(740000,源泉DB!$B$254:$K$254,L264+3)+ROUNDDOWN((K264-740000)*20.42%,0),VLOOKUP(K264,源泉DB!$B$8:$K$299,L264+3))))))))),IF(F264="乙",IF(K264&gt;1700000,651900+(K264-1700000) *45.945%,IF(K264=1700000,651900,IF(AND(K264&gt;740000,K264&lt;1700000),259800+(K264-740000)*40.84%,IF(K264=740000,259800,IF(K264&lt;88000,ROUNDDOWN(K264*3.063%,9),VLOOKUP(K264,源泉DB!$B$8:$L$254,11)))))),"")),"")</f>
        <v/>
      </c>
      <c r="U264" s="165"/>
      <c r="V264" s="166"/>
      <c r="W264" s="166"/>
      <c r="X264" s="166"/>
      <c r="Y264" s="166"/>
      <c r="Z264" s="178">
        <f>ROUND(IFERROR(IF(($G264="加入"),VLOOKUP($I264,年金DB!$G$16:$P$65,6,TRUE),0),0)-0.1,0)</f>
        <v>0</v>
      </c>
      <c r="AA264" s="178">
        <f>ROUND(IFERROR(IF(AND($G264="加入",$D264&gt;=40,$D264&lt;=64),VLOOKUP($I264,年金DB!$G$16:$P$65,10,TRUE),0),0)-0.1,0)</f>
        <v>0</v>
      </c>
      <c r="AB264" s="178">
        <f>ROUND(IFERROR(IF(AND($G264="加入",$D264&lt;40),VLOOKUP($J264,年金DB!$G$16:$X$62,14,TRUE),IF(AND($G264="加入",$D264&gt;=40),VLOOKUP($J264,年金DB!$G$16:$X$62,14,TRUE),"0")),0)-0.1,0)</f>
        <v>0</v>
      </c>
      <c r="AC264" s="178">
        <f t="shared" ref="AC264:AC282" si="34">IF(OR(H264="非加入",H264=""),0,ROUNDUP(IFERROR(IF(H264="加入",(Q264+R264)*3/1000,0),0)-0.5,0))</f>
        <v>0</v>
      </c>
      <c r="AD264" s="21">
        <f t="shared" si="31"/>
        <v>0</v>
      </c>
      <c r="AE264" s="173">
        <f t="shared" si="32"/>
        <v>0</v>
      </c>
      <c r="AF264" s="14" t="str">
        <f t="shared" si="33"/>
        <v/>
      </c>
      <c r="AG264" s="14"/>
      <c r="AH264" s="14"/>
    </row>
    <row r="265" spans="1:34">
      <c r="A265" s="28"/>
      <c r="B265" s="180"/>
      <c r="C265" s="188"/>
      <c r="D265" s="161"/>
      <c r="E265" s="162"/>
      <c r="F265" s="162"/>
      <c r="G265" s="163"/>
      <c r="H265" s="285"/>
      <c r="I265" s="282"/>
      <c r="J265" s="16"/>
      <c r="K265" s="18">
        <f t="shared" si="29"/>
        <v>0</v>
      </c>
      <c r="L265" s="288">
        <v>0</v>
      </c>
      <c r="M265" s="291"/>
      <c r="N265" s="164"/>
      <c r="O265" s="164"/>
      <c r="P265" s="164"/>
      <c r="Q265" s="175">
        <f t="shared" si="28"/>
        <v>0</v>
      </c>
      <c r="R265" s="164"/>
      <c r="S265" s="197">
        <f t="shared" si="30"/>
        <v>0</v>
      </c>
      <c r="T265" s="201" t="str" cm="1">
        <f t="array" ref="T265">IFERROR(IF(F265="甲",IF(K265&gt;3500000,VLOOKUP(3500000,源泉DB!$B$261:$L$261,L265+3)+ROUNDDOWN((K265-3500000)*45.945%,0),IF(AND(K265&gt;2250000,K265&lt;3500000),VLOOKUP(2250000,源泉DB!$B$260:$K$260,L265+3)+ROUNDDOWN((K265-2250000)*40.84%,0),IF(AND(K265&gt;2210000,K265&lt;2250000),VLOOKUP(2210000,源泉DB!$B$259:$K$259,L265+3)+ROUNDDOWN((K265-2210000)*40.84%,0),IF(AND(K265&gt;2170000,K265&lt;2210000),VLOOKUP(2170000,源泉DB!$B$258:$K$258,L265+3)+ROUNDDOWN((K265-2170000)*40.84%,0),IF(AND(K265&gt;1700000,K265&lt;2170000),VLOOKUP(1700000,源泉DB!$B$257:$K$257,L265+3)+ROUNDDOWN((K265-1700000)*40.84%,0),IF(AND(K265&gt;950000,K265&lt;1700000),VLOOKUP(950000,源泉DB!$B$256:$K$256,L265+3)+ROUNDDOWN((K265-950000)*33.693%,0),IF(AND(K265&gt;780000,K265&lt;950000),VLOOKUP(780000,源泉DB!$B$255:$K$255,L265+3)+ROUNDDOWN((K265-780000)*23.483%,0),IF(AND(K265&gt;740000,K265&lt;780000),VLOOKUP(740000,源泉DB!$B$254:$K$254,L265+3)+ROUNDDOWN((K265-740000)*20.42%,0),VLOOKUP(K265,源泉DB!$B$8:$K$299,L265+3))))))))),IF(F265="乙",IF(K265&gt;1700000,651900+(K265-1700000) *45.945%,IF(K265=1700000,651900,IF(AND(K265&gt;740000,K265&lt;1700000),259800+(K265-740000)*40.84%,IF(K265=740000,259800,IF(K265&lt;88000,ROUNDDOWN(K265*3.063%,9),VLOOKUP(K265,源泉DB!$B$8:$L$254,11)))))),"")),"")</f>
        <v/>
      </c>
      <c r="U265" s="165"/>
      <c r="V265" s="166"/>
      <c r="W265" s="166"/>
      <c r="X265" s="166"/>
      <c r="Y265" s="166"/>
      <c r="Z265" s="178">
        <f>ROUND(IFERROR(IF(($G265="加入"),VLOOKUP($I265,年金DB!$G$16:$P$65,6,TRUE),0),0)-0.1,0)</f>
        <v>0</v>
      </c>
      <c r="AA265" s="178">
        <f>ROUND(IFERROR(IF(AND($G265="加入",$D265&gt;=40,$D265&lt;=64),VLOOKUP($I265,年金DB!$G$16:$P$65,10,TRUE),0),0)-0.1,0)</f>
        <v>0</v>
      </c>
      <c r="AB265" s="178">
        <f>ROUND(IFERROR(IF(AND($G265="加入",$D265&lt;40),VLOOKUP($J265,年金DB!$G$16:$X$62,14,TRUE),IF(AND($G265="加入",$D265&gt;=40),VLOOKUP($J265,年金DB!$G$16:$X$62,14,TRUE),"0")),0)-0.1,0)</f>
        <v>0</v>
      </c>
      <c r="AC265" s="178">
        <f t="shared" si="34"/>
        <v>0</v>
      </c>
      <c r="AD265" s="21">
        <f t="shared" si="31"/>
        <v>0</v>
      </c>
      <c r="AE265" s="173">
        <f t="shared" si="32"/>
        <v>0</v>
      </c>
      <c r="AF265" s="14" t="str">
        <f t="shared" si="33"/>
        <v/>
      </c>
      <c r="AG265" s="14"/>
      <c r="AH265" s="14"/>
    </row>
    <row r="266" spans="1:34">
      <c r="A266" s="28"/>
      <c r="B266" s="180"/>
      <c r="C266" s="188"/>
      <c r="D266" s="161"/>
      <c r="E266" s="162"/>
      <c r="F266" s="162"/>
      <c r="G266" s="163"/>
      <c r="H266" s="285"/>
      <c r="I266" s="282"/>
      <c r="J266" s="16"/>
      <c r="K266" s="18">
        <f t="shared" si="29"/>
        <v>0</v>
      </c>
      <c r="L266" s="288">
        <v>0</v>
      </c>
      <c r="M266" s="291"/>
      <c r="N266" s="164"/>
      <c r="O266" s="164"/>
      <c r="P266" s="164"/>
      <c r="Q266" s="175">
        <f t="shared" si="28"/>
        <v>0</v>
      </c>
      <c r="R266" s="164"/>
      <c r="S266" s="197">
        <f t="shared" si="30"/>
        <v>0</v>
      </c>
      <c r="T266" s="201" t="str" cm="1">
        <f t="array" ref="T266">IFERROR(IF(F266="甲",IF(K266&gt;3500000,VLOOKUP(3500000,源泉DB!$B$261:$L$261,L266+3)+ROUNDDOWN((K266-3500000)*45.945%,0),IF(AND(K266&gt;2250000,K266&lt;3500000),VLOOKUP(2250000,源泉DB!$B$260:$K$260,L266+3)+ROUNDDOWN((K266-2250000)*40.84%,0),IF(AND(K266&gt;2210000,K266&lt;2250000),VLOOKUP(2210000,源泉DB!$B$259:$K$259,L266+3)+ROUNDDOWN((K266-2210000)*40.84%,0),IF(AND(K266&gt;2170000,K266&lt;2210000),VLOOKUP(2170000,源泉DB!$B$258:$K$258,L266+3)+ROUNDDOWN((K266-2170000)*40.84%,0),IF(AND(K266&gt;1700000,K266&lt;2170000),VLOOKUP(1700000,源泉DB!$B$257:$K$257,L266+3)+ROUNDDOWN((K266-1700000)*40.84%,0),IF(AND(K266&gt;950000,K266&lt;1700000),VLOOKUP(950000,源泉DB!$B$256:$K$256,L266+3)+ROUNDDOWN((K266-950000)*33.693%,0),IF(AND(K266&gt;780000,K266&lt;950000),VLOOKUP(780000,源泉DB!$B$255:$K$255,L266+3)+ROUNDDOWN((K266-780000)*23.483%,0),IF(AND(K266&gt;740000,K266&lt;780000),VLOOKUP(740000,源泉DB!$B$254:$K$254,L266+3)+ROUNDDOWN((K266-740000)*20.42%,0),VLOOKUP(K266,源泉DB!$B$8:$K$299,L266+3))))))))),IF(F266="乙",IF(K266&gt;1700000,651900+(K266-1700000) *45.945%,IF(K266=1700000,651900,IF(AND(K266&gt;740000,K266&lt;1700000),259800+(K266-740000)*40.84%,IF(K266=740000,259800,IF(K266&lt;88000,ROUNDDOWN(K266*3.063%,9),VLOOKUP(K266,源泉DB!$B$8:$L$254,11)))))),"")),"")</f>
        <v/>
      </c>
      <c r="U266" s="165"/>
      <c r="V266" s="166"/>
      <c r="W266" s="166"/>
      <c r="X266" s="166"/>
      <c r="Y266" s="166"/>
      <c r="Z266" s="178">
        <f>ROUND(IFERROR(IF(($G266="加入"),VLOOKUP($I266,年金DB!$G$16:$P$65,6,TRUE),0),0)-0.1,0)</f>
        <v>0</v>
      </c>
      <c r="AA266" s="178">
        <f>ROUND(IFERROR(IF(AND($G266="加入",$D266&gt;=40,$D266&lt;=64),VLOOKUP($I266,年金DB!$G$16:$P$65,10,TRUE),0),0)-0.1,0)</f>
        <v>0</v>
      </c>
      <c r="AB266" s="178">
        <f>ROUND(IFERROR(IF(AND($G266="加入",$D266&lt;40),VLOOKUP($J266,年金DB!$G$16:$X$62,14,TRUE),IF(AND($G266="加入",$D266&gt;=40),VLOOKUP($J266,年金DB!$G$16:$X$62,14,TRUE),"0")),0)-0.1,0)</f>
        <v>0</v>
      </c>
      <c r="AC266" s="178">
        <f t="shared" si="34"/>
        <v>0</v>
      </c>
      <c r="AD266" s="21">
        <f t="shared" si="31"/>
        <v>0</v>
      </c>
      <c r="AE266" s="173">
        <f t="shared" si="32"/>
        <v>0</v>
      </c>
      <c r="AF266" s="14" t="str">
        <f t="shared" si="33"/>
        <v/>
      </c>
      <c r="AG266" s="14"/>
      <c r="AH266" s="14"/>
    </row>
    <row r="267" spans="1:34">
      <c r="A267" s="28"/>
      <c r="B267" s="180"/>
      <c r="C267" s="188"/>
      <c r="D267" s="161"/>
      <c r="E267" s="162"/>
      <c r="F267" s="162"/>
      <c r="G267" s="163"/>
      <c r="H267" s="285"/>
      <c r="I267" s="282"/>
      <c r="J267" s="16"/>
      <c r="K267" s="18">
        <f t="shared" si="29"/>
        <v>0</v>
      </c>
      <c r="L267" s="288">
        <v>0</v>
      </c>
      <c r="M267" s="291"/>
      <c r="N267" s="164"/>
      <c r="O267" s="164"/>
      <c r="P267" s="164"/>
      <c r="Q267" s="175">
        <f t="shared" si="28"/>
        <v>0</v>
      </c>
      <c r="R267" s="164"/>
      <c r="S267" s="197">
        <f t="shared" si="30"/>
        <v>0</v>
      </c>
      <c r="T267" s="201" t="str" cm="1">
        <f t="array" ref="T267">IFERROR(IF(F267="甲",IF(K267&gt;3500000,VLOOKUP(3500000,源泉DB!$B$261:$L$261,L267+3)+ROUNDDOWN((K267-3500000)*45.945%,0),IF(AND(K267&gt;2250000,K267&lt;3500000),VLOOKUP(2250000,源泉DB!$B$260:$K$260,L267+3)+ROUNDDOWN((K267-2250000)*40.84%,0),IF(AND(K267&gt;2210000,K267&lt;2250000),VLOOKUP(2210000,源泉DB!$B$259:$K$259,L267+3)+ROUNDDOWN((K267-2210000)*40.84%,0),IF(AND(K267&gt;2170000,K267&lt;2210000),VLOOKUP(2170000,源泉DB!$B$258:$K$258,L267+3)+ROUNDDOWN((K267-2170000)*40.84%,0),IF(AND(K267&gt;1700000,K267&lt;2170000),VLOOKUP(1700000,源泉DB!$B$257:$K$257,L267+3)+ROUNDDOWN((K267-1700000)*40.84%,0),IF(AND(K267&gt;950000,K267&lt;1700000),VLOOKUP(950000,源泉DB!$B$256:$K$256,L267+3)+ROUNDDOWN((K267-950000)*33.693%,0),IF(AND(K267&gt;780000,K267&lt;950000),VLOOKUP(780000,源泉DB!$B$255:$K$255,L267+3)+ROUNDDOWN((K267-780000)*23.483%,0),IF(AND(K267&gt;740000,K267&lt;780000),VLOOKUP(740000,源泉DB!$B$254:$K$254,L267+3)+ROUNDDOWN((K267-740000)*20.42%,0),VLOOKUP(K267,源泉DB!$B$8:$K$299,L267+3))))))))),IF(F267="乙",IF(K267&gt;1700000,651900+(K267-1700000) *45.945%,IF(K267=1700000,651900,IF(AND(K267&gt;740000,K267&lt;1700000),259800+(K267-740000)*40.84%,IF(K267=740000,259800,IF(K267&lt;88000,ROUNDDOWN(K267*3.063%,9),VLOOKUP(K267,源泉DB!$B$8:$L$254,11)))))),"")),"")</f>
        <v/>
      </c>
      <c r="U267" s="165"/>
      <c r="V267" s="166"/>
      <c r="W267" s="166"/>
      <c r="X267" s="166"/>
      <c r="Y267" s="166"/>
      <c r="Z267" s="178">
        <f>ROUND(IFERROR(IF(($G267="加入"),VLOOKUP($I267,年金DB!$G$16:$P$65,6,TRUE),0),0)-0.1,0)</f>
        <v>0</v>
      </c>
      <c r="AA267" s="178">
        <f>ROUND(IFERROR(IF(AND($G267="加入",$D267&gt;=40,$D267&lt;=64),VLOOKUP($I267,年金DB!$G$16:$P$65,10,TRUE),0),0)-0.1,0)</f>
        <v>0</v>
      </c>
      <c r="AB267" s="178">
        <f>ROUND(IFERROR(IF(AND($G267="加入",$D267&lt;40),VLOOKUP($J267,年金DB!$G$16:$X$62,14,TRUE),IF(AND($G267="加入",$D267&gt;=40),VLOOKUP($J267,年金DB!$G$16:$X$62,14,TRUE),"0")),0)-0.1,0)</f>
        <v>0</v>
      </c>
      <c r="AC267" s="178">
        <f t="shared" si="34"/>
        <v>0</v>
      </c>
      <c r="AD267" s="21">
        <f t="shared" si="31"/>
        <v>0</v>
      </c>
      <c r="AE267" s="173">
        <f t="shared" si="32"/>
        <v>0</v>
      </c>
      <c r="AF267" s="14" t="str">
        <f t="shared" si="33"/>
        <v/>
      </c>
      <c r="AG267" s="14"/>
      <c r="AH267" s="14"/>
    </row>
    <row r="268" spans="1:34">
      <c r="A268" s="28"/>
      <c r="B268" s="180"/>
      <c r="C268" s="188"/>
      <c r="D268" s="161"/>
      <c r="E268" s="162"/>
      <c r="F268" s="162"/>
      <c r="G268" s="163"/>
      <c r="H268" s="285"/>
      <c r="I268" s="282"/>
      <c r="J268" s="16"/>
      <c r="K268" s="18">
        <f t="shared" si="29"/>
        <v>0</v>
      </c>
      <c r="L268" s="288">
        <v>0</v>
      </c>
      <c r="M268" s="291"/>
      <c r="N268" s="164"/>
      <c r="O268" s="164"/>
      <c r="P268" s="164"/>
      <c r="Q268" s="175">
        <f t="shared" ref="Q268:Q282" si="35">SUM(M268:P268)</f>
        <v>0</v>
      </c>
      <c r="R268" s="164"/>
      <c r="S268" s="197">
        <f t="shared" si="30"/>
        <v>0</v>
      </c>
      <c r="T268" s="201" t="str" cm="1">
        <f t="array" ref="T268">IFERROR(IF(F268="甲",IF(K268&gt;3500000,VLOOKUP(3500000,源泉DB!$B$261:$L$261,L268+3)+ROUNDDOWN((K268-3500000)*45.945%,0),IF(AND(K268&gt;2250000,K268&lt;3500000),VLOOKUP(2250000,源泉DB!$B$260:$K$260,L268+3)+ROUNDDOWN((K268-2250000)*40.84%,0),IF(AND(K268&gt;2210000,K268&lt;2250000),VLOOKUP(2210000,源泉DB!$B$259:$K$259,L268+3)+ROUNDDOWN((K268-2210000)*40.84%,0),IF(AND(K268&gt;2170000,K268&lt;2210000),VLOOKUP(2170000,源泉DB!$B$258:$K$258,L268+3)+ROUNDDOWN((K268-2170000)*40.84%,0),IF(AND(K268&gt;1700000,K268&lt;2170000),VLOOKUP(1700000,源泉DB!$B$257:$K$257,L268+3)+ROUNDDOWN((K268-1700000)*40.84%,0),IF(AND(K268&gt;950000,K268&lt;1700000),VLOOKUP(950000,源泉DB!$B$256:$K$256,L268+3)+ROUNDDOWN((K268-950000)*33.693%,0),IF(AND(K268&gt;780000,K268&lt;950000),VLOOKUP(780000,源泉DB!$B$255:$K$255,L268+3)+ROUNDDOWN((K268-780000)*23.483%,0),IF(AND(K268&gt;740000,K268&lt;780000),VLOOKUP(740000,源泉DB!$B$254:$K$254,L268+3)+ROUNDDOWN((K268-740000)*20.42%,0),VLOOKUP(K268,源泉DB!$B$8:$K$299,L268+3))))))))),IF(F268="乙",IF(K268&gt;1700000,651900+(K268-1700000) *45.945%,IF(K268=1700000,651900,IF(AND(K268&gt;740000,K268&lt;1700000),259800+(K268-740000)*40.84%,IF(K268=740000,259800,IF(K268&lt;88000,ROUNDDOWN(K268*3.063%,9),VLOOKUP(K268,源泉DB!$B$8:$L$254,11)))))),"")),"")</f>
        <v/>
      </c>
      <c r="U268" s="165"/>
      <c r="V268" s="166"/>
      <c r="W268" s="166"/>
      <c r="X268" s="166"/>
      <c r="Y268" s="166"/>
      <c r="Z268" s="178">
        <f>ROUND(IFERROR(IF(($G268="加入"),VLOOKUP($I268,年金DB!$G$16:$P$65,6,TRUE),0),0)-0.1,0)</f>
        <v>0</v>
      </c>
      <c r="AA268" s="178">
        <f>ROUND(IFERROR(IF(AND($G268="加入",$D268&gt;=40,$D268&lt;=64),VLOOKUP($I268,年金DB!$G$16:$P$65,10,TRUE),0),0)-0.1,0)</f>
        <v>0</v>
      </c>
      <c r="AB268" s="178">
        <f>ROUND(IFERROR(IF(AND($G268="加入",$D268&lt;40),VLOOKUP($J268,年金DB!$G$16:$X$62,14,TRUE),IF(AND($G268="加入",$D268&gt;=40),VLOOKUP($J268,年金DB!$G$16:$X$62,14,TRUE),"0")),0)-0.1,0)</f>
        <v>0</v>
      </c>
      <c r="AC268" s="178">
        <f t="shared" si="34"/>
        <v>0</v>
      </c>
      <c r="AD268" s="21">
        <f t="shared" si="31"/>
        <v>0</v>
      </c>
      <c r="AE268" s="173">
        <f t="shared" si="32"/>
        <v>0</v>
      </c>
      <c r="AF268" s="14" t="str">
        <f t="shared" si="33"/>
        <v/>
      </c>
      <c r="AG268" s="14"/>
      <c r="AH268" s="14"/>
    </row>
    <row r="269" spans="1:34">
      <c r="A269" s="28"/>
      <c r="B269" s="180"/>
      <c r="C269" s="188"/>
      <c r="D269" s="161"/>
      <c r="E269" s="162"/>
      <c r="F269" s="162"/>
      <c r="G269" s="163"/>
      <c r="H269" s="285"/>
      <c r="I269" s="282"/>
      <c r="J269" s="16"/>
      <c r="K269" s="18">
        <f t="shared" si="29"/>
        <v>0</v>
      </c>
      <c r="L269" s="288">
        <v>0</v>
      </c>
      <c r="M269" s="291"/>
      <c r="N269" s="164"/>
      <c r="O269" s="164"/>
      <c r="P269" s="164"/>
      <c r="Q269" s="175">
        <f t="shared" si="35"/>
        <v>0</v>
      </c>
      <c r="R269" s="164"/>
      <c r="S269" s="197">
        <f t="shared" si="30"/>
        <v>0</v>
      </c>
      <c r="T269" s="201" t="str" cm="1">
        <f t="array" ref="T269">IFERROR(IF(F269="甲",IF(K269&gt;3500000,VLOOKUP(3500000,源泉DB!$B$261:$L$261,L269+3)+ROUNDDOWN((K269-3500000)*45.945%,0),IF(AND(K269&gt;2250000,K269&lt;3500000),VLOOKUP(2250000,源泉DB!$B$260:$K$260,L269+3)+ROUNDDOWN((K269-2250000)*40.84%,0),IF(AND(K269&gt;2210000,K269&lt;2250000),VLOOKUP(2210000,源泉DB!$B$259:$K$259,L269+3)+ROUNDDOWN((K269-2210000)*40.84%,0),IF(AND(K269&gt;2170000,K269&lt;2210000),VLOOKUP(2170000,源泉DB!$B$258:$K$258,L269+3)+ROUNDDOWN((K269-2170000)*40.84%,0),IF(AND(K269&gt;1700000,K269&lt;2170000),VLOOKUP(1700000,源泉DB!$B$257:$K$257,L269+3)+ROUNDDOWN((K269-1700000)*40.84%,0),IF(AND(K269&gt;950000,K269&lt;1700000),VLOOKUP(950000,源泉DB!$B$256:$K$256,L269+3)+ROUNDDOWN((K269-950000)*33.693%,0),IF(AND(K269&gt;780000,K269&lt;950000),VLOOKUP(780000,源泉DB!$B$255:$K$255,L269+3)+ROUNDDOWN((K269-780000)*23.483%,0),IF(AND(K269&gt;740000,K269&lt;780000),VLOOKUP(740000,源泉DB!$B$254:$K$254,L269+3)+ROUNDDOWN((K269-740000)*20.42%,0),VLOOKUP(K269,源泉DB!$B$8:$K$299,L269+3))))))))),IF(F269="乙",IF(K269&gt;1700000,651900+(K269-1700000) *45.945%,IF(K269=1700000,651900,IF(AND(K269&gt;740000,K269&lt;1700000),259800+(K269-740000)*40.84%,IF(K269=740000,259800,IF(K269&lt;88000,ROUNDDOWN(K269*3.063%,9),VLOOKUP(K269,源泉DB!$B$8:$L$254,11)))))),"")),"")</f>
        <v/>
      </c>
      <c r="U269" s="165"/>
      <c r="V269" s="166"/>
      <c r="W269" s="166"/>
      <c r="X269" s="166"/>
      <c r="Y269" s="166"/>
      <c r="Z269" s="178">
        <f>ROUND(IFERROR(IF(($G269="加入"),VLOOKUP($I269,年金DB!$G$16:$P$65,6,TRUE),0),0)-0.1,0)</f>
        <v>0</v>
      </c>
      <c r="AA269" s="178">
        <f>ROUND(IFERROR(IF(AND($G269="加入",$D269&gt;=40,$D269&lt;=64),VLOOKUP($I269,年金DB!$G$16:$P$65,10,TRUE),0),0)-0.1,0)</f>
        <v>0</v>
      </c>
      <c r="AB269" s="178">
        <f>ROUND(IFERROR(IF(AND($G269="加入",$D269&lt;40),VLOOKUP($J269,年金DB!$G$16:$X$62,14,TRUE),IF(AND($G269="加入",$D269&gt;=40),VLOOKUP($J269,年金DB!$G$16:$X$62,14,TRUE),"0")),0)-0.1,0)</f>
        <v>0</v>
      </c>
      <c r="AC269" s="178">
        <f t="shared" si="34"/>
        <v>0</v>
      </c>
      <c r="AD269" s="21">
        <f t="shared" si="31"/>
        <v>0</v>
      </c>
      <c r="AE269" s="173">
        <f t="shared" si="32"/>
        <v>0</v>
      </c>
      <c r="AF269" s="14" t="str">
        <f t="shared" si="33"/>
        <v/>
      </c>
      <c r="AG269" s="14"/>
      <c r="AH269" s="14"/>
    </row>
    <row r="270" spans="1:34">
      <c r="A270" s="28"/>
      <c r="B270" s="180"/>
      <c r="C270" s="188"/>
      <c r="D270" s="161"/>
      <c r="E270" s="162"/>
      <c r="F270" s="162"/>
      <c r="G270" s="163"/>
      <c r="H270" s="285"/>
      <c r="I270" s="282"/>
      <c r="J270" s="16"/>
      <c r="K270" s="18">
        <f t="shared" si="29"/>
        <v>0</v>
      </c>
      <c r="L270" s="288">
        <v>0</v>
      </c>
      <c r="M270" s="291"/>
      <c r="N270" s="164"/>
      <c r="O270" s="164"/>
      <c r="P270" s="164"/>
      <c r="Q270" s="175">
        <f t="shared" si="35"/>
        <v>0</v>
      </c>
      <c r="R270" s="164"/>
      <c r="S270" s="197">
        <f t="shared" si="30"/>
        <v>0</v>
      </c>
      <c r="T270" s="201" t="str" cm="1">
        <f t="array" ref="T270">IFERROR(IF(F270="甲",IF(K270&gt;3500000,VLOOKUP(3500000,源泉DB!$B$261:$L$261,L270+3)+ROUNDDOWN((K270-3500000)*45.945%,0),IF(AND(K270&gt;2250000,K270&lt;3500000),VLOOKUP(2250000,源泉DB!$B$260:$K$260,L270+3)+ROUNDDOWN((K270-2250000)*40.84%,0),IF(AND(K270&gt;2210000,K270&lt;2250000),VLOOKUP(2210000,源泉DB!$B$259:$K$259,L270+3)+ROUNDDOWN((K270-2210000)*40.84%,0),IF(AND(K270&gt;2170000,K270&lt;2210000),VLOOKUP(2170000,源泉DB!$B$258:$K$258,L270+3)+ROUNDDOWN((K270-2170000)*40.84%,0),IF(AND(K270&gt;1700000,K270&lt;2170000),VLOOKUP(1700000,源泉DB!$B$257:$K$257,L270+3)+ROUNDDOWN((K270-1700000)*40.84%,0),IF(AND(K270&gt;950000,K270&lt;1700000),VLOOKUP(950000,源泉DB!$B$256:$K$256,L270+3)+ROUNDDOWN((K270-950000)*33.693%,0),IF(AND(K270&gt;780000,K270&lt;950000),VLOOKUP(780000,源泉DB!$B$255:$K$255,L270+3)+ROUNDDOWN((K270-780000)*23.483%,0),IF(AND(K270&gt;740000,K270&lt;780000),VLOOKUP(740000,源泉DB!$B$254:$K$254,L270+3)+ROUNDDOWN((K270-740000)*20.42%,0),VLOOKUP(K270,源泉DB!$B$8:$K$299,L270+3))))))))),IF(F270="乙",IF(K270&gt;1700000,651900+(K270-1700000) *45.945%,IF(K270=1700000,651900,IF(AND(K270&gt;740000,K270&lt;1700000),259800+(K270-740000)*40.84%,IF(K270=740000,259800,IF(K270&lt;88000,ROUNDDOWN(K270*3.063%,9),VLOOKUP(K270,源泉DB!$B$8:$L$254,11)))))),"")),"")</f>
        <v/>
      </c>
      <c r="U270" s="165"/>
      <c r="V270" s="166"/>
      <c r="W270" s="166"/>
      <c r="X270" s="166"/>
      <c r="Y270" s="166"/>
      <c r="Z270" s="178">
        <f>ROUND(IFERROR(IF(($G270="加入"),VLOOKUP($I270,年金DB!$G$16:$P$65,6,TRUE),0),0)-0.1,0)</f>
        <v>0</v>
      </c>
      <c r="AA270" s="178">
        <f>ROUND(IFERROR(IF(AND($G270="加入",$D270&gt;=40,$D270&lt;=64),VLOOKUP($I270,年金DB!$G$16:$P$65,10,TRUE),0),0)-0.1,0)</f>
        <v>0</v>
      </c>
      <c r="AB270" s="178">
        <f>ROUND(IFERROR(IF(AND($G270="加入",$D270&lt;40),VLOOKUP($J270,年金DB!$G$16:$X$62,14,TRUE),IF(AND($G270="加入",$D270&gt;=40),VLOOKUP($J270,年金DB!$G$16:$X$62,14,TRUE),"0")),0)-0.1,0)</f>
        <v>0</v>
      </c>
      <c r="AC270" s="178">
        <f t="shared" si="34"/>
        <v>0</v>
      </c>
      <c r="AD270" s="21">
        <f t="shared" si="31"/>
        <v>0</v>
      </c>
      <c r="AE270" s="173">
        <f t="shared" si="32"/>
        <v>0</v>
      </c>
      <c r="AF270" s="14" t="str">
        <f t="shared" si="33"/>
        <v/>
      </c>
      <c r="AG270" s="14"/>
      <c r="AH270" s="14"/>
    </row>
    <row r="271" spans="1:34">
      <c r="A271" s="28"/>
      <c r="B271" s="180"/>
      <c r="C271" s="188"/>
      <c r="D271" s="161"/>
      <c r="E271" s="162"/>
      <c r="F271" s="162"/>
      <c r="G271" s="163"/>
      <c r="H271" s="285"/>
      <c r="I271" s="282"/>
      <c r="J271" s="16"/>
      <c r="K271" s="18">
        <f t="shared" si="29"/>
        <v>0</v>
      </c>
      <c r="L271" s="288">
        <v>0</v>
      </c>
      <c r="M271" s="291"/>
      <c r="N271" s="164"/>
      <c r="O271" s="164"/>
      <c r="P271" s="164"/>
      <c r="Q271" s="175">
        <f t="shared" si="35"/>
        <v>0</v>
      </c>
      <c r="R271" s="164"/>
      <c r="S271" s="197">
        <f t="shared" si="30"/>
        <v>0</v>
      </c>
      <c r="T271" s="201" t="str" cm="1">
        <f t="array" ref="T271">IFERROR(IF(F271="甲",IF(K271&gt;3500000,VLOOKUP(3500000,源泉DB!$B$261:$L$261,L271+3)+ROUNDDOWN((K271-3500000)*45.945%,0),IF(AND(K271&gt;2250000,K271&lt;3500000),VLOOKUP(2250000,源泉DB!$B$260:$K$260,L271+3)+ROUNDDOWN((K271-2250000)*40.84%,0),IF(AND(K271&gt;2210000,K271&lt;2250000),VLOOKUP(2210000,源泉DB!$B$259:$K$259,L271+3)+ROUNDDOWN((K271-2210000)*40.84%,0),IF(AND(K271&gt;2170000,K271&lt;2210000),VLOOKUP(2170000,源泉DB!$B$258:$K$258,L271+3)+ROUNDDOWN((K271-2170000)*40.84%,0),IF(AND(K271&gt;1700000,K271&lt;2170000),VLOOKUP(1700000,源泉DB!$B$257:$K$257,L271+3)+ROUNDDOWN((K271-1700000)*40.84%,0),IF(AND(K271&gt;950000,K271&lt;1700000),VLOOKUP(950000,源泉DB!$B$256:$K$256,L271+3)+ROUNDDOWN((K271-950000)*33.693%,0),IF(AND(K271&gt;780000,K271&lt;950000),VLOOKUP(780000,源泉DB!$B$255:$K$255,L271+3)+ROUNDDOWN((K271-780000)*23.483%,0),IF(AND(K271&gt;740000,K271&lt;780000),VLOOKUP(740000,源泉DB!$B$254:$K$254,L271+3)+ROUNDDOWN((K271-740000)*20.42%,0),VLOOKUP(K271,源泉DB!$B$8:$K$299,L271+3))))))))),IF(F271="乙",IF(K271&gt;1700000,651900+(K271-1700000) *45.945%,IF(K271=1700000,651900,IF(AND(K271&gt;740000,K271&lt;1700000),259800+(K271-740000)*40.84%,IF(K271=740000,259800,IF(K271&lt;88000,ROUNDDOWN(K271*3.063%,9),VLOOKUP(K271,源泉DB!$B$8:$L$254,11)))))),"")),"")</f>
        <v/>
      </c>
      <c r="U271" s="165"/>
      <c r="V271" s="166"/>
      <c r="W271" s="166"/>
      <c r="X271" s="166"/>
      <c r="Y271" s="166"/>
      <c r="Z271" s="178">
        <f>ROUND(IFERROR(IF(($G271="加入"),VLOOKUP($I271,年金DB!$G$16:$P$65,6,TRUE),0),0)-0.1,0)</f>
        <v>0</v>
      </c>
      <c r="AA271" s="178">
        <f>ROUND(IFERROR(IF(AND($G271="加入",$D271&gt;=40,$D271&lt;=64),VLOOKUP($I271,年金DB!$G$16:$P$65,10,TRUE),0),0)-0.1,0)</f>
        <v>0</v>
      </c>
      <c r="AB271" s="178">
        <f>ROUND(IFERROR(IF(AND($G271="加入",$D271&lt;40),VLOOKUP($J271,年金DB!$G$16:$X$62,14,TRUE),IF(AND($G271="加入",$D271&gt;=40),VLOOKUP($J271,年金DB!$G$16:$X$62,14,TRUE),"0")),0)-0.1,0)</f>
        <v>0</v>
      </c>
      <c r="AC271" s="178">
        <f t="shared" si="34"/>
        <v>0</v>
      </c>
      <c r="AD271" s="21">
        <f t="shared" si="31"/>
        <v>0</v>
      </c>
      <c r="AE271" s="173">
        <f t="shared" si="32"/>
        <v>0</v>
      </c>
      <c r="AF271" s="14" t="str">
        <f t="shared" si="33"/>
        <v/>
      </c>
      <c r="AG271" s="14"/>
      <c r="AH271" s="14"/>
    </row>
    <row r="272" spans="1:34">
      <c r="A272" s="28"/>
      <c r="B272" s="180"/>
      <c r="C272" s="188"/>
      <c r="D272" s="161"/>
      <c r="E272" s="162"/>
      <c r="F272" s="162"/>
      <c r="G272" s="163"/>
      <c r="H272" s="285"/>
      <c r="I272" s="282"/>
      <c r="J272" s="16"/>
      <c r="K272" s="18">
        <f t="shared" si="29"/>
        <v>0</v>
      </c>
      <c r="L272" s="288">
        <v>0</v>
      </c>
      <c r="M272" s="291"/>
      <c r="N272" s="164"/>
      <c r="O272" s="164"/>
      <c r="P272" s="164"/>
      <c r="Q272" s="175">
        <f t="shared" si="35"/>
        <v>0</v>
      </c>
      <c r="R272" s="164"/>
      <c r="S272" s="197">
        <f t="shared" si="30"/>
        <v>0</v>
      </c>
      <c r="T272" s="201" t="str" cm="1">
        <f t="array" ref="T272">IFERROR(IF(F272="甲",IF(K272&gt;3500000,VLOOKUP(3500000,源泉DB!$B$261:$L$261,L272+3)+ROUNDDOWN((K272-3500000)*45.945%,0),IF(AND(K272&gt;2250000,K272&lt;3500000),VLOOKUP(2250000,源泉DB!$B$260:$K$260,L272+3)+ROUNDDOWN((K272-2250000)*40.84%,0),IF(AND(K272&gt;2210000,K272&lt;2250000),VLOOKUP(2210000,源泉DB!$B$259:$K$259,L272+3)+ROUNDDOWN((K272-2210000)*40.84%,0),IF(AND(K272&gt;2170000,K272&lt;2210000),VLOOKUP(2170000,源泉DB!$B$258:$K$258,L272+3)+ROUNDDOWN((K272-2170000)*40.84%,0),IF(AND(K272&gt;1700000,K272&lt;2170000),VLOOKUP(1700000,源泉DB!$B$257:$K$257,L272+3)+ROUNDDOWN((K272-1700000)*40.84%,0),IF(AND(K272&gt;950000,K272&lt;1700000),VLOOKUP(950000,源泉DB!$B$256:$K$256,L272+3)+ROUNDDOWN((K272-950000)*33.693%,0),IF(AND(K272&gt;780000,K272&lt;950000),VLOOKUP(780000,源泉DB!$B$255:$K$255,L272+3)+ROUNDDOWN((K272-780000)*23.483%,0),IF(AND(K272&gt;740000,K272&lt;780000),VLOOKUP(740000,源泉DB!$B$254:$K$254,L272+3)+ROUNDDOWN((K272-740000)*20.42%,0),VLOOKUP(K272,源泉DB!$B$8:$K$299,L272+3))))))))),IF(F272="乙",IF(K272&gt;1700000,651900+(K272-1700000) *45.945%,IF(K272=1700000,651900,IF(AND(K272&gt;740000,K272&lt;1700000),259800+(K272-740000)*40.84%,IF(K272=740000,259800,IF(K272&lt;88000,ROUNDDOWN(K272*3.063%,9),VLOOKUP(K272,源泉DB!$B$8:$L$254,11)))))),"")),"")</f>
        <v/>
      </c>
      <c r="U272" s="165"/>
      <c r="V272" s="166"/>
      <c r="W272" s="166"/>
      <c r="X272" s="166"/>
      <c r="Y272" s="166"/>
      <c r="Z272" s="178">
        <f>ROUND(IFERROR(IF(($G272="加入"),VLOOKUP($I272,年金DB!$G$16:$P$65,6,TRUE),0),0)-0.1,0)</f>
        <v>0</v>
      </c>
      <c r="AA272" s="178">
        <f>ROUND(IFERROR(IF(AND($G272="加入",$D272&gt;=40,$D272&lt;=64),VLOOKUP($I272,年金DB!$G$16:$P$65,10,TRUE),0),0)-0.1,0)</f>
        <v>0</v>
      </c>
      <c r="AB272" s="178">
        <f>ROUND(IFERROR(IF(AND($G272="加入",$D272&lt;40),VLOOKUP($J272,年金DB!$G$16:$X$62,14,TRUE),IF(AND($G272="加入",$D272&gt;=40),VLOOKUP($J272,年金DB!$G$16:$X$62,14,TRUE),"0")),0)-0.1,0)</f>
        <v>0</v>
      </c>
      <c r="AC272" s="178">
        <f t="shared" si="34"/>
        <v>0</v>
      </c>
      <c r="AD272" s="21">
        <f t="shared" si="31"/>
        <v>0</v>
      </c>
      <c r="AE272" s="173">
        <f t="shared" si="32"/>
        <v>0</v>
      </c>
      <c r="AF272" s="14" t="str">
        <f t="shared" si="33"/>
        <v/>
      </c>
      <c r="AG272" s="14"/>
      <c r="AH272" s="14"/>
    </row>
    <row r="273" spans="1:34">
      <c r="A273" s="28"/>
      <c r="B273" s="180"/>
      <c r="C273" s="188"/>
      <c r="D273" s="161"/>
      <c r="E273" s="162"/>
      <c r="F273" s="162"/>
      <c r="G273" s="163"/>
      <c r="H273" s="285"/>
      <c r="I273" s="282"/>
      <c r="J273" s="16"/>
      <c r="K273" s="18">
        <f t="shared" si="29"/>
        <v>0</v>
      </c>
      <c r="L273" s="288">
        <v>0</v>
      </c>
      <c r="M273" s="291"/>
      <c r="N273" s="164"/>
      <c r="O273" s="164"/>
      <c r="P273" s="164"/>
      <c r="Q273" s="175">
        <f t="shared" si="35"/>
        <v>0</v>
      </c>
      <c r="R273" s="164"/>
      <c r="S273" s="197">
        <f t="shared" si="30"/>
        <v>0</v>
      </c>
      <c r="T273" s="201" t="str" cm="1">
        <f t="array" ref="T273">IFERROR(IF(F273="甲",IF(K273&gt;3500000,VLOOKUP(3500000,源泉DB!$B$261:$L$261,L273+3)+ROUNDDOWN((K273-3500000)*45.945%,0),IF(AND(K273&gt;2250000,K273&lt;3500000),VLOOKUP(2250000,源泉DB!$B$260:$K$260,L273+3)+ROUNDDOWN((K273-2250000)*40.84%,0),IF(AND(K273&gt;2210000,K273&lt;2250000),VLOOKUP(2210000,源泉DB!$B$259:$K$259,L273+3)+ROUNDDOWN((K273-2210000)*40.84%,0),IF(AND(K273&gt;2170000,K273&lt;2210000),VLOOKUP(2170000,源泉DB!$B$258:$K$258,L273+3)+ROUNDDOWN((K273-2170000)*40.84%,0),IF(AND(K273&gt;1700000,K273&lt;2170000),VLOOKUP(1700000,源泉DB!$B$257:$K$257,L273+3)+ROUNDDOWN((K273-1700000)*40.84%,0),IF(AND(K273&gt;950000,K273&lt;1700000),VLOOKUP(950000,源泉DB!$B$256:$K$256,L273+3)+ROUNDDOWN((K273-950000)*33.693%,0),IF(AND(K273&gt;780000,K273&lt;950000),VLOOKUP(780000,源泉DB!$B$255:$K$255,L273+3)+ROUNDDOWN((K273-780000)*23.483%,0),IF(AND(K273&gt;740000,K273&lt;780000),VLOOKUP(740000,源泉DB!$B$254:$K$254,L273+3)+ROUNDDOWN((K273-740000)*20.42%,0),VLOOKUP(K273,源泉DB!$B$8:$K$299,L273+3))))))))),IF(F273="乙",IF(K273&gt;1700000,651900+(K273-1700000) *45.945%,IF(K273=1700000,651900,IF(AND(K273&gt;740000,K273&lt;1700000),259800+(K273-740000)*40.84%,IF(K273=740000,259800,IF(K273&lt;88000,ROUNDDOWN(K273*3.063%,9),VLOOKUP(K273,源泉DB!$B$8:$L$254,11)))))),"")),"")</f>
        <v/>
      </c>
      <c r="U273" s="165"/>
      <c r="V273" s="166"/>
      <c r="W273" s="166"/>
      <c r="X273" s="166"/>
      <c r="Y273" s="166"/>
      <c r="Z273" s="178">
        <f>ROUND(IFERROR(IF(($G273="加入"),VLOOKUP($I273,年金DB!$G$16:$P$65,6,TRUE),0),0)-0.1,0)</f>
        <v>0</v>
      </c>
      <c r="AA273" s="178">
        <f>ROUND(IFERROR(IF(AND($G273="加入",$D273&gt;=40,$D273&lt;=64),VLOOKUP($I273,年金DB!$G$16:$P$65,10,TRUE),0),0)-0.1,0)</f>
        <v>0</v>
      </c>
      <c r="AB273" s="178">
        <f>ROUND(IFERROR(IF(AND($G273="加入",$D273&lt;40),VLOOKUP($J273,年金DB!$G$16:$X$62,14,TRUE),IF(AND($G273="加入",$D273&gt;=40),VLOOKUP($J273,年金DB!$G$16:$X$62,14,TRUE),"0")),0)-0.1,0)</f>
        <v>0</v>
      </c>
      <c r="AC273" s="178">
        <f t="shared" si="34"/>
        <v>0</v>
      </c>
      <c r="AD273" s="21">
        <f t="shared" si="31"/>
        <v>0</v>
      </c>
      <c r="AE273" s="173">
        <f t="shared" si="32"/>
        <v>0</v>
      </c>
      <c r="AF273" s="14" t="str">
        <f t="shared" si="33"/>
        <v/>
      </c>
      <c r="AG273" s="14"/>
      <c r="AH273" s="14"/>
    </row>
    <row r="274" spans="1:34">
      <c r="A274" s="28"/>
      <c r="B274" s="180"/>
      <c r="C274" s="188"/>
      <c r="D274" s="161"/>
      <c r="E274" s="162"/>
      <c r="F274" s="162"/>
      <c r="G274" s="163"/>
      <c r="H274" s="285"/>
      <c r="I274" s="282"/>
      <c r="J274" s="16"/>
      <c r="K274" s="18">
        <f t="shared" si="29"/>
        <v>0</v>
      </c>
      <c r="L274" s="288">
        <v>0</v>
      </c>
      <c r="M274" s="291"/>
      <c r="N274" s="164"/>
      <c r="O274" s="164"/>
      <c r="P274" s="164"/>
      <c r="Q274" s="175">
        <f t="shared" si="35"/>
        <v>0</v>
      </c>
      <c r="R274" s="164"/>
      <c r="S274" s="197">
        <f t="shared" si="30"/>
        <v>0</v>
      </c>
      <c r="T274" s="201" t="str" cm="1">
        <f t="array" ref="T274">IFERROR(IF(F274="甲",IF(K274&gt;3500000,VLOOKUP(3500000,源泉DB!$B$261:$L$261,L274+3)+ROUNDDOWN((K274-3500000)*45.945%,0),IF(AND(K274&gt;2250000,K274&lt;3500000),VLOOKUP(2250000,源泉DB!$B$260:$K$260,L274+3)+ROUNDDOWN((K274-2250000)*40.84%,0),IF(AND(K274&gt;2210000,K274&lt;2250000),VLOOKUP(2210000,源泉DB!$B$259:$K$259,L274+3)+ROUNDDOWN((K274-2210000)*40.84%,0),IF(AND(K274&gt;2170000,K274&lt;2210000),VLOOKUP(2170000,源泉DB!$B$258:$K$258,L274+3)+ROUNDDOWN((K274-2170000)*40.84%,0),IF(AND(K274&gt;1700000,K274&lt;2170000),VLOOKUP(1700000,源泉DB!$B$257:$K$257,L274+3)+ROUNDDOWN((K274-1700000)*40.84%,0),IF(AND(K274&gt;950000,K274&lt;1700000),VLOOKUP(950000,源泉DB!$B$256:$K$256,L274+3)+ROUNDDOWN((K274-950000)*33.693%,0),IF(AND(K274&gt;780000,K274&lt;950000),VLOOKUP(780000,源泉DB!$B$255:$K$255,L274+3)+ROUNDDOWN((K274-780000)*23.483%,0),IF(AND(K274&gt;740000,K274&lt;780000),VLOOKUP(740000,源泉DB!$B$254:$K$254,L274+3)+ROUNDDOWN((K274-740000)*20.42%,0),VLOOKUP(K274,源泉DB!$B$8:$K$299,L274+3))))))))),IF(F274="乙",IF(K274&gt;1700000,651900+(K274-1700000) *45.945%,IF(K274=1700000,651900,IF(AND(K274&gt;740000,K274&lt;1700000),259800+(K274-740000)*40.84%,IF(K274=740000,259800,IF(K274&lt;88000,ROUNDDOWN(K274*3.063%,9),VLOOKUP(K274,源泉DB!$B$8:$L$254,11)))))),"")),"")</f>
        <v/>
      </c>
      <c r="U274" s="165"/>
      <c r="V274" s="166"/>
      <c r="W274" s="166"/>
      <c r="X274" s="166"/>
      <c r="Y274" s="166"/>
      <c r="Z274" s="178">
        <f>ROUND(IFERROR(IF(($G274="加入"),VLOOKUP($I274,年金DB!$G$16:$P$65,6,TRUE),0),0)-0.1,0)</f>
        <v>0</v>
      </c>
      <c r="AA274" s="178">
        <f>ROUND(IFERROR(IF(AND($G274="加入",$D274&gt;=40,$D274&lt;=64),VLOOKUP($I274,年金DB!$G$16:$P$65,10,TRUE),0),0)-0.1,0)</f>
        <v>0</v>
      </c>
      <c r="AB274" s="178">
        <f>ROUND(IFERROR(IF(AND($G274="加入",$D274&lt;40),VLOOKUP($J274,年金DB!$G$16:$X$62,14,TRUE),IF(AND($G274="加入",$D274&gt;=40),VLOOKUP($J274,年金DB!$G$16:$X$62,14,TRUE),"0")),0)-0.1,0)</f>
        <v>0</v>
      </c>
      <c r="AC274" s="178">
        <f t="shared" si="34"/>
        <v>0</v>
      </c>
      <c r="AD274" s="21">
        <f t="shared" si="31"/>
        <v>0</v>
      </c>
      <c r="AE274" s="173">
        <f t="shared" si="32"/>
        <v>0</v>
      </c>
      <c r="AF274" s="14" t="str">
        <f t="shared" si="33"/>
        <v/>
      </c>
      <c r="AG274" s="14"/>
      <c r="AH274" s="14"/>
    </row>
    <row r="275" spans="1:34">
      <c r="A275" s="28"/>
      <c r="B275" s="180"/>
      <c r="C275" s="188"/>
      <c r="D275" s="161"/>
      <c r="E275" s="162"/>
      <c r="F275" s="162"/>
      <c r="G275" s="163"/>
      <c r="H275" s="285"/>
      <c r="I275" s="282"/>
      <c r="J275" s="16"/>
      <c r="K275" s="18">
        <f t="shared" si="29"/>
        <v>0</v>
      </c>
      <c r="L275" s="288">
        <v>0</v>
      </c>
      <c r="M275" s="291"/>
      <c r="N275" s="164"/>
      <c r="O275" s="164"/>
      <c r="P275" s="164"/>
      <c r="Q275" s="175">
        <f t="shared" si="35"/>
        <v>0</v>
      </c>
      <c r="R275" s="164"/>
      <c r="S275" s="197">
        <f t="shared" si="30"/>
        <v>0</v>
      </c>
      <c r="T275" s="201" t="str" cm="1">
        <f t="array" ref="T275">IFERROR(IF(F275="甲",IF(K275&gt;3500000,VLOOKUP(3500000,源泉DB!$B$261:$L$261,L275+3)+ROUNDDOWN((K275-3500000)*45.945%,0),IF(AND(K275&gt;2250000,K275&lt;3500000),VLOOKUP(2250000,源泉DB!$B$260:$K$260,L275+3)+ROUNDDOWN((K275-2250000)*40.84%,0),IF(AND(K275&gt;2210000,K275&lt;2250000),VLOOKUP(2210000,源泉DB!$B$259:$K$259,L275+3)+ROUNDDOWN((K275-2210000)*40.84%,0),IF(AND(K275&gt;2170000,K275&lt;2210000),VLOOKUP(2170000,源泉DB!$B$258:$K$258,L275+3)+ROUNDDOWN((K275-2170000)*40.84%,0),IF(AND(K275&gt;1700000,K275&lt;2170000),VLOOKUP(1700000,源泉DB!$B$257:$K$257,L275+3)+ROUNDDOWN((K275-1700000)*40.84%,0),IF(AND(K275&gt;950000,K275&lt;1700000),VLOOKUP(950000,源泉DB!$B$256:$K$256,L275+3)+ROUNDDOWN((K275-950000)*33.693%,0),IF(AND(K275&gt;780000,K275&lt;950000),VLOOKUP(780000,源泉DB!$B$255:$K$255,L275+3)+ROUNDDOWN((K275-780000)*23.483%,0),IF(AND(K275&gt;740000,K275&lt;780000),VLOOKUP(740000,源泉DB!$B$254:$K$254,L275+3)+ROUNDDOWN((K275-740000)*20.42%,0),VLOOKUP(K275,源泉DB!$B$8:$K$299,L275+3))))))))),IF(F275="乙",IF(K275&gt;1700000,651900+(K275-1700000) *45.945%,IF(K275=1700000,651900,IF(AND(K275&gt;740000,K275&lt;1700000),259800+(K275-740000)*40.84%,IF(K275=740000,259800,IF(K275&lt;88000,ROUNDDOWN(K275*3.063%,9),VLOOKUP(K275,源泉DB!$B$8:$L$254,11)))))),"")),"")</f>
        <v/>
      </c>
      <c r="U275" s="165"/>
      <c r="V275" s="166"/>
      <c r="W275" s="166"/>
      <c r="X275" s="166"/>
      <c r="Y275" s="166"/>
      <c r="Z275" s="178">
        <f>ROUND(IFERROR(IF(($G275="加入"),VLOOKUP($I275,年金DB!$G$16:$P$65,6,TRUE),0),0)-0.1,0)</f>
        <v>0</v>
      </c>
      <c r="AA275" s="178">
        <f>ROUND(IFERROR(IF(AND($G275="加入",$D275&gt;=40,$D275&lt;=64),VLOOKUP($I275,年金DB!$G$16:$P$65,10,TRUE),0),0)-0.1,0)</f>
        <v>0</v>
      </c>
      <c r="AB275" s="178">
        <f>ROUND(IFERROR(IF(AND($G275="加入",$D275&lt;40),VLOOKUP($J275,年金DB!$G$16:$X$62,14,TRUE),IF(AND($G275="加入",$D275&gt;=40),VLOOKUP($J275,年金DB!$G$16:$X$62,14,TRUE),"0")),0)-0.1,0)</f>
        <v>0</v>
      </c>
      <c r="AC275" s="178">
        <f t="shared" si="34"/>
        <v>0</v>
      </c>
      <c r="AD275" s="21">
        <f t="shared" si="31"/>
        <v>0</v>
      </c>
      <c r="AE275" s="173">
        <f t="shared" si="32"/>
        <v>0</v>
      </c>
      <c r="AF275" s="14" t="str">
        <f t="shared" si="33"/>
        <v/>
      </c>
      <c r="AG275" s="14"/>
      <c r="AH275" s="14"/>
    </row>
    <row r="276" spans="1:34">
      <c r="A276" s="28"/>
      <c r="B276" s="180"/>
      <c r="C276" s="188"/>
      <c r="D276" s="161"/>
      <c r="E276" s="162"/>
      <c r="F276" s="162"/>
      <c r="G276" s="163"/>
      <c r="H276" s="285"/>
      <c r="I276" s="282"/>
      <c r="J276" s="16"/>
      <c r="K276" s="18">
        <f t="shared" si="29"/>
        <v>0</v>
      </c>
      <c r="L276" s="288">
        <v>0</v>
      </c>
      <c r="M276" s="291"/>
      <c r="N276" s="164"/>
      <c r="O276" s="164"/>
      <c r="P276" s="164"/>
      <c r="Q276" s="175">
        <f t="shared" si="35"/>
        <v>0</v>
      </c>
      <c r="R276" s="164"/>
      <c r="S276" s="197">
        <f t="shared" si="30"/>
        <v>0</v>
      </c>
      <c r="T276" s="201" t="str" cm="1">
        <f t="array" ref="T276">IFERROR(IF(F276="甲",IF(K276&gt;3500000,VLOOKUP(3500000,源泉DB!$B$261:$L$261,L276+3)+ROUNDDOWN((K276-3500000)*45.945%,0),IF(AND(K276&gt;2250000,K276&lt;3500000),VLOOKUP(2250000,源泉DB!$B$260:$K$260,L276+3)+ROUNDDOWN((K276-2250000)*40.84%,0),IF(AND(K276&gt;2210000,K276&lt;2250000),VLOOKUP(2210000,源泉DB!$B$259:$K$259,L276+3)+ROUNDDOWN((K276-2210000)*40.84%,0),IF(AND(K276&gt;2170000,K276&lt;2210000),VLOOKUP(2170000,源泉DB!$B$258:$K$258,L276+3)+ROUNDDOWN((K276-2170000)*40.84%,0),IF(AND(K276&gt;1700000,K276&lt;2170000),VLOOKUP(1700000,源泉DB!$B$257:$K$257,L276+3)+ROUNDDOWN((K276-1700000)*40.84%,0),IF(AND(K276&gt;950000,K276&lt;1700000),VLOOKUP(950000,源泉DB!$B$256:$K$256,L276+3)+ROUNDDOWN((K276-950000)*33.693%,0),IF(AND(K276&gt;780000,K276&lt;950000),VLOOKUP(780000,源泉DB!$B$255:$K$255,L276+3)+ROUNDDOWN((K276-780000)*23.483%,0),IF(AND(K276&gt;740000,K276&lt;780000),VLOOKUP(740000,源泉DB!$B$254:$K$254,L276+3)+ROUNDDOWN((K276-740000)*20.42%,0),VLOOKUP(K276,源泉DB!$B$8:$K$299,L276+3))))))))),IF(F276="乙",IF(K276&gt;1700000,651900+(K276-1700000) *45.945%,IF(K276=1700000,651900,IF(AND(K276&gt;740000,K276&lt;1700000),259800+(K276-740000)*40.84%,IF(K276=740000,259800,IF(K276&lt;88000,ROUNDDOWN(K276*3.063%,9),VLOOKUP(K276,源泉DB!$B$8:$L$254,11)))))),"")),"")</f>
        <v/>
      </c>
      <c r="U276" s="165"/>
      <c r="V276" s="166"/>
      <c r="W276" s="166"/>
      <c r="X276" s="166"/>
      <c r="Y276" s="166"/>
      <c r="Z276" s="178">
        <f>ROUND(IFERROR(IF(($G276="加入"),VLOOKUP($I276,年金DB!$G$16:$P$65,6,TRUE),0),0)-0.1,0)</f>
        <v>0</v>
      </c>
      <c r="AA276" s="178">
        <f>ROUND(IFERROR(IF(AND($G276="加入",$D276&gt;=40,$D276&lt;=64),VLOOKUP($I276,年金DB!$G$16:$P$65,10,TRUE),0),0)-0.1,0)</f>
        <v>0</v>
      </c>
      <c r="AB276" s="178">
        <f>ROUND(IFERROR(IF(AND($G276="加入",$D276&lt;40),VLOOKUP($J276,年金DB!$G$16:$X$62,14,TRUE),IF(AND($G276="加入",$D276&gt;=40),VLOOKUP($J276,年金DB!$G$16:$X$62,14,TRUE),"0")),0)-0.1,0)</f>
        <v>0</v>
      </c>
      <c r="AC276" s="178">
        <f t="shared" si="34"/>
        <v>0</v>
      </c>
      <c r="AD276" s="21">
        <f t="shared" si="31"/>
        <v>0</v>
      </c>
      <c r="AE276" s="173">
        <f t="shared" si="32"/>
        <v>0</v>
      </c>
      <c r="AF276" s="14" t="str">
        <f t="shared" si="33"/>
        <v/>
      </c>
      <c r="AG276" s="14"/>
      <c r="AH276" s="14"/>
    </row>
    <row r="277" spans="1:34">
      <c r="A277" s="28"/>
      <c r="B277" s="180"/>
      <c r="C277" s="188"/>
      <c r="D277" s="161"/>
      <c r="E277" s="162"/>
      <c r="F277" s="162"/>
      <c r="G277" s="163"/>
      <c r="H277" s="285"/>
      <c r="I277" s="282"/>
      <c r="J277" s="16"/>
      <c r="K277" s="18">
        <f t="shared" si="29"/>
        <v>0</v>
      </c>
      <c r="L277" s="288">
        <v>0</v>
      </c>
      <c r="M277" s="291"/>
      <c r="N277" s="164"/>
      <c r="O277" s="164"/>
      <c r="P277" s="164"/>
      <c r="Q277" s="175">
        <f t="shared" si="35"/>
        <v>0</v>
      </c>
      <c r="R277" s="164"/>
      <c r="S277" s="197">
        <f t="shared" si="30"/>
        <v>0</v>
      </c>
      <c r="T277" s="201" t="str" cm="1">
        <f t="array" ref="T277">IFERROR(IF(F277="甲",IF(K277&gt;3500000,VLOOKUP(3500000,源泉DB!$B$261:$L$261,L277+3)+ROUNDDOWN((K277-3500000)*45.945%,0),IF(AND(K277&gt;2250000,K277&lt;3500000),VLOOKUP(2250000,源泉DB!$B$260:$K$260,L277+3)+ROUNDDOWN((K277-2250000)*40.84%,0),IF(AND(K277&gt;2210000,K277&lt;2250000),VLOOKUP(2210000,源泉DB!$B$259:$K$259,L277+3)+ROUNDDOWN((K277-2210000)*40.84%,0),IF(AND(K277&gt;2170000,K277&lt;2210000),VLOOKUP(2170000,源泉DB!$B$258:$K$258,L277+3)+ROUNDDOWN((K277-2170000)*40.84%,0),IF(AND(K277&gt;1700000,K277&lt;2170000),VLOOKUP(1700000,源泉DB!$B$257:$K$257,L277+3)+ROUNDDOWN((K277-1700000)*40.84%,0),IF(AND(K277&gt;950000,K277&lt;1700000),VLOOKUP(950000,源泉DB!$B$256:$K$256,L277+3)+ROUNDDOWN((K277-950000)*33.693%,0),IF(AND(K277&gt;780000,K277&lt;950000),VLOOKUP(780000,源泉DB!$B$255:$K$255,L277+3)+ROUNDDOWN((K277-780000)*23.483%,0),IF(AND(K277&gt;740000,K277&lt;780000),VLOOKUP(740000,源泉DB!$B$254:$K$254,L277+3)+ROUNDDOWN((K277-740000)*20.42%,0),VLOOKUP(K277,源泉DB!$B$8:$K$299,L277+3))))))))),IF(F277="乙",IF(K277&gt;1700000,651900+(K277-1700000) *45.945%,IF(K277=1700000,651900,IF(AND(K277&gt;740000,K277&lt;1700000),259800+(K277-740000)*40.84%,IF(K277=740000,259800,IF(K277&lt;88000,ROUNDDOWN(K277*3.063%,9),VLOOKUP(K277,源泉DB!$B$8:$L$254,11)))))),"")),"")</f>
        <v/>
      </c>
      <c r="U277" s="165"/>
      <c r="V277" s="166"/>
      <c r="W277" s="166"/>
      <c r="X277" s="166"/>
      <c r="Y277" s="166"/>
      <c r="Z277" s="178">
        <f>ROUND(IFERROR(IF(($G277="加入"),VLOOKUP($I277,年金DB!$G$16:$P$65,6,TRUE),0),0)-0.1,0)</f>
        <v>0</v>
      </c>
      <c r="AA277" s="178">
        <f>ROUND(IFERROR(IF(AND($G277="加入",$D277&gt;=40,$D277&lt;=64),VLOOKUP($I277,年金DB!$G$16:$P$65,10,TRUE),0),0)-0.1,0)</f>
        <v>0</v>
      </c>
      <c r="AB277" s="178">
        <f>ROUND(IFERROR(IF(AND($G277="加入",$D277&lt;40),VLOOKUP($J277,年金DB!$G$16:$X$62,14,TRUE),IF(AND($G277="加入",$D277&gt;=40),VLOOKUP($J277,年金DB!$G$16:$X$62,14,TRUE),"0")),0)-0.1,0)</f>
        <v>0</v>
      </c>
      <c r="AC277" s="178">
        <f t="shared" si="34"/>
        <v>0</v>
      </c>
      <c r="AD277" s="21">
        <f t="shared" si="31"/>
        <v>0</v>
      </c>
      <c r="AE277" s="173">
        <f t="shared" si="32"/>
        <v>0</v>
      </c>
      <c r="AF277" s="14" t="str">
        <f t="shared" si="33"/>
        <v/>
      </c>
      <c r="AG277" s="14"/>
      <c r="AH277" s="14"/>
    </row>
    <row r="278" spans="1:34">
      <c r="A278" s="28"/>
      <c r="B278" s="180"/>
      <c r="C278" s="188"/>
      <c r="D278" s="161"/>
      <c r="E278" s="162"/>
      <c r="F278" s="162"/>
      <c r="G278" s="163"/>
      <c r="H278" s="285"/>
      <c r="I278" s="282"/>
      <c r="J278" s="16"/>
      <c r="K278" s="18">
        <f t="shared" si="29"/>
        <v>0</v>
      </c>
      <c r="L278" s="288">
        <v>0</v>
      </c>
      <c r="M278" s="291"/>
      <c r="N278" s="164"/>
      <c r="O278" s="164"/>
      <c r="P278" s="164"/>
      <c r="Q278" s="175">
        <f t="shared" si="35"/>
        <v>0</v>
      </c>
      <c r="R278" s="164"/>
      <c r="S278" s="197">
        <f t="shared" si="30"/>
        <v>0</v>
      </c>
      <c r="T278" s="201" t="str" cm="1">
        <f t="array" ref="T278">IFERROR(IF(F278="甲",IF(K278&gt;3500000,VLOOKUP(3500000,源泉DB!$B$261:$L$261,L278+3)+ROUNDDOWN((K278-3500000)*45.945%,0),IF(AND(K278&gt;2250000,K278&lt;3500000),VLOOKUP(2250000,源泉DB!$B$260:$K$260,L278+3)+ROUNDDOWN((K278-2250000)*40.84%,0),IF(AND(K278&gt;2210000,K278&lt;2250000),VLOOKUP(2210000,源泉DB!$B$259:$K$259,L278+3)+ROUNDDOWN((K278-2210000)*40.84%,0),IF(AND(K278&gt;2170000,K278&lt;2210000),VLOOKUP(2170000,源泉DB!$B$258:$K$258,L278+3)+ROUNDDOWN((K278-2170000)*40.84%,0),IF(AND(K278&gt;1700000,K278&lt;2170000),VLOOKUP(1700000,源泉DB!$B$257:$K$257,L278+3)+ROUNDDOWN((K278-1700000)*40.84%,0),IF(AND(K278&gt;950000,K278&lt;1700000),VLOOKUP(950000,源泉DB!$B$256:$K$256,L278+3)+ROUNDDOWN((K278-950000)*33.693%,0),IF(AND(K278&gt;780000,K278&lt;950000),VLOOKUP(780000,源泉DB!$B$255:$K$255,L278+3)+ROUNDDOWN((K278-780000)*23.483%,0),IF(AND(K278&gt;740000,K278&lt;780000),VLOOKUP(740000,源泉DB!$B$254:$K$254,L278+3)+ROUNDDOWN((K278-740000)*20.42%,0),VLOOKUP(K278,源泉DB!$B$8:$K$299,L278+3))))))))),IF(F278="乙",IF(K278&gt;1700000,651900+(K278-1700000) *45.945%,IF(K278=1700000,651900,IF(AND(K278&gt;740000,K278&lt;1700000),259800+(K278-740000)*40.84%,IF(K278=740000,259800,IF(K278&lt;88000,ROUNDDOWN(K278*3.063%,9),VLOOKUP(K278,源泉DB!$B$8:$L$254,11)))))),"")),"")</f>
        <v/>
      </c>
      <c r="U278" s="165"/>
      <c r="V278" s="166"/>
      <c r="W278" s="166"/>
      <c r="X278" s="166"/>
      <c r="Y278" s="166"/>
      <c r="Z278" s="178">
        <f>ROUND(IFERROR(IF(($G278="加入"),VLOOKUP($I278,年金DB!$G$16:$P$65,6,TRUE),0),0)-0.1,0)</f>
        <v>0</v>
      </c>
      <c r="AA278" s="178">
        <f>ROUND(IFERROR(IF(AND($G278="加入",$D278&gt;=40,$D278&lt;=64),VLOOKUP($I278,年金DB!$G$16:$P$65,10,TRUE),0),0)-0.1,0)</f>
        <v>0</v>
      </c>
      <c r="AB278" s="178">
        <f>ROUND(IFERROR(IF(AND($G278="加入",$D278&lt;40),VLOOKUP($J278,年金DB!$G$16:$X$62,14,TRUE),IF(AND($G278="加入",$D278&gt;=40),VLOOKUP($J278,年金DB!$G$16:$X$62,14,TRUE),"0")),0)-0.1,0)</f>
        <v>0</v>
      </c>
      <c r="AC278" s="178">
        <f t="shared" si="34"/>
        <v>0</v>
      </c>
      <c r="AD278" s="21">
        <f t="shared" si="31"/>
        <v>0</v>
      </c>
      <c r="AE278" s="173">
        <f t="shared" si="32"/>
        <v>0</v>
      </c>
      <c r="AF278" s="14" t="str">
        <f t="shared" si="33"/>
        <v/>
      </c>
      <c r="AG278" s="14"/>
      <c r="AH278" s="14"/>
    </row>
    <row r="279" spans="1:34">
      <c r="A279" s="28"/>
      <c r="B279" s="180"/>
      <c r="C279" s="188"/>
      <c r="D279" s="161"/>
      <c r="E279" s="162"/>
      <c r="F279" s="162"/>
      <c r="G279" s="163"/>
      <c r="H279" s="285"/>
      <c r="I279" s="282"/>
      <c r="J279" s="16"/>
      <c r="K279" s="18">
        <f t="shared" si="29"/>
        <v>0</v>
      </c>
      <c r="L279" s="288">
        <v>0</v>
      </c>
      <c r="M279" s="291"/>
      <c r="N279" s="164"/>
      <c r="O279" s="164"/>
      <c r="P279" s="164"/>
      <c r="Q279" s="175">
        <f t="shared" si="35"/>
        <v>0</v>
      </c>
      <c r="R279" s="164"/>
      <c r="S279" s="197">
        <f t="shared" si="30"/>
        <v>0</v>
      </c>
      <c r="T279" s="201" t="str" cm="1">
        <f t="array" ref="T279">IFERROR(IF(F279="甲",IF(K279&gt;3500000,VLOOKUP(3500000,源泉DB!$B$261:$L$261,L279+3)+ROUNDDOWN((K279-3500000)*45.945%,0),IF(AND(K279&gt;2250000,K279&lt;3500000),VLOOKUP(2250000,源泉DB!$B$260:$K$260,L279+3)+ROUNDDOWN((K279-2250000)*40.84%,0),IF(AND(K279&gt;2210000,K279&lt;2250000),VLOOKUP(2210000,源泉DB!$B$259:$K$259,L279+3)+ROUNDDOWN((K279-2210000)*40.84%,0),IF(AND(K279&gt;2170000,K279&lt;2210000),VLOOKUP(2170000,源泉DB!$B$258:$K$258,L279+3)+ROUNDDOWN((K279-2170000)*40.84%,0),IF(AND(K279&gt;1700000,K279&lt;2170000),VLOOKUP(1700000,源泉DB!$B$257:$K$257,L279+3)+ROUNDDOWN((K279-1700000)*40.84%,0),IF(AND(K279&gt;950000,K279&lt;1700000),VLOOKUP(950000,源泉DB!$B$256:$K$256,L279+3)+ROUNDDOWN((K279-950000)*33.693%,0),IF(AND(K279&gt;780000,K279&lt;950000),VLOOKUP(780000,源泉DB!$B$255:$K$255,L279+3)+ROUNDDOWN((K279-780000)*23.483%,0),IF(AND(K279&gt;740000,K279&lt;780000),VLOOKUP(740000,源泉DB!$B$254:$K$254,L279+3)+ROUNDDOWN((K279-740000)*20.42%,0),VLOOKUP(K279,源泉DB!$B$8:$K$299,L279+3))))))))),IF(F279="乙",IF(K279&gt;1700000,651900+(K279-1700000) *45.945%,IF(K279=1700000,651900,IF(AND(K279&gt;740000,K279&lt;1700000),259800+(K279-740000)*40.84%,IF(K279=740000,259800,IF(K279&lt;88000,ROUNDDOWN(K279*3.063%,9),VLOOKUP(K279,源泉DB!$B$8:$L$254,11)))))),"")),"")</f>
        <v/>
      </c>
      <c r="U279" s="165"/>
      <c r="V279" s="166"/>
      <c r="W279" s="166"/>
      <c r="X279" s="166"/>
      <c r="Y279" s="166"/>
      <c r="Z279" s="178">
        <f>ROUND(IFERROR(IF(($G279="加入"),VLOOKUP($I279,年金DB!$G$16:$P$65,6,TRUE),0),0)-0.1,0)</f>
        <v>0</v>
      </c>
      <c r="AA279" s="178">
        <f>ROUND(IFERROR(IF(AND($G279="加入",$D279&gt;=40,$D279&lt;=64),VLOOKUP($I279,年金DB!$G$16:$P$65,10,TRUE),0),0)-0.1,0)</f>
        <v>0</v>
      </c>
      <c r="AB279" s="178">
        <f>ROUND(IFERROR(IF(AND($G279="加入",$D279&lt;40),VLOOKUP($J279,年金DB!$G$16:$X$62,14,TRUE),IF(AND($G279="加入",$D279&gt;=40),VLOOKUP($J279,年金DB!$G$16:$X$62,14,TRUE),"0")),0)-0.1,0)</f>
        <v>0</v>
      </c>
      <c r="AC279" s="178">
        <f t="shared" si="34"/>
        <v>0</v>
      </c>
      <c r="AD279" s="21">
        <f t="shared" si="31"/>
        <v>0</v>
      </c>
      <c r="AE279" s="173">
        <f t="shared" si="32"/>
        <v>0</v>
      </c>
      <c r="AF279" s="14" t="str">
        <f t="shared" si="33"/>
        <v/>
      </c>
      <c r="AG279" s="14"/>
      <c r="AH279" s="14"/>
    </row>
    <row r="280" spans="1:34">
      <c r="A280" s="28"/>
      <c r="B280" s="180"/>
      <c r="C280" s="188"/>
      <c r="D280" s="161"/>
      <c r="E280" s="162"/>
      <c r="F280" s="162"/>
      <c r="G280" s="163"/>
      <c r="H280" s="285"/>
      <c r="I280" s="282"/>
      <c r="J280" s="16"/>
      <c r="K280" s="18">
        <f t="shared" si="29"/>
        <v>0</v>
      </c>
      <c r="L280" s="288">
        <v>0</v>
      </c>
      <c r="M280" s="291"/>
      <c r="N280" s="164"/>
      <c r="O280" s="164"/>
      <c r="P280" s="164"/>
      <c r="Q280" s="175">
        <f t="shared" si="35"/>
        <v>0</v>
      </c>
      <c r="R280" s="164"/>
      <c r="S280" s="197">
        <f t="shared" si="30"/>
        <v>0</v>
      </c>
      <c r="T280" s="201" t="str" cm="1">
        <f t="array" ref="T280">IFERROR(IF(F280="甲",IF(K280&gt;3500000,VLOOKUP(3500000,源泉DB!$B$261:$L$261,L280+3)+ROUNDDOWN((K280-3500000)*45.945%,0),IF(AND(K280&gt;2250000,K280&lt;3500000),VLOOKUP(2250000,源泉DB!$B$260:$K$260,L280+3)+ROUNDDOWN((K280-2250000)*40.84%,0),IF(AND(K280&gt;2210000,K280&lt;2250000),VLOOKUP(2210000,源泉DB!$B$259:$K$259,L280+3)+ROUNDDOWN((K280-2210000)*40.84%,0),IF(AND(K280&gt;2170000,K280&lt;2210000),VLOOKUP(2170000,源泉DB!$B$258:$K$258,L280+3)+ROUNDDOWN((K280-2170000)*40.84%,0),IF(AND(K280&gt;1700000,K280&lt;2170000),VLOOKUP(1700000,源泉DB!$B$257:$K$257,L280+3)+ROUNDDOWN((K280-1700000)*40.84%,0),IF(AND(K280&gt;950000,K280&lt;1700000),VLOOKUP(950000,源泉DB!$B$256:$K$256,L280+3)+ROUNDDOWN((K280-950000)*33.693%,0),IF(AND(K280&gt;780000,K280&lt;950000),VLOOKUP(780000,源泉DB!$B$255:$K$255,L280+3)+ROUNDDOWN((K280-780000)*23.483%,0),IF(AND(K280&gt;740000,K280&lt;780000),VLOOKUP(740000,源泉DB!$B$254:$K$254,L280+3)+ROUNDDOWN((K280-740000)*20.42%,0),VLOOKUP(K280,源泉DB!$B$8:$K$299,L280+3))))))))),IF(F280="乙",IF(K280&gt;1700000,651900+(K280-1700000) *45.945%,IF(K280=1700000,651900,IF(AND(K280&gt;740000,K280&lt;1700000),259800+(K280-740000)*40.84%,IF(K280=740000,259800,IF(K280&lt;88000,ROUNDDOWN(K280*3.063%,9),VLOOKUP(K280,源泉DB!$B$8:$L$254,11)))))),"")),"")</f>
        <v/>
      </c>
      <c r="U280" s="165"/>
      <c r="V280" s="166"/>
      <c r="W280" s="166"/>
      <c r="X280" s="166"/>
      <c r="Y280" s="166"/>
      <c r="Z280" s="178">
        <f>ROUND(IFERROR(IF(($G280="加入"),VLOOKUP($I280,年金DB!$G$16:$P$65,6,TRUE),0),0)-0.1,0)</f>
        <v>0</v>
      </c>
      <c r="AA280" s="178">
        <f>ROUND(IFERROR(IF(AND($G280="加入",$D280&gt;=40,$D280&lt;=64),VLOOKUP($I280,年金DB!$G$16:$P$65,10,TRUE),0),0)-0.1,0)</f>
        <v>0</v>
      </c>
      <c r="AB280" s="178">
        <f>ROUND(IFERROR(IF(AND($G280="加入",$D280&lt;40),VLOOKUP($J280,年金DB!$G$16:$X$62,14,TRUE),IF(AND($G280="加入",$D280&gt;=40),VLOOKUP($J280,年金DB!$G$16:$X$62,14,TRUE),"0")),0)-0.1,0)</f>
        <v>0</v>
      </c>
      <c r="AC280" s="178">
        <f t="shared" si="34"/>
        <v>0</v>
      </c>
      <c r="AD280" s="21">
        <f t="shared" si="31"/>
        <v>0</v>
      </c>
      <c r="AE280" s="173">
        <f t="shared" si="32"/>
        <v>0</v>
      </c>
      <c r="AF280" s="14" t="str">
        <f t="shared" si="33"/>
        <v/>
      </c>
      <c r="AG280" s="14"/>
      <c r="AH280" s="14"/>
    </row>
    <row r="281" spans="1:34">
      <c r="A281" s="28"/>
      <c r="B281" s="180"/>
      <c r="C281" s="188"/>
      <c r="D281" s="161"/>
      <c r="E281" s="162"/>
      <c r="F281" s="162"/>
      <c r="G281" s="163"/>
      <c r="H281" s="285"/>
      <c r="I281" s="282"/>
      <c r="J281" s="16"/>
      <c r="K281" s="18">
        <f t="shared" si="29"/>
        <v>0</v>
      </c>
      <c r="L281" s="288">
        <v>0</v>
      </c>
      <c r="M281" s="291"/>
      <c r="N281" s="164"/>
      <c r="O281" s="164"/>
      <c r="P281" s="164"/>
      <c r="Q281" s="175">
        <f t="shared" si="35"/>
        <v>0</v>
      </c>
      <c r="R281" s="164"/>
      <c r="S281" s="197">
        <f t="shared" si="30"/>
        <v>0</v>
      </c>
      <c r="T281" s="201" t="str" cm="1">
        <f t="array" ref="T281">IFERROR(IF(F281="甲",IF(K281&gt;3500000,VLOOKUP(3500000,源泉DB!$B$261:$L$261,L281+3)+ROUNDDOWN((K281-3500000)*45.945%,0),IF(AND(K281&gt;2250000,K281&lt;3500000),VLOOKUP(2250000,源泉DB!$B$260:$K$260,L281+3)+ROUNDDOWN((K281-2250000)*40.84%,0),IF(AND(K281&gt;2210000,K281&lt;2250000),VLOOKUP(2210000,源泉DB!$B$259:$K$259,L281+3)+ROUNDDOWN((K281-2210000)*40.84%,0),IF(AND(K281&gt;2170000,K281&lt;2210000),VLOOKUP(2170000,源泉DB!$B$258:$K$258,L281+3)+ROUNDDOWN((K281-2170000)*40.84%,0),IF(AND(K281&gt;1700000,K281&lt;2170000),VLOOKUP(1700000,源泉DB!$B$257:$K$257,L281+3)+ROUNDDOWN((K281-1700000)*40.84%,0),IF(AND(K281&gt;950000,K281&lt;1700000),VLOOKUP(950000,源泉DB!$B$256:$K$256,L281+3)+ROUNDDOWN((K281-950000)*33.693%,0),IF(AND(K281&gt;780000,K281&lt;950000),VLOOKUP(780000,源泉DB!$B$255:$K$255,L281+3)+ROUNDDOWN((K281-780000)*23.483%,0),IF(AND(K281&gt;740000,K281&lt;780000),VLOOKUP(740000,源泉DB!$B$254:$K$254,L281+3)+ROUNDDOWN((K281-740000)*20.42%,0),VLOOKUP(K281,源泉DB!$B$8:$K$299,L281+3))))))))),IF(F281="乙",IF(K281&gt;1700000,651900+(K281-1700000) *45.945%,IF(K281=1700000,651900,IF(AND(K281&gt;740000,K281&lt;1700000),259800+(K281-740000)*40.84%,IF(K281=740000,259800,IF(K281&lt;88000,ROUNDDOWN(K281*3.063%,9),VLOOKUP(K281,源泉DB!$B$8:$L$254,11)))))),"")),"")</f>
        <v/>
      </c>
      <c r="U281" s="165"/>
      <c r="V281" s="166"/>
      <c r="W281" s="166"/>
      <c r="X281" s="166"/>
      <c r="Y281" s="166"/>
      <c r="Z281" s="178">
        <f>ROUND(IFERROR(IF(($G281="加入"),VLOOKUP($I281,年金DB!$G$16:$P$65,6,TRUE),0),0)-0.1,0)</f>
        <v>0</v>
      </c>
      <c r="AA281" s="178">
        <f>ROUND(IFERROR(IF(AND($G281="加入",$D281&gt;=40,$D281&lt;=64),VLOOKUP($I281,年金DB!$G$16:$P$65,10,TRUE),0),0)-0.1,0)</f>
        <v>0</v>
      </c>
      <c r="AB281" s="178">
        <f>ROUND(IFERROR(IF(AND($G281="加入",$D281&lt;40),VLOOKUP($J281,年金DB!$G$16:$X$62,14,TRUE),IF(AND($G281="加入",$D281&gt;=40),VLOOKUP($J281,年金DB!$G$16:$X$62,14,TRUE),"0")),0)-0.1,0)</f>
        <v>0</v>
      </c>
      <c r="AC281" s="178">
        <f t="shared" si="34"/>
        <v>0</v>
      </c>
      <c r="AD281" s="21">
        <f t="shared" si="31"/>
        <v>0</v>
      </c>
      <c r="AE281" s="173">
        <f t="shared" si="32"/>
        <v>0</v>
      </c>
      <c r="AF281" s="14" t="str">
        <f t="shared" si="33"/>
        <v/>
      </c>
      <c r="AG281" s="14"/>
      <c r="AH281" s="14"/>
    </row>
    <row r="282" spans="1:34" ht="12.75" thickBot="1">
      <c r="A282" s="29"/>
      <c r="B282" s="181"/>
      <c r="C282" s="189"/>
      <c r="D282" s="167"/>
      <c r="E282" s="168"/>
      <c r="F282" s="168"/>
      <c r="G282" s="169"/>
      <c r="H282" s="286"/>
      <c r="I282" s="283"/>
      <c r="J282" s="17"/>
      <c r="K282" s="19">
        <f t="shared" si="29"/>
        <v>0</v>
      </c>
      <c r="L282" s="289">
        <v>0</v>
      </c>
      <c r="M282" s="292"/>
      <c r="N282" s="170"/>
      <c r="O282" s="170"/>
      <c r="P282" s="170"/>
      <c r="Q282" s="176">
        <f t="shared" si="35"/>
        <v>0</v>
      </c>
      <c r="R282" s="170"/>
      <c r="S282" s="198">
        <f t="shared" si="30"/>
        <v>0</v>
      </c>
      <c r="T282" s="202" t="str" cm="1">
        <f t="array" ref="T282">IFERROR(IF(F282="甲",IF(K282&gt;3500000,VLOOKUP(3500000,源泉DB!$B$261:$L$261,L282+3)+ROUNDDOWN((K282-3500000)*45.945%,0),IF(AND(K282&gt;2250000,K282&lt;3500000),VLOOKUP(2250000,源泉DB!$B$260:$K$260,L282+3)+ROUNDDOWN((K282-2250000)*40.84%,0),IF(AND(K282&gt;2210000,K282&lt;2250000),VLOOKUP(2210000,源泉DB!$B$259:$K$259,L282+3)+ROUNDDOWN((K282-2210000)*40.84%,0),IF(AND(K282&gt;2170000,K282&lt;2210000),VLOOKUP(2170000,源泉DB!$B$258:$K$258,L282+3)+ROUNDDOWN((K282-2170000)*40.84%,0),IF(AND(K282&gt;1700000,K282&lt;2170000),VLOOKUP(1700000,源泉DB!$B$257:$K$257,L282+3)+ROUNDDOWN((K282-1700000)*40.84%,0),IF(AND(K282&gt;950000,K282&lt;1700000),VLOOKUP(950000,源泉DB!$B$256:$K$256,L282+3)+ROUNDDOWN((K282-950000)*33.693%,0),IF(AND(K282&gt;780000,K282&lt;950000),VLOOKUP(780000,源泉DB!$B$255:$K$255,L282+3)+ROUNDDOWN((K282-780000)*23.483%,0),IF(AND(K282&gt;740000,K282&lt;780000),VLOOKUP(740000,源泉DB!$B$254:$K$254,L282+3)+ROUNDDOWN((K282-740000)*20.42%,0),VLOOKUP(K282,源泉DB!$B$8:$K$299,L282+3))))))))),IF(F282="乙",IF(K282&gt;1700000,651900+(K282-1700000) *45.945%,IF(K282=1700000,651900,IF(AND(K282&gt;740000,K282&lt;1700000),259800+(K282-740000)*40.84%,IF(K282=740000,259800,IF(K282&lt;88000,ROUNDDOWN(K282*3.063%,9),VLOOKUP(K282,源泉DB!$B$8:$L$254,11)))))),"")),"")</f>
        <v/>
      </c>
      <c r="U282" s="171"/>
      <c r="V282" s="172"/>
      <c r="W282" s="172"/>
      <c r="X282" s="172"/>
      <c r="Y282" s="172"/>
      <c r="Z282" s="190">
        <f>ROUND(IFERROR(IF(($G282="加入"),VLOOKUP($I282,年金DB!$G$16:$P$65,6,TRUE),0),0)-0.1,0)</f>
        <v>0</v>
      </c>
      <c r="AA282" s="190">
        <f>ROUND(IFERROR(IF(AND($G282="加入",$D282&gt;=40,$D282&lt;=64),VLOOKUP($I282,年金DB!$G$16:$P$65,10,TRUE),0),0)-0.1,0)</f>
        <v>0</v>
      </c>
      <c r="AB282" s="190">
        <f>ROUND(IFERROR(IF(AND($G282="加入",$D282&lt;40),VLOOKUP($J282,年金DB!$G$16:$X$62,14,TRUE),IF(AND($G282="加入",$D282&gt;=40),VLOOKUP($J282,年金DB!$G$16:$X$62,14,TRUE),"0")),0)-0.1,0)</f>
        <v>0</v>
      </c>
      <c r="AC282" s="178">
        <f t="shared" si="34"/>
        <v>0</v>
      </c>
      <c r="AD282" s="22">
        <f t="shared" si="31"/>
        <v>0</v>
      </c>
      <c r="AE282" s="20">
        <f t="shared" si="32"/>
        <v>0</v>
      </c>
      <c r="AF282" s="14" t="str">
        <f t="shared" si="33"/>
        <v/>
      </c>
      <c r="AG282" s="14"/>
      <c r="AH282" s="14"/>
    </row>
  </sheetData>
  <mergeCells count="44">
    <mergeCell ref="AB4:AB5"/>
    <mergeCell ref="AC4:AC5"/>
    <mergeCell ref="AD4:AD5"/>
    <mergeCell ref="AE4:AE5"/>
    <mergeCell ref="V4:V5"/>
    <mergeCell ref="W4:W5"/>
    <mergeCell ref="X4:X5"/>
    <mergeCell ref="Y4:Y5"/>
    <mergeCell ref="Z4:Z5"/>
    <mergeCell ref="AA4:AA5"/>
    <mergeCell ref="U4:U5"/>
    <mergeCell ref="J4:J5"/>
    <mergeCell ref="K4:K5"/>
    <mergeCell ref="L4:L5"/>
    <mergeCell ref="M4:M5"/>
    <mergeCell ref="N4:N5"/>
    <mergeCell ref="O4:O5"/>
    <mergeCell ref="P4:P5"/>
    <mergeCell ref="Q4:Q5"/>
    <mergeCell ref="R4:R5"/>
    <mergeCell ref="S4:S5"/>
    <mergeCell ref="T4:T5"/>
    <mergeCell ref="T2:AD2"/>
    <mergeCell ref="AE2:AE3"/>
    <mergeCell ref="A4:A5"/>
    <mergeCell ref="C4:C5"/>
    <mergeCell ref="D4:D5"/>
    <mergeCell ref="E4:E5"/>
    <mergeCell ref="F4:F5"/>
    <mergeCell ref="G4:G5"/>
    <mergeCell ref="H4:H5"/>
    <mergeCell ref="I4:I5"/>
    <mergeCell ref="G2:G3"/>
    <mergeCell ref="H2:H3"/>
    <mergeCell ref="I2:J2"/>
    <mergeCell ref="K2:K3"/>
    <mergeCell ref="L2:L3"/>
    <mergeCell ref="M2:S2"/>
    <mergeCell ref="F2:F3"/>
    <mergeCell ref="A2:A3"/>
    <mergeCell ref="B2:B3"/>
    <mergeCell ref="C2:C3"/>
    <mergeCell ref="D2:D3"/>
    <mergeCell ref="E2:E3"/>
  </mergeCells>
  <phoneticPr fontId="6"/>
  <dataValidations count="4">
    <dataValidation type="list" allowBlank="1" showInputMessage="1" showErrorMessage="1" sqref="G6:H282" xr:uid="{00000000-0002-0000-1300-000000000000}">
      <formula1>"加入,非加入"</formula1>
    </dataValidation>
    <dataValidation type="list" allowBlank="1" showInputMessage="1" showErrorMessage="1" sqref="F6:F282" xr:uid="{00000000-0002-0000-1300-000001000000}">
      <formula1>"甲,乙"</formula1>
    </dataValidation>
    <dataValidation type="list" allowBlank="1" showInputMessage="1" showErrorMessage="1" sqref="E6:E282" xr:uid="{00000000-0002-0000-1300-000002000000}">
      <formula1>"役員,社員,バイト"</formula1>
    </dataValidation>
    <dataValidation type="list" allowBlank="1" showInputMessage="1" showErrorMessage="1" sqref="L6:L282" xr:uid="{00000000-0002-0000-1300-000003000000}">
      <formula1>"0,1,2,3,4,5,6,7,8,9"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年金DB</vt:lpstr>
      <vt:lpstr>源泉DB</vt:lpstr>
      <vt:lpstr>記入例</vt:lpstr>
      <vt:lpstr>202103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momoyo</dc:creator>
  <cp:lastModifiedBy>sxrsing</cp:lastModifiedBy>
  <cp:lastPrinted>2011-05-12T02:10:46Z</cp:lastPrinted>
  <dcterms:created xsi:type="dcterms:W3CDTF">2011-05-11T12:23:32Z</dcterms:created>
  <dcterms:modified xsi:type="dcterms:W3CDTF">2020-08-26T10:12:57Z</dcterms:modified>
</cp:coreProperties>
</file>