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xrsing\Google ドライブ\TLZS Inc\70 TLZSサービス\00 社内システム開発\開発PS１\"/>
    </mc:Choice>
  </mc:AlternateContent>
  <xr:revisionPtr revIDLastSave="0" documentId="13_ncr:1_{BC598DF2-1E72-4773-90FE-A26F985D7404}" xr6:coauthVersionLast="45" xr6:coauthVersionMax="45" xr10:uidLastSave="{00000000-0000-0000-0000-000000000000}"/>
  <bookViews>
    <workbookView xWindow="-120" yWindow="-120" windowWidth="29040" windowHeight="15840" tabRatio="717" activeTab="4" xr2:uid="{00000000-000D-0000-FFFF-FFFF00000000}"/>
  </bookViews>
  <sheets>
    <sheet name="目次" sheetId="10" r:id="rId1"/>
    <sheet name="10仕入先" sheetId="143" r:id="rId2"/>
    <sheet name="20統計" sheetId="88" r:id="rId3"/>
    <sheet name="▲" sheetId="75" r:id="rId4"/>
    <sheet name="202007" sheetId="142" r:id="rId5"/>
  </sheets>
  <functionGroups builtInGroupCount="19"/>
  <definedNames>
    <definedName name="_xlnm._FilterDatabase" localSheetId="3" hidden="1">▲!$A$2:$G$2</definedName>
    <definedName name="_xlnm._FilterDatabase" localSheetId="4" hidden="1">'202007'!$B$3:$AD$16</definedName>
    <definedName name="_xlnm._FilterDatabase" localSheetId="2" hidden="1">'20統計'!#REF!</definedName>
    <definedName name="_xlnm.Print_Area" localSheetId="4">'202007'!$A$1:$AE$20</definedName>
    <definedName name="_xlnm.Print_Area" localSheetId="0">目次!$A$1:$K$25</definedName>
    <definedName name="_xlnm.Print_Titles" localSheetId="1">'10仕入先'!$1:$2</definedName>
    <definedName name="会社名">'10仕入先'!$C$3:$C$101</definedName>
    <definedName name="外注費">▲!$C$3:$C$12</definedName>
    <definedName name="外注費_海外">▲!$E$3:$E$12</definedName>
    <definedName name="外注費_東京">▲!$D$3:$D$12</definedName>
    <definedName name="確認者">▲!$M$3:$M$12</definedName>
    <definedName name="支払手数料">▲!$J$3:$J$12</definedName>
    <definedName name="支払状況">▲!$I$3:$I$12</definedName>
    <definedName name="支払方式">▲!$K$3:$K$12</definedName>
    <definedName name="消費税率">▲!$F$3:$F$12</definedName>
    <definedName name="請求書">▲!$H$3:$H$12</definedName>
    <definedName name="税金">▲!$G$3:$G$12</definedName>
    <definedName name="大分類">▲!$B$3:$B$12</definedName>
    <definedName name="担当者">▲!$L$3:$L$12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142" l="1"/>
  <c r="B13" i="142" l="1"/>
  <c r="B14" i="142" l="1"/>
  <c r="B16" i="142" l="1"/>
  <c r="G19" i="88" l="1"/>
  <c r="H19" i="88"/>
  <c r="I19" i="88"/>
  <c r="J19" i="88"/>
  <c r="K19" i="88"/>
  <c r="L19" i="88"/>
  <c r="M19" i="88"/>
  <c r="N19" i="88"/>
  <c r="O19" i="88"/>
  <c r="P19" i="88"/>
  <c r="Q19" i="88"/>
  <c r="R19" i="88"/>
  <c r="F22" i="88"/>
  <c r="F23" i="88"/>
  <c r="F24" i="88"/>
  <c r="F25" i="88"/>
  <c r="F26" i="88"/>
  <c r="F27" i="88"/>
  <c r="F28" i="88"/>
  <c r="F29" i="88"/>
  <c r="F6" i="88"/>
  <c r="F7" i="88"/>
  <c r="F8" i="88"/>
  <c r="F9" i="88"/>
  <c r="F10" i="88"/>
  <c r="F11" i="88"/>
  <c r="F30" i="88" l="1"/>
  <c r="F31" i="88"/>
  <c r="F32" i="88"/>
  <c r="F33" i="88"/>
  <c r="F34" i="88"/>
  <c r="F5" i="88"/>
  <c r="F12" i="88"/>
  <c r="F13" i="88"/>
  <c r="B32" i="143" l="1"/>
  <c r="B41" i="143"/>
  <c r="B47" i="143"/>
  <c r="B21" i="143"/>
  <c r="B20" i="143"/>
  <c r="B29" i="143"/>
  <c r="B37" i="143"/>
  <c r="B49" i="143"/>
  <c r="B43" i="143"/>
  <c r="B3" i="143"/>
  <c r="B25" i="143"/>
  <c r="B39" i="143"/>
  <c r="B42" i="143"/>
  <c r="B45" i="143"/>
  <c r="B28" i="143"/>
  <c r="B22" i="143"/>
  <c r="B6" i="143"/>
  <c r="B46" i="143"/>
  <c r="B24" i="143"/>
  <c r="B12" i="143"/>
  <c r="B4" i="143"/>
  <c r="B5" i="143"/>
  <c r="B11" i="143" l="1"/>
  <c r="D11" i="143"/>
  <c r="B53" i="143"/>
  <c r="D53" i="143"/>
  <c r="B54" i="143"/>
  <c r="D54" i="143"/>
  <c r="B55" i="143"/>
  <c r="D55" i="143"/>
  <c r="B56" i="143"/>
  <c r="D56" i="143"/>
  <c r="B57" i="143"/>
  <c r="D57" i="143"/>
  <c r="B58" i="143"/>
  <c r="D58" i="143"/>
  <c r="B59" i="143"/>
  <c r="D59" i="143"/>
  <c r="B60" i="143"/>
  <c r="D60" i="143"/>
  <c r="B61" i="143"/>
  <c r="D61" i="143"/>
  <c r="B62" i="143"/>
  <c r="D62" i="143"/>
  <c r="B63" i="143"/>
  <c r="D63" i="143"/>
  <c r="B64" i="143"/>
  <c r="D64" i="143"/>
  <c r="B65" i="143"/>
  <c r="D65" i="143"/>
  <c r="B66" i="143"/>
  <c r="D66" i="143"/>
  <c r="B67" i="143"/>
  <c r="D67" i="143"/>
  <c r="B68" i="143"/>
  <c r="D68" i="143"/>
  <c r="B69" i="143"/>
  <c r="D69" i="143"/>
  <c r="B70" i="143"/>
  <c r="D70" i="143"/>
  <c r="B71" i="143"/>
  <c r="D71" i="143"/>
  <c r="B72" i="143"/>
  <c r="D72" i="143"/>
  <c r="B73" i="143"/>
  <c r="D73" i="143"/>
  <c r="B74" i="143"/>
  <c r="D74" i="143"/>
  <c r="B75" i="143"/>
  <c r="D75" i="143"/>
  <c r="B76" i="143"/>
  <c r="D76" i="143"/>
  <c r="B77" i="143"/>
  <c r="D77" i="143"/>
  <c r="B78" i="143"/>
  <c r="D78" i="143"/>
  <c r="B79" i="143"/>
  <c r="D79" i="143"/>
  <c r="B80" i="143"/>
  <c r="D80" i="143"/>
  <c r="B81" i="143"/>
  <c r="D81" i="143"/>
  <c r="B82" i="143"/>
  <c r="D82" i="143"/>
  <c r="B83" i="143"/>
  <c r="D83" i="143"/>
  <c r="B84" i="143"/>
  <c r="D84" i="143"/>
  <c r="B85" i="143"/>
  <c r="D85" i="143"/>
  <c r="B86" i="143"/>
  <c r="D86" i="143"/>
  <c r="B87" i="143"/>
  <c r="D87" i="143"/>
  <c r="B88" i="143"/>
  <c r="D88" i="143"/>
  <c r="B89" i="143"/>
  <c r="D89" i="143"/>
  <c r="B90" i="143"/>
  <c r="D90" i="143"/>
  <c r="B91" i="143"/>
  <c r="D91" i="143"/>
  <c r="B92" i="143"/>
  <c r="D92" i="143"/>
  <c r="B93" i="143"/>
  <c r="D93" i="143"/>
  <c r="B94" i="143"/>
  <c r="D94" i="143"/>
  <c r="B95" i="143"/>
  <c r="D95" i="143"/>
  <c r="B96" i="143"/>
  <c r="D96" i="143"/>
  <c r="B97" i="143"/>
  <c r="D97" i="143"/>
  <c r="B98" i="143"/>
  <c r="D98" i="143"/>
  <c r="B99" i="143"/>
  <c r="D99" i="143"/>
  <c r="B100" i="143"/>
  <c r="D100" i="143"/>
  <c r="B101" i="143"/>
  <c r="D101" i="143"/>
  <c r="D6" i="143"/>
  <c r="D28" i="143"/>
  <c r="B30" i="143"/>
  <c r="D30" i="143"/>
  <c r="B8" i="143"/>
  <c r="D8" i="143"/>
  <c r="D39" i="143"/>
  <c r="B9" i="143"/>
  <c r="D9" i="143"/>
  <c r="B23" i="143"/>
  <c r="D23" i="143"/>
  <c r="D5" i="143"/>
  <c r="B7" i="143"/>
  <c r="D7" i="143"/>
  <c r="D43" i="143"/>
  <c r="B18" i="143"/>
  <c r="D18" i="143"/>
  <c r="B13" i="143"/>
  <c r="D13" i="143"/>
  <c r="B48" i="143"/>
  <c r="D48" i="143"/>
  <c r="B17" i="143"/>
  <c r="D17" i="143"/>
  <c r="B19" i="143"/>
  <c r="D19" i="143"/>
  <c r="D45" i="143"/>
  <c r="B40" i="143"/>
  <c r="D40" i="143"/>
  <c r="D22" i="143"/>
  <c r="B10" i="143"/>
  <c r="D10" i="143"/>
  <c r="B33" i="143"/>
  <c r="D33" i="143"/>
  <c r="D37" i="143"/>
  <c r="B26" i="143"/>
  <c r="D26" i="143"/>
  <c r="B34" i="143"/>
  <c r="D34" i="143"/>
  <c r="B16" i="143"/>
  <c r="D16" i="143"/>
  <c r="D32" i="143"/>
  <c r="D21" i="143"/>
  <c r="D20" i="143"/>
  <c r="B35" i="143"/>
  <c r="D35" i="143"/>
  <c r="D3" i="143"/>
  <c r="D12" i="143"/>
  <c r="B52" i="143"/>
  <c r="D52" i="143"/>
  <c r="D36" i="143"/>
  <c r="B36" i="143"/>
  <c r="D46" i="143"/>
  <c r="D47" i="143"/>
  <c r="D51" i="143"/>
  <c r="B51" i="143"/>
  <c r="D27" i="143"/>
  <c r="B27" i="143"/>
  <c r="D50" i="143"/>
  <c r="B50" i="143"/>
  <c r="D31" i="143"/>
  <c r="B31" i="143"/>
  <c r="D4" i="143"/>
  <c r="D24" i="143"/>
  <c r="D15" i="143"/>
  <c r="B15" i="143"/>
  <c r="D25" i="143"/>
  <c r="D14" i="143"/>
  <c r="B14" i="143"/>
  <c r="D42" i="143"/>
  <c r="D49" i="143"/>
  <c r="D38" i="143"/>
  <c r="B38" i="143"/>
  <c r="D29" i="143"/>
  <c r="D44" i="143"/>
  <c r="B44" i="143"/>
  <c r="D41" i="143"/>
  <c r="P1" i="143"/>
  <c r="O1" i="143"/>
  <c r="N1" i="143"/>
  <c r="M1" i="143"/>
  <c r="L1" i="143"/>
  <c r="K1" i="143"/>
  <c r="J1" i="143"/>
  <c r="I1" i="143"/>
  <c r="H1" i="143"/>
  <c r="G1" i="143"/>
  <c r="F1" i="143"/>
  <c r="E1" i="143"/>
  <c r="F21" i="88"/>
  <c r="D1" i="143" l="1"/>
  <c r="F19" i="88"/>
  <c r="P19" i="142" l="1"/>
  <c r="N19" i="142"/>
  <c r="B19" i="142"/>
  <c r="P18" i="142"/>
  <c r="N18" i="142"/>
  <c r="B18" i="142"/>
  <c r="B17" i="142"/>
  <c r="B8" i="142"/>
  <c r="B11" i="142"/>
  <c r="B15" i="142"/>
  <c r="B7" i="142"/>
  <c r="B6" i="142"/>
  <c r="N5" i="142"/>
  <c r="B5" i="142"/>
  <c r="N4" i="142"/>
  <c r="B4" i="142"/>
  <c r="B10" i="142"/>
  <c r="B12" i="142"/>
  <c r="J2" i="142"/>
  <c r="N2" i="142" l="1"/>
  <c r="Q19" i="142"/>
  <c r="P5" i="142"/>
  <c r="Q5" i="142" s="1"/>
  <c r="Q18" i="142"/>
  <c r="P4" i="142"/>
  <c r="Q4" i="142" s="1"/>
  <c r="I15" i="10"/>
  <c r="E14" i="10"/>
  <c r="D15" i="10"/>
  <c r="I14" i="10"/>
  <c r="G14" i="10"/>
  <c r="D14" i="10"/>
  <c r="F14" i="10"/>
  <c r="Q2" i="142" l="1"/>
  <c r="P2" i="142"/>
  <c r="H14" i="10"/>
  <c r="F13" i="10"/>
  <c r="I13" i="10"/>
  <c r="D13" i="10"/>
  <c r="G13" i="10"/>
  <c r="E13" i="10"/>
  <c r="H13" i="10" l="1"/>
  <c r="I6" i="10"/>
  <c r="I5" i="10"/>
  <c r="I10" i="10"/>
  <c r="I4" i="10"/>
  <c r="I11" i="10"/>
  <c r="I9" i="10"/>
  <c r="I8" i="10"/>
  <c r="I12" i="10"/>
  <c r="I7" i="10"/>
  <c r="I16" i="10" l="1"/>
  <c r="D5" i="10"/>
  <c r="D4" i="10"/>
  <c r="E9" i="10"/>
  <c r="D10" i="10"/>
  <c r="E4" i="10"/>
  <c r="D11" i="10"/>
  <c r="D6" i="10"/>
  <c r="E15" i="10"/>
  <c r="D9" i="10"/>
  <c r="D8" i="10"/>
  <c r="E6" i="10"/>
  <c r="D12" i="10"/>
  <c r="D7" i="10"/>
  <c r="D16" i="10" l="1"/>
  <c r="F5" i="10"/>
  <c r="E11" i="10"/>
  <c r="E10" i="10"/>
  <c r="G11" i="10"/>
  <c r="G8" i="10"/>
  <c r="G6" i="10"/>
  <c r="F8" i="10"/>
  <c r="F9" i="10"/>
  <c r="F15" i="10"/>
  <c r="F7" i="10"/>
  <c r="F4" i="10"/>
  <c r="G5" i="10"/>
  <c r="F11" i="10"/>
  <c r="E8" i="10"/>
  <c r="E5" i="10"/>
  <c r="F6" i="10"/>
  <c r="G4" i="10"/>
  <c r="F10" i="10"/>
  <c r="G9" i="10"/>
  <c r="E7" i="10"/>
  <c r="G10" i="10"/>
  <c r="G7" i="10"/>
  <c r="H11" i="10" l="1"/>
  <c r="H10" i="10"/>
  <c r="H9" i="10"/>
  <c r="H8" i="10"/>
  <c r="H7" i="10"/>
  <c r="H6" i="10"/>
  <c r="H5" i="10"/>
  <c r="H4" i="10"/>
  <c r="E12" i="10"/>
  <c r="G15" i="10"/>
  <c r="F12" i="10"/>
  <c r="G12" i="10"/>
  <c r="H15" i="10" l="1"/>
  <c r="E16" i="10"/>
  <c r="G16" i="10"/>
  <c r="F16" i="10"/>
  <c r="H12" i="10"/>
  <c r="G2" i="88"/>
  <c r="H16" i="10" l="1"/>
  <c r="I2" i="88"/>
  <c r="H2" i="88" l="1"/>
  <c r="J2" i="88"/>
  <c r="K2" i="88"/>
  <c r="L2" i="88"/>
  <c r="M2" i="88"/>
  <c r="N2" i="88"/>
  <c r="O2" i="88"/>
  <c r="P2" i="88"/>
  <c r="Q2" i="88"/>
  <c r="R2" i="88"/>
  <c r="F17" i="88" l="1"/>
  <c r="F16" i="88"/>
  <c r="F15" i="88"/>
  <c r="F14" i="88"/>
  <c r="F4" i="88"/>
  <c r="F2" i="88" l="1"/>
  <c r="A16" i="75" l="1" a="1"/>
  <c r="A16" i="75" s="1"/>
  <c r="A15" i="75" a="1"/>
  <c r="A15" i="75" s="1"/>
  <c r="A14" i="75" a="1"/>
  <c r="A14" i="75" s="1"/>
  <c r="A13" i="75" a="1"/>
  <c r="A13" i="75" s="1"/>
  <c r="A12" i="75" a="1"/>
  <c r="A12" i="75" s="1"/>
  <c r="A11" i="75" a="1"/>
  <c r="A11" i="75" s="1"/>
  <c r="A10" i="75" a="1"/>
  <c r="A10" i="75" s="1"/>
  <c r="A9" i="75" a="1"/>
  <c r="A9" i="75" s="1"/>
  <c r="A8" i="75" a="1"/>
  <c r="A8" i="75" s="1"/>
</calcChain>
</file>

<file path=xl/sharedStrings.xml><?xml version="1.0" encoding="utf-8"?>
<sst xmlns="http://schemas.openxmlformats.org/spreadsheetml/2006/main" count="276" uniqueCount="165">
  <si>
    <t>担当者</t>
    <phoneticPr fontId="1"/>
  </si>
  <si>
    <t>#</t>
    <phoneticPr fontId="1"/>
  </si>
  <si>
    <t>日付</t>
    <rPh sb="0" eb="2">
      <t>ヒヅケ</t>
    </rPh>
    <phoneticPr fontId="1"/>
  </si>
  <si>
    <t>合計</t>
    <rPh sb="0" eb="2">
      <t>ゴウケイ</t>
    </rPh>
    <phoneticPr fontId="1"/>
  </si>
  <si>
    <t>課税</t>
    <phoneticPr fontId="6"/>
  </si>
  <si>
    <t>大分類</t>
    <rPh sb="0" eb="1">
      <t>ダイ</t>
    </rPh>
    <rPh sb="1" eb="3">
      <t>ブンルイ</t>
    </rPh>
    <phoneticPr fontId="6"/>
  </si>
  <si>
    <t>中分類</t>
    <rPh sb="0" eb="1">
      <t>ナカ</t>
    </rPh>
    <rPh sb="1" eb="3">
      <t>ブンルイ</t>
    </rPh>
    <phoneticPr fontId="6"/>
  </si>
  <si>
    <t>小分類</t>
    <rPh sb="0" eb="3">
      <t>ショウブンルイ</t>
    </rPh>
    <phoneticPr fontId="6"/>
  </si>
  <si>
    <t>外注費</t>
    <phoneticPr fontId="6"/>
  </si>
  <si>
    <t>備考</t>
    <rPh sb="0" eb="2">
      <t>ビコウ</t>
    </rPh>
    <phoneticPr fontId="6"/>
  </si>
  <si>
    <t>その他</t>
    <rPh sb="2" eb="3">
      <t>タ</t>
    </rPh>
    <phoneticPr fontId="6"/>
  </si>
  <si>
    <t>外注費</t>
  </si>
  <si>
    <t>パートナー会社</t>
    <rPh sb="5" eb="7">
      <t>カイシャ</t>
    </rPh>
    <phoneticPr fontId="6"/>
  </si>
  <si>
    <t>個人事業主</t>
    <rPh sb="0" eb="5">
      <t>コジンジギョウヌシ</t>
    </rPh>
    <phoneticPr fontId="6"/>
  </si>
  <si>
    <t>北京支社</t>
    <rPh sb="0" eb="2">
      <t>ペキン</t>
    </rPh>
    <rPh sb="2" eb="4">
      <t>シシャ</t>
    </rPh>
    <phoneticPr fontId="6"/>
  </si>
  <si>
    <t>瀋陽支社</t>
    <rPh sb="0" eb="2">
      <t>シンヨウ</t>
    </rPh>
    <rPh sb="2" eb="4">
      <t>シシャ</t>
    </rPh>
    <phoneticPr fontId="6"/>
  </si>
  <si>
    <t>課税</t>
  </si>
  <si>
    <t>非課税</t>
    <phoneticPr fontId="6"/>
  </si>
  <si>
    <t>外注費_東京</t>
    <rPh sb="4" eb="6">
      <t>トウキョウ</t>
    </rPh>
    <phoneticPr fontId="6"/>
  </si>
  <si>
    <t>外注費_海外</t>
    <rPh sb="4" eb="6">
      <t>カイガイ</t>
    </rPh>
    <phoneticPr fontId="6"/>
  </si>
  <si>
    <t>外注費_東京</t>
    <phoneticPr fontId="6"/>
  </si>
  <si>
    <t>外注費_海外</t>
    <phoneticPr fontId="6"/>
  </si>
  <si>
    <t>芦 建軍</t>
    <rPh sb="0" eb="1">
      <t>ロ</t>
    </rPh>
    <rPh sb="2" eb="4">
      <t>ケングン</t>
    </rPh>
    <phoneticPr fontId="6"/>
  </si>
  <si>
    <t>陳 倩</t>
  </si>
  <si>
    <t>陳 倩</t>
    <phoneticPr fontId="6"/>
  </si>
  <si>
    <t>確認者</t>
    <rPh sb="0" eb="2">
      <t>カクニン</t>
    </rPh>
    <rPh sb="2" eb="3">
      <t>シャ</t>
    </rPh>
    <phoneticPr fontId="1"/>
  </si>
  <si>
    <t>合計</t>
    <rPh sb="0" eb="2">
      <t>ゴウケイ</t>
    </rPh>
    <phoneticPr fontId="6"/>
  </si>
  <si>
    <t>現金</t>
    <rPh sb="0" eb="2">
      <t>ゲンキン</t>
    </rPh>
    <phoneticPr fontId="6"/>
  </si>
  <si>
    <t>システム開発</t>
  </si>
  <si>
    <t>消費税
（自動計算）</t>
    <rPh sb="0" eb="3">
      <t>ショウヒゼイ</t>
    </rPh>
    <phoneticPr fontId="6"/>
  </si>
  <si>
    <t>項目
(手入力)</t>
    <rPh sb="0" eb="2">
      <t>コウモク</t>
    </rPh>
    <phoneticPr fontId="1"/>
  </si>
  <si>
    <t>名前
(手入力)</t>
    <rPh sb="0" eb="2">
      <t>ナマエ</t>
    </rPh>
    <phoneticPr fontId="6"/>
  </si>
  <si>
    <t>小分類
(選択)</t>
    <rPh sb="0" eb="1">
      <t>ショウ</t>
    </rPh>
    <rPh sb="1" eb="3">
      <t>ブンルイ</t>
    </rPh>
    <rPh sb="5" eb="7">
      <t>センタク</t>
    </rPh>
    <phoneticPr fontId="1"/>
  </si>
  <si>
    <t>中分類
(選択)</t>
    <rPh sb="0" eb="1">
      <t>チュウ</t>
    </rPh>
    <rPh sb="1" eb="3">
      <t>ブンルイ</t>
    </rPh>
    <phoneticPr fontId="6"/>
  </si>
  <si>
    <t>大分類
(選択)</t>
    <rPh sb="0" eb="1">
      <t>ダイ</t>
    </rPh>
    <rPh sb="1" eb="3">
      <t>ブンルイ</t>
    </rPh>
    <phoneticPr fontId="6"/>
  </si>
  <si>
    <t>日付
(手入力)</t>
    <rPh sb="0" eb="2">
      <t>ヒヅケ</t>
    </rPh>
    <phoneticPr fontId="1"/>
  </si>
  <si>
    <t>確認者２
(選択)</t>
    <rPh sb="0" eb="2">
      <t>カクニン</t>
    </rPh>
    <rPh sb="2" eb="3">
      <t>シャ</t>
    </rPh>
    <phoneticPr fontId="1"/>
  </si>
  <si>
    <t>確認者１
(選択)</t>
    <rPh sb="0" eb="2">
      <t>カクニン</t>
    </rPh>
    <rPh sb="2" eb="3">
      <t>シャ</t>
    </rPh>
    <phoneticPr fontId="1"/>
  </si>
  <si>
    <t>確認日１
(手入力)</t>
    <rPh sb="0" eb="2">
      <t>カクニン</t>
    </rPh>
    <rPh sb="2" eb="3">
      <t>ビ</t>
    </rPh>
    <phoneticPr fontId="1"/>
  </si>
  <si>
    <t>確認日２
(手入力)</t>
    <rPh sb="0" eb="2">
      <t>カクニン</t>
    </rPh>
    <rPh sb="2" eb="3">
      <t>ビ</t>
    </rPh>
    <phoneticPr fontId="1"/>
  </si>
  <si>
    <t>備考
(手入力)</t>
    <rPh sb="0" eb="2">
      <t>ビコウ</t>
    </rPh>
    <phoneticPr fontId="1"/>
  </si>
  <si>
    <t>〇</t>
    <phoneticPr fontId="6"/>
  </si>
  <si>
    <t>×</t>
    <phoneticPr fontId="6"/>
  </si>
  <si>
    <t>精算金額の合計
(税込)</t>
    <rPh sb="0" eb="4">
      <t>セイサンキンガク</t>
    </rPh>
    <rPh sb="5" eb="7">
      <t>ゴウケイ</t>
    </rPh>
    <rPh sb="9" eb="11">
      <t>ゼイコミ</t>
    </rPh>
    <phoneticPr fontId="6"/>
  </si>
  <si>
    <t>消費税
合計</t>
    <rPh sb="0" eb="3">
      <t>ショウヒゼイ</t>
    </rPh>
    <rPh sb="4" eb="6">
      <t>ゴウケイ</t>
    </rPh>
    <phoneticPr fontId="6"/>
  </si>
  <si>
    <t>POPUNAVI株式会社</t>
    <phoneticPr fontId="6"/>
  </si>
  <si>
    <t>魚 振江</t>
  </si>
  <si>
    <t>林 浩博</t>
  </si>
  <si>
    <t>請求書
(手入力)</t>
    <phoneticPr fontId="1"/>
  </si>
  <si>
    <t>支払状況
(選択)</t>
    <rPh sb="0" eb="2">
      <t>シハライ</t>
    </rPh>
    <rPh sb="2" eb="4">
      <t>ジョウキョウ</t>
    </rPh>
    <phoneticPr fontId="1"/>
  </si>
  <si>
    <t>請求書</t>
    <phoneticPr fontId="6"/>
  </si>
  <si>
    <t>支払状況</t>
    <rPh sb="0" eb="2">
      <t>シハライ</t>
    </rPh>
    <rPh sb="2" eb="4">
      <t>ジョウキョウ</t>
    </rPh>
    <phoneticPr fontId="1"/>
  </si>
  <si>
    <t>支払済み</t>
    <rPh sb="0" eb="2">
      <t>シハライ</t>
    </rPh>
    <rPh sb="2" eb="3">
      <t>ズ</t>
    </rPh>
    <phoneticPr fontId="6"/>
  </si>
  <si>
    <t>未済み</t>
    <rPh sb="0" eb="1">
      <t>ミ</t>
    </rPh>
    <rPh sb="1" eb="2">
      <t>ズ</t>
    </rPh>
    <phoneticPr fontId="6"/>
  </si>
  <si>
    <t>支払担当者
(選択)</t>
    <phoneticPr fontId="1"/>
  </si>
  <si>
    <t>支払日
(手入力)</t>
    <rPh sb="0" eb="3">
      <t>シハライビ</t>
    </rPh>
    <phoneticPr fontId="1"/>
  </si>
  <si>
    <t>支払方式
(選択)</t>
    <rPh sb="2" eb="4">
      <t>ホウシキ</t>
    </rPh>
    <phoneticPr fontId="1"/>
  </si>
  <si>
    <t>所属会社
(選択)</t>
    <rPh sb="0" eb="2">
      <t>ショゾク</t>
    </rPh>
    <rPh sb="2" eb="4">
      <t>カイシャ</t>
    </rPh>
    <phoneticPr fontId="1"/>
  </si>
  <si>
    <t>支払方式</t>
    <rPh sb="0" eb="2">
      <t>シハライ</t>
    </rPh>
    <rPh sb="2" eb="4">
      <t>ホウシキ</t>
    </rPh>
    <phoneticPr fontId="6"/>
  </si>
  <si>
    <t>株式会社ChainBow</t>
  </si>
  <si>
    <t>株式会社スキルコネクト</t>
  </si>
  <si>
    <t>株式会社 ワンマーク システムズ</t>
  </si>
  <si>
    <t>三友ステージ株式会社</t>
  </si>
  <si>
    <t>チョウイス</t>
  </si>
  <si>
    <t>株式会社アイティーフューチャー</t>
  </si>
  <si>
    <t>MARCHソフトウェア株式会社</t>
  </si>
  <si>
    <t>ウィングステック有限会社</t>
  </si>
  <si>
    <t>株式会社C＆J</t>
  </si>
  <si>
    <t>アパシス株式会社</t>
  </si>
  <si>
    <t>株式会社幻夢ゲーム</t>
  </si>
  <si>
    <t>Ant Technology株式会社</t>
  </si>
  <si>
    <t>株式会社アイデアセーリング</t>
  </si>
  <si>
    <t>北海ソリューションズ株式会社</t>
  </si>
  <si>
    <t>支払手数料
(手入力)</t>
    <rPh sb="0" eb="2">
      <t>シハライ</t>
    </rPh>
    <rPh sb="2" eb="5">
      <t>テスウリョウ</t>
    </rPh>
    <phoneticPr fontId="6"/>
  </si>
  <si>
    <t>支払手数料</t>
    <rPh sb="0" eb="5">
      <t>シハライテスウリョウ</t>
    </rPh>
    <phoneticPr fontId="6"/>
  </si>
  <si>
    <t>先方負担</t>
    <rPh sb="0" eb="2">
      <t>センポウ</t>
    </rPh>
    <rPh sb="2" eb="4">
      <t>フタン</t>
    </rPh>
    <phoneticPr fontId="6"/>
  </si>
  <si>
    <t>当方負担</t>
    <rPh sb="0" eb="2">
      <t>トウホウ</t>
    </rPh>
    <rPh sb="2" eb="4">
      <t>フタン</t>
    </rPh>
    <phoneticPr fontId="6"/>
  </si>
  <si>
    <t>消費税率</t>
    <rPh sb="0" eb="3">
      <t>ショウヒゼイ</t>
    </rPh>
    <rPh sb="3" eb="4">
      <t>リツ</t>
    </rPh>
    <phoneticPr fontId="6"/>
  </si>
  <si>
    <t>精算金額
（自動計算）</t>
    <phoneticPr fontId="1"/>
  </si>
  <si>
    <t>人月
(手入力)</t>
    <rPh sb="0" eb="2">
      <t>ニンゲツ</t>
    </rPh>
    <phoneticPr fontId="6"/>
  </si>
  <si>
    <t>税抜金額
（自動計算）</t>
    <rPh sb="0" eb="2">
      <t>ゼイヌ</t>
    </rPh>
    <rPh sb="2" eb="3">
      <t>ゼイ</t>
    </rPh>
    <rPh sb="3" eb="4">
      <t>ヌ</t>
    </rPh>
    <phoneticPr fontId="6"/>
  </si>
  <si>
    <t>対象人月
(手入力)</t>
    <rPh sb="0" eb="2">
      <t>タイショウ</t>
    </rPh>
    <rPh sb="2" eb="4">
      <t>ニンゲツ</t>
    </rPh>
    <phoneticPr fontId="6"/>
  </si>
  <si>
    <t>アレシス株式会社</t>
  </si>
  <si>
    <t>株式会社シーピーエス</t>
  </si>
  <si>
    <t>支払メモ
(手入力)</t>
    <rPh sb="0" eb="2">
      <t>シハライ</t>
    </rPh>
    <phoneticPr fontId="1"/>
  </si>
  <si>
    <t>税金
(選択)</t>
    <rPh sb="0" eb="1">
      <t>ゼイ</t>
    </rPh>
    <rPh sb="1" eb="2">
      <t>キン</t>
    </rPh>
    <phoneticPr fontId="1"/>
  </si>
  <si>
    <t>単価
（手入力)</t>
    <rPh sb="0" eb="2">
      <t>タンカ</t>
    </rPh>
    <phoneticPr fontId="1"/>
  </si>
  <si>
    <t>支払期限
(手入力)</t>
    <phoneticPr fontId="1"/>
  </si>
  <si>
    <t>税金</t>
    <rPh sb="0" eb="2">
      <t>ゼイキン</t>
    </rPh>
    <phoneticPr fontId="1"/>
  </si>
  <si>
    <t>ATM振込</t>
    <phoneticPr fontId="6"/>
  </si>
  <si>
    <t>ネットバンキング</t>
    <phoneticPr fontId="6"/>
  </si>
  <si>
    <t>海外振込</t>
    <phoneticPr fontId="6"/>
  </si>
  <si>
    <t>株式会社コンサイズ</t>
  </si>
  <si>
    <t>登録済み</t>
    <rPh sb="0" eb="2">
      <t>トウロク</t>
    </rPh>
    <rPh sb="2" eb="3">
      <t>ズ</t>
    </rPh>
    <phoneticPr fontId="6"/>
  </si>
  <si>
    <t>金額
（税別）</t>
    <rPh sb="0" eb="2">
      <t>キンガク</t>
    </rPh>
    <rPh sb="4" eb="6">
      <t>ゼイベツ</t>
    </rPh>
    <phoneticPr fontId="1"/>
  </si>
  <si>
    <t>消費税</t>
    <rPh sb="0" eb="3">
      <t>ショウヒゼイ</t>
    </rPh>
    <phoneticPr fontId="6"/>
  </si>
  <si>
    <t>請求金額
（合計）</t>
    <rPh sb="0" eb="2">
      <t>セイキュウ</t>
    </rPh>
    <rPh sb="2" eb="4">
      <t>キンガク</t>
    </rPh>
    <rPh sb="6" eb="8">
      <t>ゴウケイ</t>
    </rPh>
    <phoneticPr fontId="1"/>
  </si>
  <si>
    <t>当方負担
手数料</t>
    <rPh sb="0" eb="2">
      <t>トウホウ</t>
    </rPh>
    <rPh sb="2" eb="4">
      <t>フタン</t>
    </rPh>
    <rPh sb="5" eb="8">
      <t>テスウリョウ</t>
    </rPh>
    <phoneticPr fontId="6"/>
  </si>
  <si>
    <t>備考</t>
    <rPh sb="0" eb="2">
      <t>ビコウ</t>
    </rPh>
    <phoneticPr fontId="1"/>
  </si>
  <si>
    <t>外注
人数</t>
    <rPh sb="0" eb="2">
      <t>ガイチュウ</t>
    </rPh>
    <rPh sb="3" eb="5">
      <t>ニンズ</t>
    </rPh>
    <phoneticPr fontId="6"/>
  </si>
  <si>
    <t>実際支払金額
（合計）</t>
    <rPh sb="0" eb="2">
      <t>ジッサイ</t>
    </rPh>
    <rPh sb="2" eb="4">
      <t>シハライ</t>
    </rPh>
    <rPh sb="4" eb="6">
      <t>キンガク</t>
    </rPh>
    <rPh sb="5" eb="6">
      <t>ガク</t>
    </rPh>
    <rPh sb="8" eb="10">
      <t>ゴウケイ</t>
    </rPh>
    <phoneticPr fontId="6"/>
  </si>
  <si>
    <t>ゼータ株式会社</t>
    <phoneticPr fontId="6"/>
  </si>
  <si>
    <t>コピー用</t>
    <rPh sb="3" eb="4">
      <t>ヨウ</t>
    </rPh>
    <phoneticPr fontId="6"/>
  </si>
  <si>
    <t>#</t>
    <phoneticPr fontId="6"/>
  </si>
  <si>
    <t>＃</t>
    <phoneticPr fontId="6"/>
  </si>
  <si>
    <t>Aska Dynamics 合同会社</t>
  </si>
  <si>
    <t>HMR株式会社</t>
  </si>
  <si>
    <t>NJ-soft株式会社</t>
  </si>
  <si>
    <t>株式会社　日進サイエンティア</t>
  </si>
  <si>
    <t>株式会社Tentech</t>
  </si>
  <si>
    <t>株式会社Uniwill Soft</t>
  </si>
  <si>
    <t>株式会社アンタレス</t>
  </si>
  <si>
    <t>株式会社エーエルジェイ</t>
  </si>
  <si>
    <t>株式会社エクセレント・テクノロジー</t>
  </si>
  <si>
    <t>株式会社エスラボ</t>
  </si>
  <si>
    <t>株式会社ステップワン情報システム</t>
  </si>
  <si>
    <t>株式会社プロミスドランド</t>
  </si>
  <si>
    <t>株式会社六合テクノロジー</t>
  </si>
  <si>
    <t>個人事業主</t>
  </si>
  <si>
    <t>北京支社</t>
  </si>
  <si>
    <t>瀋陽支社</t>
  </si>
  <si>
    <t>未定</t>
    <rPh sb="0" eb="2">
      <t>ミテイ</t>
    </rPh>
    <phoneticPr fontId="6"/>
  </si>
  <si>
    <t>会社名</t>
    <rPh sb="0" eb="2">
      <t>カイシャ</t>
    </rPh>
    <rPh sb="2" eb="3">
      <t>メイ</t>
    </rPh>
    <phoneticPr fontId="6"/>
  </si>
  <si>
    <t>東京かぐや株式会社</t>
  </si>
  <si>
    <t>手数料について、管理対象外</t>
    <phoneticPr fontId="1"/>
  </si>
  <si>
    <t>グループ北京</t>
    <rPh sb="4" eb="6">
      <t>ペキン</t>
    </rPh>
    <phoneticPr fontId="6"/>
  </si>
  <si>
    <t>グループHMR</t>
  </si>
  <si>
    <t>グループHMR</t>
    <phoneticPr fontId="6"/>
  </si>
  <si>
    <t>グループAntTec</t>
  </si>
  <si>
    <t>グループAntTec</t>
    <phoneticPr fontId="6"/>
  </si>
  <si>
    <t>グループ瀋陽</t>
    <rPh sb="4" eb="6">
      <t>シンヨウ</t>
    </rPh>
    <phoneticPr fontId="6"/>
  </si>
  <si>
    <t>関連会社かぐや</t>
    <rPh sb="0" eb="2">
      <t>カンレン</t>
    </rPh>
    <rPh sb="2" eb="4">
      <t>カイシャ</t>
    </rPh>
    <phoneticPr fontId="6"/>
  </si>
  <si>
    <t>関連会社CB</t>
    <rPh sb="0" eb="2">
      <t>カンレン</t>
    </rPh>
    <rPh sb="2" eb="4">
      <t>カイシャ</t>
    </rPh>
    <phoneticPr fontId="6"/>
  </si>
  <si>
    <t>株式会社Tech Biz</t>
  </si>
  <si>
    <t>株式会社日本ミライワールド</t>
  </si>
  <si>
    <t>フューチャー・システム株式会社</t>
  </si>
  <si>
    <t>愛立瑞株式会社</t>
  </si>
  <si>
    <t>株式会社 穎光社</t>
  </si>
  <si>
    <t>株式会社クリーンソフト</t>
  </si>
  <si>
    <t>株式会社スプリングテック</t>
  </si>
  <si>
    <t>株式会社ピー・ビー・グロバール</t>
    <phoneticPr fontId="6"/>
  </si>
  <si>
    <t>THX株式会社</t>
    <phoneticPr fontId="6"/>
  </si>
  <si>
    <t xml:space="preserve">株式会社Mamol </t>
    <phoneticPr fontId="6"/>
  </si>
  <si>
    <t>202007</t>
    <phoneticPr fontId="1"/>
  </si>
  <si>
    <t>202008</t>
    <phoneticPr fontId="1"/>
  </si>
  <si>
    <t>202009</t>
  </si>
  <si>
    <t>202010</t>
  </si>
  <si>
    <t>202011</t>
  </si>
  <si>
    <t>202012</t>
  </si>
  <si>
    <t>202101</t>
    <phoneticPr fontId="1"/>
  </si>
  <si>
    <t>202102</t>
    <phoneticPr fontId="1"/>
  </si>
  <si>
    <t>202103</t>
  </si>
  <si>
    <t>202104</t>
  </si>
  <si>
    <t>202105</t>
  </si>
  <si>
    <t>202106</t>
  </si>
  <si>
    <t>株式会社ティー·ユー·ビー</t>
    <phoneticPr fontId="6"/>
  </si>
  <si>
    <t>東和ソリューションエンジニアリング株式会社</t>
    <phoneticPr fontId="6"/>
  </si>
  <si>
    <t>株式会社ベストエンタープライズ</t>
    <phoneticPr fontId="6"/>
  </si>
  <si>
    <t>株式会社コミットグロース</t>
    <phoneticPr fontId="6"/>
  </si>
  <si>
    <t>ＡＩＦ株式会社</t>
    <phoneticPr fontId="6"/>
  </si>
  <si>
    <t>VIVO　SOFT株式会社</t>
    <phoneticPr fontId="6"/>
  </si>
  <si>
    <t>DC Solutions 株式会社</t>
    <phoneticPr fontId="6"/>
  </si>
  <si>
    <t>株式会社ウィンテクノ</t>
    <phoneticPr fontId="6"/>
  </si>
  <si>
    <t>All In Systems株式会社</t>
    <phoneticPr fontId="6"/>
  </si>
  <si>
    <t xml:space="preserve">TEシステム株式会社 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</si>
</sst>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¥&quot;#,##0;&quot;¥&quot;\-#,##0"/>
    <numFmt numFmtId="6" formatCode="&quot;¥&quot;#,##0;[Red]&quot;¥&quot;\-#,##0"/>
    <numFmt numFmtId="43" formatCode="_ * #,##0.00_ ;_ * \-#,##0.00_ ;_ * &quot;-&quot;??_ ;_ @_ "/>
    <numFmt numFmtId="176" formatCode="_-&quot;¥&quot;* #,##0.00_-\ ;\-&quot;¥&quot;* #,##0.00_-\ ;_-&quot;¥&quot;* &quot;-&quot;??_-\ ;_-@_-"/>
    <numFmt numFmtId="177" formatCode="0.00_);[Red]\(0.00\)"/>
    <numFmt numFmtId="178" formatCode="0.0_);[Red]\(0.0\)"/>
  </numFmts>
  <fonts count="1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12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43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13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5" fontId="0" fillId="0" borderId="0" xfId="0" applyNumberFormat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7" fillId="0" borderId="1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0" xfId="0" applyFont="1">
      <alignment vertical="center"/>
    </xf>
    <xf numFmtId="0" fontId="5" fillId="0" borderId="0" xfId="0" applyFont="1">
      <alignment vertical="center"/>
    </xf>
    <xf numFmtId="0" fontId="0" fillId="3" borderId="1" xfId="0" applyFont="1" applyFill="1" applyBorder="1" applyAlignment="1">
      <alignment vertical="center"/>
    </xf>
    <xf numFmtId="0" fontId="5" fillId="0" borderId="0" xfId="0" applyFont="1" applyAlignment="1">
      <alignment horizontal="center" vertical="center"/>
    </xf>
    <xf numFmtId="6" fontId="0" fillId="0" borderId="0" xfId="0" applyNumberFormat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3" xfId="0" applyFont="1" applyFill="1" applyBorder="1">
      <alignment vertical="center"/>
    </xf>
    <xf numFmtId="0" fontId="0" fillId="0" borderId="1" xfId="0" applyFont="1" applyBorder="1" applyAlignment="1">
      <alignment horizontal="left" vertical="center" wrapText="1"/>
    </xf>
    <xf numFmtId="0" fontId="0" fillId="0" borderId="3" xfId="0" applyFont="1" applyBorder="1" applyAlignment="1">
      <alignment horizontal="left" vertical="center" wrapText="1"/>
    </xf>
    <xf numFmtId="0" fontId="0" fillId="0" borderId="1" xfId="0" applyFont="1" applyBorder="1">
      <alignment vertical="center"/>
    </xf>
    <xf numFmtId="0" fontId="0" fillId="6" borderId="1" xfId="0" applyFill="1" applyBorder="1">
      <alignment vertical="center"/>
    </xf>
    <xf numFmtId="0" fontId="5" fillId="0" borderId="0" xfId="0" applyFont="1" applyAlignment="1">
      <alignment vertical="center"/>
    </xf>
    <xf numFmtId="6" fontId="5" fillId="0" borderId="1" xfId="0" applyNumberFormat="1" applyFont="1" applyBorder="1" applyAlignme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NumberFormat="1" applyFill="1" applyBorder="1" applyAlignment="1">
      <alignment horizontal="center" vertical="center"/>
    </xf>
    <xf numFmtId="6" fontId="0" fillId="3" borderId="1" xfId="0" applyNumberFormat="1" applyFill="1" applyBorder="1" applyAlignment="1">
      <alignment horizontal="right" vertical="center"/>
    </xf>
    <xf numFmtId="0" fontId="8" fillId="0" borderId="7" xfId="0" applyFont="1" applyBorder="1" applyAlignment="1">
      <alignment horizontal="left" vertical="center" wrapText="1"/>
    </xf>
    <xf numFmtId="0" fontId="8" fillId="0" borderId="6" xfId="0" applyFont="1" applyBorder="1" applyAlignment="1">
      <alignment horizontal="left" vertical="center" wrapText="1"/>
    </xf>
    <xf numFmtId="6" fontId="0" fillId="0" borderId="3" xfId="0" applyNumberFormat="1" applyFont="1" applyBorder="1" applyAlignment="1">
      <alignment horizontal="right" vertical="center" wrapText="1"/>
    </xf>
    <xf numFmtId="6" fontId="0" fillId="0" borderId="1" xfId="0" applyNumberFormat="1" applyFont="1" applyBorder="1" applyAlignment="1">
      <alignment horizontal="right" vertical="center" wrapText="1"/>
    </xf>
    <xf numFmtId="0" fontId="0" fillId="8" borderId="1" xfId="0" applyFont="1" applyFill="1" applyBorder="1">
      <alignment vertical="center"/>
    </xf>
    <xf numFmtId="0" fontId="0" fillId="8" borderId="1" xfId="0" applyFont="1" applyFill="1" applyBorder="1" applyAlignment="1">
      <alignment horizontal="center" vertical="center" wrapText="1"/>
    </xf>
    <xf numFmtId="0" fontId="0" fillId="9" borderId="1" xfId="0" applyFill="1" applyBorder="1">
      <alignment vertical="center"/>
    </xf>
    <xf numFmtId="0" fontId="0" fillId="9" borderId="3" xfId="0" applyFont="1" applyFill="1" applyBorder="1">
      <alignment vertical="center"/>
    </xf>
    <xf numFmtId="0" fontId="0" fillId="9" borderId="1" xfId="0" applyFont="1" applyFill="1" applyBorder="1" applyAlignment="1">
      <alignment vertical="center"/>
    </xf>
    <xf numFmtId="0" fontId="0" fillId="9" borderId="3" xfId="0" applyFont="1" applyFill="1" applyBorder="1" applyAlignment="1">
      <alignment horizontal="left" vertical="center" wrapText="1"/>
    </xf>
    <xf numFmtId="0" fontId="0" fillId="9" borderId="1" xfId="0" applyFont="1" applyFill="1" applyBorder="1" applyAlignment="1">
      <alignment horizontal="left" vertical="center" wrapText="1"/>
    </xf>
    <xf numFmtId="14" fontId="5" fillId="0" borderId="1" xfId="0" applyNumberFormat="1" applyFont="1" applyFill="1" applyBorder="1" applyAlignment="1" applyProtection="1">
      <alignment horizontal="center" vertical="center"/>
      <protection locked="0"/>
    </xf>
    <xf numFmtId="14" fontId="0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left" vertical="center"/>
      <protection locked="0"/>
    </xf>
    <xf numFmtId="14" fontId="5" fillId="0" borderId="1" xfId="0" applyNumberFormat="1" applyFont="1" applyFill="1" applyBorder="1" applyAlignment="1" applyProtection="1">
      <alignment horizontal="left" vertical="center"/>
      <protection locked="0"/>
    </xf>
    <xf numFmtId="0" fontId="0" fillId="5" borderId="1" xfId="0" applyFill="1" applyBorder="1" applyAlignment="1" applyProtection="1">
      <alignment horizontal="center" vertical="center"/>
      <protection locked="0"/>
    </xf>
    <xf numFmtId="14" fontId="0" fillId="0" borderId="1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Font="1" applyFill="1" applyBorder="1" applyAlignment="1" applyProtection="1">
      <alignment horizontal="center" vertical="center"/>
      <protection locked="0"/>
    </xf>
    <xf numFmtId="6" fontId="9" fillId="0" borderId="8" xfId="0" applyNumberFormat="1" applyFont="1" applyBorder="1" applyAlignment="1" applyProtection="1">
      <alignment horizontal="right" vertical="center"/>
    </xf>
    <xf numFmtId="6" fontId="9" fillId="0" borderId="1" xfId="0" applyNumberFormat="1" applyFont="1" applyBorder="1" applyAlignment="1" applyProtection="1">
      <alignment vertical="center"/>
    </xf>
    <xf numFmtId="6" fontId="9" fillId="0" borderId="8" xfId="0" applyNumberFormat="1" applyFont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center" vertical="center"/>
    </xf>
    <xf numFmtId="14" fontId="9" fillId="0" borderId="8" xfId="0" applyNumberFormat="1" applyFont="1" applyBorder="1" applyAlignment="1" applyProtection="1">
      <alignment horizontal="center" vertical="center"/>
    </xf>
    <xf numFmtId="0" fontId="9" fillId="0" borderId="8" xfId="0" applyFont="1" applyBorder="1" applyAlignment="1" applyProtection="1">
      <alignment horizontal="left" vertical="center"/>
    </xf>
    <xf numFmtId="0" fontId="0" fillId="2" borderId="3" xfId="0" applyNumberFormat="1" applyFont="1" applyFill="1" applyBorder="1" applyAlignment="1" applyProtection="1">
      <alignment horizontal="center" vertical="center"/>
    </xf>
    <xf numFmtId="14" fontId="0" fillId="2" borderId="3" xfId="0" applyNumberFormat="1" applyFont="1" applyFill="1" applyBorder="1" applyAlignment="1" applyProtection="1">
      <alignment horizontal="center" vertical="center" wrapText="1"/>
    </xf>
    <xf numFmtId="0" fontId="0" fillId="2" borderId="3" xfId="0" applyFont="1" applyFill="1" applyBorder="1" applyAlignment="1" applyProtection="1">
      <alignment horizontal="center" vertical="center" wrapText="1"/>
    </xf>
    <xf numFmtId="6" fontId="0" fillId="2" borderId="4" xfId="0" applyNumberFormat="1" applyFont="1" applyFill="1" applyBorder="1" applyAlignment="1" applyProtection="1">
      <alignment horizontal="center" vertical="center" wrapText="1"/>
    </xf>
    <xf numFmtId="14" fontId="0" fillId="4" borderId="3" xfId="0" applyNumberFormat="1" applyFont="1" applyFill="1" applyBorder="1" applyAlignment="1" applyProtection="1">
      <alignment horizontal="center" vertical="center" wrapText="1"/>
    </xf>
    <xf numFmtId="5" fontId="0" fillId="2" borderId="3" xfId="0" applyNumberFormat="1" applyFont="1" applyFill="1" applyBorder="1" applyAlignment="1" applyProtection="1">
      <alignment horizontal="center" vertical="center" wrapText="1"/>
    </xf>
    <xf numFmtId="0" fontId="9" fillId="3" borderId="8" xfId="0" applyNumberFormat="1" applyFont="1" applyFill="1" applyBorder="1" applyAlignment="1" applyProtection="1">
      <alignment vertical="center"/>
    </xf>
    <xf numFmtId="0" fontId="0" fillId="2" borderId="7" xfId="0" applyFill="1" applyBorder="1" applyAlignment="1">
      <alignment vertical="center"/>
    </xf>
    <xf numFmtId="0" fontId="9" fillId="0" borderId="0" xfId="0" applyFont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6" fontId="5" fillId="0" borderId="5" xfId="0" applyNumberFormat="1" applyFont="1" applyBorder="1" applyAlignment="1">
      <alignment vertical="center"/>
    </xf>
    <xf numFmtId="0" fontId="0" fillId="4" borderId="1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9" fillId="3" borderId="8" xfId="0" applyNumberFormat="1" applyFont="1" applyFill="1" applyBorder="1" applyAlignment="1" applyProtection="1">
      <alignment horizontal="left" vertical="center"/>
    </xf>
    <xf numFmtId="0" fontId="0" fillId="0" borderId="1" xfId="0" applyNumberFormat="1" applyFont="1" applyFill="1" applyBorder="1" applyAlignment="1" applyProtection="1">
      <alignment horizontal="left" vertical="center"/>
      <protection locked="0"/>
    </xf>
    <xf numFmtId="0" fontId="0" fillId="6" borderId="3" xfId="0" applyFill="1" applyBorder="1">
      <alignment vertical="center"/>
    </xf>
    <xf numFmtId="9" fontId="0" fillId="9" borderId="3" xfId="0" applyNumberFormat="1" applyFont="1" applyFill="1" applyBorder="1" applyAlignment="1">
      <alignment horizontal="left" vertical="center" wrapText="1"/>
    </xf>
    <xf numFmtId="9" fontId="0" fillId="9" borderId="1" xfId="0" applyNumberFormat="1" applyFont="1" applyFill="1" applyBorder="1" applyAlignment="1">
      <alignment horizontal="left" vertical="center" wrapText="1"/>
    </xf>
    <xf numFmtId="6" fontId="5" fillId="7" borderId="1" xfId="0" applyNumberFormat="1" applyFont="1" applyFill="1" applyBorder="1" applyAlignment="1" applyProtection="1">
      <alignment horizontal="right" vertical="center"/>
      <protection locked="0"/>
    </xf>
    <xf numFmtId="6" fontId="0" fillId="4" borderId="4" xfId="0" applyNumberFormat="1" applyFont="1" applyFill="1" applyBorder="1" applyAlignment="1" applyProtection="1">
      <alignment horizontal="center" vertical="center" wrapText="1"/>
    </xf>
    <xf numFmtId="177" fontId="9" fillId="0" borderId="1" xfId="0" applyNumberFormat="1" applyFont="1" applyBorder="1" applyAlignment="1" applyProtection="1">
      <alignment horizontal="right" vertical="center"/>
    </xf>
    <xf numFmtId="177" fontId="0" fillId="0" borderId="1" xfId="0" applyNumberFormat="1" applyFont="1" applyFill="1" applyBorder="1" applyAlignment="1" applyProtection="1">
      <alignment horizontal="right" vertical="center"/>
      <protection locked="0"/>
    </xf>
    <xf numFmtId="177" fontId="0" fillId="0" borderId="0" xfId="0" applyNumberFormat="1" applyAlignment="1">
      <alignment horizontal="right" vertical="center"/>
    </xf>
    <xf numFmtId="177" fontId="0" fillId="2" borderId="1" xfId="0" applyNumberFormat="1" applyFill="1" applyBorder="1" applyAlignment="1">
      <alignment horizontal="center" vertical="center" wrapText="1"/>
    </xf>
    <xf numFmtId="9" fontId="5" fillId="0" borderId="1" xfId="0" applyNumberFormat="1" applyFont="1" applyFill="1" applyBorder="1" applyAlignment="1" applyProtection="1">
      <alignment horizontal="center" vertical="center"/>
      <protection locked="0"/>
    </xf>
    <xf numFmtId="6" fontId="5" fillId="0" borderId="1" xfId="0" applyNumberFormat="1" applyFont="1" applyFill="1" applyBorder="1" applyAlignment="1" applyProtection="1">
      <alignment horizontal="right" vertical="center"/>
      <protection locked="0"/>
    </xf>
    <xf numFmtId="0" fontId="0" fillId="7" borderId="1" xfId="0" applyNumberFormat="1" applyFill="1" applyBorder="1" applyAlignment="1" applyProtection="1">
      <alignment horizontal="center" vertical="center"/>
      <protection locked="0"/>
    </xf>
    <xf numFmtId="5" fontId="0" fillId="4" borderId="3" xfId="0" applyNumberFormat="1" applyFont="1" applyFill="1" applyBorder="1" applyAlignment="1" applyProtection="1">
      <alignment horizontal="center" vertical="center" wrapText="1"/>
    </xf>
    <xf numFmtId="6" fontId="0" fillId="4" borderId="1" xfId="0" applyNumberFormat="1" applyFill="1" applyBorder="1" applyAlignment="1">
      <alignment horizontal="center" vertical="center" wrapText="1"/>
    </xf>
    <xf numFmtId="177" fontId="0" fillId="4" borderId="1" xfId="0" applyNumberFormat="1" applyFill="1" applyBorder="1" applyAlignment="1">
      <alignment horizontal="center" vertical="center" wrapText="1"/>
    </xf>
    <xf numFmtId="14" fontId="5" fillId="7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3" xfId="0" applyFont="1" applyFill="1" applyBorder="1" applyAlignment="1" applyProtection="1">
      <alignment horizontal="center" vertical="center" wrapText="1"/>
    </xf>
    <xf numFmtId="14" fontId="0" fillId="3" borderId="1" xfId="0" applyNumberFormat="1" applyFont="1" applyFill="1" applyBorder="1" applyAlignment="1" applyProtection="1">
      <alignment horizontal="left" vertical="center"/>
      <protection locked="0"/>
    </xf>
    <xf numFmtId="0" fontId="0" fillId="3" borderId="1" xfId="0" applyFont="1" applyFill="1" applyBorder="1" applyAlignment="1" applyProtection="1">
      <alignment horizontal="left" vertical="center"/>
      <protection locked="0"/>
    </xf>
    <xf numFmtId="177" fontId="0" fillId="3" borderId="1" xfId="0" applyNumberFormat="1" applyFont="1" applyFill="1" applyBorder="1" applyAlignment="1" applyProtection="1">
      <alignment horizontal="right" vertical="center"/>
      <protection locked="0"/>
    </xf>
    <xf numFmtId="0" fontId="0" fillId="3" borderId="1" xfId="0" applyNumberFormat="1" applyFont="1" applyFill="1" applyBorder="1" applyAlignment="1" applyProtection="1">
      <alignment horizontal="left" vertical="center"/>
      <protection locked="0"/>
    </xf>
    <xf numFmtId="0" fontId="5" fillId="2" borderId="1" xfId="0" applyFont="1" applyFill="1" applyBorder="1" applyAlignment="1">
      <alignment horizontal="center" vertical="center"/>
    </xf>
    <xf numFmtId="6" fontId="0" fillId="2" borderId="1" xfId="0" applyNumberForma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178" fontId="5" fillId="0" borderId="1" xfId="0" applyNumberFormat="1" applyFont="1" applyBorder="1">
      <alignment vertical="center"/>
    </xf>
    <xf numFmtId="6" fontId="5" fillId="0" borderId="1" xfId="0" applyNumberFormat="1" applyFont="1" applyBorder="1">
      <alignment vertical="center"/>
    </xf>
    <xf numFmtId="178" fontId="5" fillId="3" borderId="1" xfId="0" applyNumberFormat="1" applyFont="1" applyFill="1" applyBorder="1">
      <alignment vertical="center"/>
    </xf>
    <xf numFmtId="6" fontId="5" fillId="3" borderId="1" xfId="0" applyNumberFormat="1" applyFont="1" applyFill="1" applyBorder="1">
      <alignment vertical="center"/>
    </xf>
    <xf numFmtId="6" fontId="5" fillId="4" borderId="1" xfId="0" applyNumberFormat="1" applyFont="1" applyFill="1" applyBorder="1">
      <alignment vertical="center"/>
    </xf>
    <xf numFmtId="6" fontId="5" fillId="4" borderId="1" xfId="0" applyNumberFormat="1" applyFont="1" applyFill="1" applyBorder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49" fontId="0" fillId="3" borderId="1" xfId="0" applyNumberFormat="1" applyFont="1" applyFill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6" fontId="5" fillId="0" borderId="1" xfId="0" applyNumberFormat="1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178" fontId="5" fillId="0" borderId="1" xfId="0" applyNumberFormat="1" applyFont="1" applyFill="1" applyBorder="1">
      <alignment vertical="center"/>
    </xf>
    <xf numFmtId="49" fontId="0" fillId="0" borderId="1" xfId="0" applyNumberFormat="1" applyFont="1" applyFill="1" applyBorder="1" applyAlignment="1">
      <alignment horizontal="left" vertical="center"/>
    </xf>
    <xf numFmtId="5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5" fontId="0" fillId="0" borderId="1" xfId="0" applyNumberFormat="1" applyBorder="1" applyAlignment="1">
      <alignment horizontal="right"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6" fontId="5" fillId="11" borderId="1" xfId="0" applyNumberFormat="1" applyFont="1" applyFill="1" applyBorder="1">
      <alignment vertical="center"/>
    </xf>
    <xf numFmtId="0" fontId="0" fillId="2" borderId="1" xfId="0" applyFont="1" applyFill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3" borderId="3" xfId="0" applyFont="1" applyFill="1" applyBorder="1" applyAlignment="1">
      <alignment horizontal="center" vertical="center"/>
    </xf>
    <xf numFmtId="0" fontId="11" fillId="3" borderId="3" xfId="0" applyFont="1" applyFill="1" applyBorder="1">
      <alignment vertical="center"/>
    </xf>
    <xf numFmtId="0" fontId="11" fillId="0" borderId="7" xfId="0" applyFont="1" applyBorder="1" applyAlignment="1">
      <alignment horizontal="center" vertical="center"/>
    </xf>
    <xf numFmtId="5" fontId="0" fillId="0" borderId="1" xfId="0" applyNumberFormat="1" applyFill="1" applyBorder="1" applyAlignment="1">
      <alignment horizontal="right" vertical="center"/>
    </xf>
    <xf numFmtId="0" fontId="12" fillId="3" borderId="1" xfId="0" applyFont="1" applyFill="1" applyBorder="1" applyAlignment="1" applyProtection="1">
      <alignment horizontal="left" vertical="center"/>
      <protection locked="0"/>
    </xf>
    <xf numFmtId="0" fontId="0" fillId="3" borderId="1" xfId="0" applyFill="1" applyBorder="1" applyAlignment="1" applyProtection="1">
      <alignment horizontal="left" vertical="center"/>
      <protection locked="0"/>
    </xf>
    <xf numFmtId="0" fontId="0" fillId="4" borderId="1" xfId="0" applyFont="1" applyFill="1" applyBorder="1" applyAlignment="1" applyProtection="1">
      <alignment horizontal="center" vertical="center"/>
      <protection locked="0"/>
    </xf>
    <xf numFmtId="0" fontId="5" fillId="2" borderId="1" xfId="0" applyFont="1" applyFill="1" applyBorder="1" applyAlignment="1">
      <alignment horizontal="center" vertical="center"/>
    </xf>
    <xf numFmtId="14" fontId="0" fillId="4" borderId="2" xfId="0" applyNumberFormat="1" applyFont="1" applyFill="1" applyBorder="1" applyAlignment="1" applyProtection="1">
      <alignment horizontal="center" vertical="center" wrapText="1"/>
    </xf>
    <xf numFmtId="14" fontId="0" fillId="4" borderId="5" xfId="0" applyNumberFormat="1" applyFont="1" applyFill="1" applyBorder="1" applyAlignment="1" applyProtection="1">
      <alignment horizontal="center" vertical="center" wrapText="1"/>
    </xf>
  </cellXfs>
  <cellStyles count="9">
    <cellStyle name="ハイパーリンク 2" xfId="1" xr:uid="{00000000-0005-0000-0000-000000000000}"/>
    <cellStyle name="桁区切り[0]" xfId="2" xr:uid="{00000000-0005-0000-0000-000002000000}"/>
    <cellStyle name="通貨[0]" xfId="3" xr:uid="{00000000-0005-0000-0000-000003000000}"/>
    <cellStyle name="標準" xfId="0" builtinId="0"/>
    <cellStyle name="標準 2" xfId="4" xr:uid="{00000000-0005-0000-0000-000005000000}"/>
    <cellStyle name="標準 3" xfId="5" xr:uid="{00000000-0005-0000-0000-000006000000}"/>
    <cellStyle name="標準 4" xfId="6" xr:uid="{00000000-0005-0000-0000-000007000000}"/>
    <cellStyle name="標準 5" xfId="7" xr:uid="{00000000-0005-0000-0000-000008000000}"/>
    <cellStyle name="標準 6" xfId="8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85725</xdr:rowOff>
        </xdr:from>
        <xdr:to>
          <xdr:col>2</xdr:col>
          <xdr:colOff>1057275</xdr:colOff>
          <xdr:row>0</xdr:row>
          <xdr:rowOff>409575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データ読み取り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1104900</xdr:colOff>
          <xdr:row>0</xdr:row>
          <xdr:rowOff>85725</xdr:rowOff>
        </xdr:from>
        <xdr:to>
          <xdr:col>2</xdr:col>
          <xdr:colOff>2124075</xdr:colOff>
          <xdr:row>0</xdr:row>
          <xdr:rowOff>409575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2162175</xdr:colOff>
          <xdr:row>0</xdr:row>
          <xdr:rowOff>85725</xdr:rowOff>
        </xdr:from>
        <xdr:to>
          <xdr:col>2</xdr:col>
          <xdr:colOff>3171825</xdr:colOff>
          <xdr:row>0</xdr:row>
          <xdr:rowOff>409575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並び替え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104775</xdr:rowOff>
        </xdr:from>
        <xdr:to>
          <xdr:col>3</xdr:col>
          <xdr:colOff>723900</xdr:colOff>
          <xdr:row>0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データ取り込み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838200</xdr:colOff>
          <xdr:row>0</xdr:row>
          <xdr:rowOff>104775</xdr:rowOff>
        </xdr:from>
        <xdr:to>
          <xdr:col>4</xdr:col>
          <xdr:colOff>1104900</xdr:colOff>
          <xdr:row>0</xdr:row>
          <xdr:rowOff>409575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2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47625</xdr:rowOff>
        </xdr:from>
        <xdr:to>
          <xdr:col>6</xdr:col>
          <xdr:colOff>2200275</xdr:colOff>
          <xdr:row>1</xdr:row>
          <xdr:rowOff>152400</xdr:rowOff>
        </xdr:to>
        <xdr:sp macro="" textlink="">
          <xdr:nvSpPr>
            <xdr:cNvPr id="83974" name="Button 6" hidden="1">
              <a:extLst>
                <a:ext uri="{63B3BB69-23CF-44E3-9099-C40C66FF867C}">
                  <a14:compatExt spid="_x0000_s83974"/>
                </a:ext>
                <a:ext uri="{FF2B5EF4-FFF2-40B4-BE49-F238E27FC236}">
                  <a16:creationId xmlns:a16="http://schemas.microsoft.com/office/drawing/2014/main" id="{00000000-0008-0000-0400-0000064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大分類→中分類→小分類→所属会社－並び替え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46"/>
  <sheetViews>
    <sheetView showGridLines="0" view="pageBreakPreview" zoomScaleNormal="130" zoomScaleSheetLayoutView="100" workbookViewId="0">
      <selection activeCell="B18" sqref="B18"/>
    </sheetView>
  </sheetViews>
  <sheetFormatPr defaultColWidth="4.125" defaultRowHeight="13.5" x14ac:dyDescent="0.15"/>
  <cols>
    <col min="1" max="1" width="2.5" style="8" customWidth="1"/>
    <col min="2" max="2" width="3.5" style="10" bestFit="1" customWidth="1"/>
    <col min="3" max="3" width="9.875" style="10" customWidth="1"/>
    <col min="4" max="7" width="15.75" style="8" customWidth="1"/>
    <col min="8" max="8" width="11.5" style="8" customWidth="1"/>
    <col min="9" max="9" width="9" style="8" customWidth="1"/>
    <col min="10" max="10" width="55.625" style="8" customWidth="1"/>
    <col min="11" max="11" width="2.625" style="8" customWidth="1"/>
    <col min="12" max="16384" width="4.125" style="8"/>
  </cols>
  <sheetData>
    <row r="1" spans="1:10" x14ac:dyDescent="0.15">
      <c r="H1" s="66"/>
      <c r="J1" s="66"/>
    </row>
    <row r="2" spans="1:10" x14ac:dyDescent="0.15">
      <c r="B2" s="8"/>
      <c r="C2" s="8"/>
      <c r="E2" s="100" t="s">
        <v>102</v>
      </c>
      <c r="F2" s="100" t="s">
        <v>102</v>
      </c>
    </row>
    <row r="3" spans="1:10" ht="42" customHeight="1" x14ac:dyDescent="0.15">
      <c r="B3" s="27" t="s">
        <v>1</v>
      </c>
      <c r="C3" s="90" t="s">
        <v>2</v>
      </c>
      <c r="D3" s="99" t="s">
        <v>94</v>
      </c>
      <c r="E3" s="82" t="s">
        <v>95</v>
      </c>
      <c r="F3" s="82" t="s">
        <v>100</v>
      </c>
      <c r="G3" s="91" t="s">
        <v>96</v>
      </c>
      <c r="H3" s="91" t="s">
        <v>97</v>
      </c>
      <c r="I3" s="91" t="s">
        <v>99</v>
      </c>
      <c r="J3" s="27" t="s">
        <v>98</v>
      </c>
    </row>
    <row r="4" spans="1:10" ht="23.1" customHeight="1" x14ac:dyDescent="0.15">
      <c r="B4" s="111">
        <v>1</v>
      </c>
      <c r="C4" s="112" t="s">
        <v>143</v>
      </c>
      <c r="D4" s="110">
        <f t="shared" ref="D4:D15" ca="1" si="0">INDIRECT(C4&amp;"!N2")</f>
        <v>1550000</v>
      </c>
      <c r="E4" s="110">
        <f t="shared" ref="E4:E15" ca="1" si="1">INDIRECT(C4&amp;"!P2")</f>
        <v>155000</v>
      </c>
      <c r="F4" s="110">
        <f t="shared" ref="F4:F15" ca="1" si="2">ROUND(INDIRECT(C4&amp;"!Q2"),0)</f>
        <v>1705000</v>
      </c>
      <c r="G4" s="110">
        <f t="shared" ref="G4:G15" ca="1" si="3">ROUND(INDIRECT(C4&amp;"!Q2"),0)</f>
        <v>1705000</v>
      </c>
      <c r="H4" s="110">
        <f t="shared" ref="H4:H15" ca="1" si="4">F4-G4</f>
        <v>0</v>
      </c>
      <c r="I4" s="113">
        <f t="shared" ref="I4:I15" ca="1" si="5">INDIRECT(C4&amp;"!J2")</f>
        <v>2</v>
      </c>
      <c r="J4" s="114" t="s">
        <v>124</v>
      </c>
    </row>
    <row r="5" spans="1:10" ht="23.1" customHeight="1" x14ac:dyDescent="0.15">
      <c r="B5" s="111">
        <v>2</v>
      </c>
      <c r="C5" s="112" t="s">
        <v>144</v>
      </c>
      <c r="D5" s="110" t="e">
        <f t="shared" ca="1" si="0"/>
        <v>#REF!</v>
      </c>
      <c r="E5" s="110" t="e">
        <f t="shared" ca="1" si="1"/>
        <v>#REF!</v>
      </c>
      <c r="F5" s="110" t="e">
        <f t="shared" ca="1" si="2"/>
        <v>#REF!</v>
      </c>
      <c r="G5" s="110" t="e">
        <f t="shared" ca="1" si="3"/>
        <v>#REF!</v>
      </c>
      <c r="H5" s="110" t="e">
        <f t="shared" ca="1" si="4"/>
        <v>#REF!</v>
      </c>
      <c r="I5" s="113" t="e">
        <f t="shared" ca="1" si="5"/>
        <v>#REF!</v>
      </c>
      <c r="J5" s="114"/>
    </row>
    <row r="6" spans="1:10" ht="23.1" customHeight="1" x14ac:dyDescent="0.15">
      <c r="B6" s="111">
        <v>3</v>
      </c>
      <c r="C6" s="112" t="s">
        <v>145</v>
      </c>
      <c r="D6" s="110" t="e">
        <f t="shared" ca="1" si="0"/>
        <v>#REF!</v>
      </c>
      <c r="E6" s="110" t="e">
        <f t="shared" ca="1" si="1"/>
        <v>#REF!</v>
      </c>
      <c r="F6" s="110" t="e">
        <f t="shared" ca="1" si="2"/>
        <v>#REF!</v>
      </c>
      <c r="G6" s="110" t="e">
        <f t="shared" ca="1" si="3"/>
        <v>#REF!</v>
      </c>
      <c r="H6" s="110" t="e">
        <f t="shared" ca="1" si="4"/>
        <v>#REF!</v>
      </c>
      <c r="I6" s="113" t="e">
        <f t="shared" ca="1" si="5"/>
        <v>#REF!</v>
      </c>
      <c r="J6" s="114"/>
    </row>
    <row r="7" spans="1:10" ht="23.1" customHeight="1" x14ac:dyDescent="0.15">
      <c r="A7" s="13"/>
      <c r="B7" s="111">
        <v>4</v>
      </c>
      <c r="C7" s="112" t="s">
        <v>146</v>
      </c>
      <c r="D7" s="110" t="e">
        <f t="shared" ca="1" si="0"/>
        <v>#REF!</v>
      </c>
      <c r="E7" s="110" t="e">
        <f t="shared" ca="1" si="1"/>
        <v>#REF!</v>
      </c>
      <c r="F7" s="110" t="e">
        <f t="shared" ca="1" si="2"/>
        <v>#REF!</v>
      </c>
      <c r="G7" s="110" t="e">
        <f t="shared" ca="1" si="3"/>
        <v>#REF!</v>
      </c>
      <c r="H7" s="110" t="e">
        <f t="shared" ca="1" si="4"/>
        <v>#REF!</v>
      </c>
      <c r="I7" s="113" t="e">
        <f t="shared" ca="1" si="5"/>
        <v>#REF!</v>
      </c>
      <c r="J7" s="114"/>
    </row>
    <row r="8" spans="1:10" ht="23.1" customHeight="1" x14ac:dyDescent="0.15">
      <c r="B8" s="111">
        <v>5</v>
      </c>
      <c r="C8" s="112" t="s">
        <v>147</v>
      </c>
      <c r="D8" s="110" t="e">
        <f t="shared" ca="1" si="0"/>
        <v>#REF!</v>
      </c>
      <c r="E8" s="110" t="e">
        <f t="shared" ca="1" si="1"/>
        <v>#REF!</v>
      </c>
      <c r="F8" s="110" t="e">
        <f t="shared" ca="1" si="2"/>
        <v>#REF!</v>
      </c>
      <c r="G8" s="110" t="e">
        <f t="shared" ca="1" si="3"/>
        <v>#REF!</v>
      </c>
      <c r="H8" s="110" t="e">
        <f t="shared" ca="1" si="4"/>
        <v>#REF!</v>
      </c>
      <c r="I8" s="113" t="e">
        <f t="shared" ca="1" si="5"/>
        <v>#REF!</v>
      </c>
      <c r="J8" s="114"/>
    </row>
    <row r="9" spans="1:10" ht="23.1" customHeight="1" x14ac:dyDescent="0.15">
      <c r="B9" s="111">
        <v>6</v>
      </c>
      <c r="C9" s="112" t="s">
        <v>148</v>
      </c>
      <c r="D9" s="110" t="e">
        <f t="shared" ca="1" si="0"/>
        <v>#REF!</v>
      </c>
      <c r="E9" s="110" t="e">
        <f t="shared" ca="1" si="1"/>
        <v>#REF!</v>
      </c>
      <c r="F9" s="110" t="e">
        <f t="shared" ca="1" si="2"/>
        <v>#REF!</v>
      </c>
      <c r="G9" s="110" t="e">
        <f t="shared" ca="1" si="3"/>
        <v>#REF!</v>
      </c>
      <c r="H9" s="110" t="e">
        <f t="shared" ca="1" si="4"/>
        <v>#REF!</v>
      </c>
      <c r="I9" s="113" t="e">
        <f t="shared" ca="1" si="5"/>
        <v>#REF!</v>
      </c>
      <c r="J9" s="114"/>
    </row>
    <row r="10" spans="1:10" ht="23.1" customHeight="1" x14ac:dyDescent="0.15">
      <c r="B10" s="92">
        <v>7</v>
      </c>
      <c r="C10" s="93" t="s">
        <v>149</v>
      </c>
      <c r="D10" s="95" t="e">
        <f t="shared" ca="1" si="0"/>
        <v>#REF!</v>
      </c>
      <c r="E10" s="95" t="e">
        <f t="shared" ca="1" si="1"/>
        <v>#REF!</v>
      </c>
      <c r="F10" s="95" t="e">
        <f t="shared" ca="1" si="2"/>
        <v>#REF!</v>
      </c>
      <c r="G10" s="95" t="e">
        <f t="shared" ca="1" si="3"/>
        <v>#REF!</v>
      </c>
      <c r="H10" s="95" t="e">
        <f t="shared" ca="1" si="4"/>
        <v>#REF!</v>
      </c>
      <c r="I10" s="94" t="e">
        <f t="shared" ca="1" si="5"/>
        <v>#REF!</v>
      </c>
      <c r="J10" s="101"/>
    </row>
    <row r="11" spans="1:10" ht="23.1" customHeight="1" x14ac:dyDescent="0.15">
      <c r="B11" s="92">
        <v>8</v>
      </c>
      <c r="C11" s="93" t="s">
        <v>150</v>
      </c>
      <c r="D11" s="95" t="e">
        <f t="shared" ca="1" si="0"/>
        <v>#REF!</v>
      </c>
      <c r="E11" s="95" t="e">
        <f t="shared" ca="1" si="1"/>
        <v>#REF!</v>
      </c>
      <c r="F11" s="95" t="e">
        <f t="shared" ca="1" si="2"/>
        <v>#REF!</v>
      </c>
      <c r="G11" s="95" t="e">
        <f t="shared" ca="1" si="3"/>
        <v>#REF!</v>
      </c>
      <c r="H11" s="95" t="e">
        <f t="shared" ca="1" si="4"/>
        <v>#REF!</v>
      </c>
      <c r="I11" s="94" t="e">
        <f t="shared" ca="1" si="5"/>
        <v>#REF!</v>
      </c>
      <c r="J11" s="101"/>
    </row>
    <row r="12" spans="1:10" ht="23.1" customHeight="1" x14ac:dyDescent="0.15">
      <c r="B12" s="92">
        <v>9</v>
      </c>
      <c r="C12" s="93" t="s">
        <v>151</v>
      </c>
      <c r="D12" s="95" t="e">
        <f t="shared" ca="1" si="0"/>
        <v>#REF!</v>
      </c>
      <c r="E12" s="95" t="e">
        <f t="shared" ca="1" si="1"/>
        <v>#REF!</v>
      </c>
      <c r="F12" s="95" t="e">
        <f t="shared" ca="1" si="2"/>
        <v>#REF!</v>
      </c>
      <c r="G12" s="95" t="e">
        <f t="shared" ca="1" si="3"/>
        <v>#REF!</v>
      </c>
      <c r="H12" s="95" t="e">
        <f t="shared" ca="1" si="4"/>
        <v>#REF!</v>
      </c>
      <c r="I12" s="94" t="e">
        <f t="shared" ca="1" si="5"/>
        <v>#REF!</v>
      </c>
      <c r="J12" s="101"/>
    </row>
    <row r="13" spans="1:10" ht="23.1" customHeight="1" x14ac:dyDescent="0.15">
      <c r="B13" s="92">
        <v>10</v>
      </c>
      <c r="C13" s="93" t="s">
        <v>152</v>
      </c>
      <c r="D13" s="95" t="e">
        <f t="shared" ca="1" si="0"/>
        <v>#REF!</v>
      </c>
      <c r="E13" s="95" t="e">
        <f t="shared" ca="1" si="1"/>
        <v>#REF!</v>
      </c>
      <c r="F13" s="95" t="e">
        <f t="shared" ca="1" si="2"/>
        <v>#REF!</v>
      </c>
      <c r="G13" s="95" t="e">
        <f t="shared" ca="1" si="3"/>
        <v>#REF!</v>
      </c>
      <c r="H13" s="95" t="e">
        <f t="shared" ca="1" si="4"/>
        <v>#REF!</v>
      </c>
      <c r="I13" s="94" t="e">
        <f t="shared" ca="1" si="5"/>
        <v>#REF!</v>
      </c>
      <c r="J13" s="101"/>
    </row>
    <row r="14" spans="1:10" ht="23.1" customHeight="1" x14ac:dyDescent="0.15">
      <c r="B14" s="92">
        <v>11</v>
      </c>
      <c r="C14" s="93" t="s">
        <v>153</v>
      </c>
      <c r="D14" s="95" t="e">
        <f t="shared" ca="1" si="0"/>
        <v>#REF!</v>
      </c>
      <c r="E14" s="95" t="e">
        <f t="shared" ca="1" si="1"/>
        <v>#REF!</v>
      </c>
      <c r="F14" s="95" t="e">
        <f t="shared" ca="1" si="2"/>
        <v>#REF!</v>
      </c>
      <c r="G14" s="95" t="e">
        <f t="shared" ca="1" si="3"/>
        <v>#REF!</v>
      </c>
      <c r="H14" s="95" t="e">
        <f t="shared" ca="1" si="4"/>
        <v>#REF!</v>
      </c>
      <c r="I14" s="94" t="e">
        <f t="shared" ca="1" si="5"/>
        <v>#REF!</v>
      </c>
      <c r="J14" s="101"/>
    </row>
    <row r="15" spans="1:10" ht="23.1" customHeight="1" x14ac:dyDescent="0.15">
      <c r="B15" s="92">
        <v>12</v>
      </c>
      <c r="C15" s="93" t="s">
        <v>154</v>
      </c>
      <c r="D15" s="95" t="e">
        <f t="shared" ca="1" si="0"/>
        <v>#REF!</v>
      </c>
      <c r="E15" s="95" t="e">
        <f t="shared" ca="1" si="1"/>
        <v>#REF!</v>
      </c>
      <c r="F15" s="95" t="e">
        <f t="shared" ca="1" si="2"/>
        <v>#REF!</v>
      </c>
      <c r="G15" s="95" t="e">
        <f t="shared" ca="1" si="3"/>
        <v>#REF!</v>
      </c>
      <c r="H15" s="95" t="e">
        <f t="shared" ca="1" si="4"/>
        <v>#REF!</v>
      </c>
      <c r="I15" s="94" t="e">
        <f t="shared" ca="1" si="5"/>
        <v>#REF!</v>
      </c>
      <c r="J15" s="101"/>
    </row>
    <row r="16" spans="1:10" ht="42.75" customHeight="1" x14ac:dyDescent="0.15">
      <c r="B16" s="130" t="s">
        <v>3</v>
      </c>
      <c r="C16" s="130"/>
      <c r="D16" s="97" t="e">
        <f ca="1">SUM(D4:D15)</f>
        <v>#REF!</v>
      </c>
      <c r="E16" s="98" t="e">
        <f t="shared" ref="E16:G16" ca="1" si="6">SUM(E4:E15)</f>
        <v>#REF!</v>
      </c>
      <c r="F16" s="120" t="e">
        <f ca="1">SUM(F4:F15)</f>
        <v>#REF!</v>
      </c>
      <c r="G16" s="97" t="e">
        <f t="shared" ca="1" si="6"/>
        <v>#REF!</v>
      </c>
      <c r="H16" s="97" t="e">
        <f ca="1">SUM(H4:H15)</f>
        <v>#REF!</v>
      </c>
      <c r="I16" s="96" t="e">
        <f ca="1">SUM(I4:I15)</f>
        <v>#REF!</v>
      </c>
      <c r="J16" s="102"/>
    </row>
    <row r="18" spans="2:3" ht="23.1" customHeight="1" x14ac:dyDescent="0.15">
      <c r="B18" s="8"/>
      <c r="C18" s="8"/>
    </row>
    <row r="19" spans="2:3" ht="23.1" customHeight="1" x14ac:dyDescent="0.15">
      <c r="B19" s="8"/>
      <c r="C19" s="8"/>
    </row>
    <row r="20" spans="2:3" ht="23.1" customHeight="1" x14ac:dyDescent="0.15">
      <c r="B20" s="8"/>
      <c r="C20" s="8"/>
    </row>
    <row r="21" spans="2:3" x14ac:dyDescent="0.15">
      <c r="B21" s="8"/>
      <c r="C21" s="8"/>
    </row>
    <row r="31" spans="2:3" x14ac:dyDescent="0.15">
      <c r="B31" s="8"/>
      <c r="C31" s="8"/>
    </row>
    <row r="32" spans="2:3" x14ac:dyDescent="0.15">
      <c r="B32" s="8"/>
      <c r="C32" s="8"/>
    </row>
    <row r="33" spans="2:3" x14ac:dyDescent="0.15">
      <c r="B33" s="8"/>
      <c r="C33" s="8"/>
    </row>
    <row r="34" spans="2:3" x14ac:dyDescent="0.15">
      <c r="B34" s="8"/>
      <c r="C34" s="8"/>
    </row>
    <row r="35" spans="2:3" x14ac:dyDescent="0.15">
      <c r="B35" s="8"/>
      <c r="C35" s="8"/>
    </row>
    <row r="36" spans="2:3" x14ac:dyDescent="0.15">
      <c r="B36" s="8"/>
      <c r="C36" s="8"/>
    </row>
    <row r="37" spans="2:3" x14ac:dyDescent="0.15">
      <c r="B37" s="8"/>
      <c r="C37" s="8"/>
    </row>
    <row r="38" spans="2:3" x14ac:dyDescent="0.15">
      <c r="B38" s="8"/>
      <c r="C38" s="8"/>
    </row>
    <row r="39" spans="2:3" x14ac:dyDescent="0.15">
      <c r="B39" s="8"/>
      <c r="C39" s="8"/>
    </row>
    <row r="40" spans="2:3" x14ac:dyDescent="0.15">
      <c r="B40" s="8"/>
      <c r="C40" s="8"/>
    </row>
    <row r="41" spans="2:3" x14ac:dyDescent="0.15">
      <c r="B41" s="8"/>
      <c r="C41" s="8"/>
    </row>
    <row r="42" spans="2:3" x14ac:dyDescent="0.15">
      <c r="B42" s="8"/>
      <c r="C42" s="8"/>
    </row>
    <row r="43" spans="2:3" x14ac:dyDescent="0.15">
      <c r="B43" s="8"/>
      <c r="C43" s="8"/>
    </row>
    <row r="44" spans="2:3" x14ac:dyDescent="0.15">
      <c r="B44" s="8"/>
      <c r="C44" s="8"/>
    </row>
    <row r="45" spans="2:3" x14ac:dyDescent="0.15">
      <c r="B45" s="8"/>
      <c r="C45" s="8"/>
    </row>
    <row r="46" spans="2:3" x14ac:dyDescent="0.15">
      <c r="B46" s="8"/>
      <c r="C46" s="8"/>
    </row>
  </sheetData>
  <mergeCells count="1">
    <mergeCell ref="B16:C16"/>
  </mergeCells>
  <phoneticPr fontId="1"/>
  <printOptions horizontalCentered="1"/>
  <pageMargins left="0.31496062992125984" right="0.31496062992125984" top="0.55118110236220474" bottom="0.55118110236220474" header="0.31496062992125984" footer="0.31496062992125984"/>
  <pageSetup paperSize="9" scale="90" orientation="landscape" horizontalDpi="180" verticalDpi="180" r:id="rId1"/>
  <headerFooter>
    <oddHeader>&amp;C外注費&amp;R社外密</oddHeader>
    <oddFooter>&amp;C&amp;F　&amp;D&amp;R&amp;P ページ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CB6C0-0283-4269-BF5B-88C1FC3FB25E}">
  <sheetPr codeName="Sheet2"/>
  <dimension ref="B1:Q101"/>
  <sheetViews>
    <sheetView showGridLines="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C62" sqref="C62"/>
    </sheetView>
  </sheetViews>
  <sheetFormatPr defaultRowHeight="13.5" x14ac:dyDescent="0.15"/>
  <cols>
    <col min="1" max="1" width="2.125" customWidth="1"/>
    <col min="2" max="2" width="4.25" customWidth="1"/>
    <col min="3" max="3" width="42.875" bestFit="1" customWidth="1"/>
    <col min="4" max="4" width="12.625" bestFit="1" customWidth="1"/>
    <col min="5" max="16" width="11.5" bestFit="1" customWidth="1"/>
    <col min="17" max="17" width="39.75" customWidth="1"/>
  </cols>
  <sheetData>
    <row r="1" spans="2:17" ht="39.75" customHeight="1" x14ac:dyDescent="0.15">
      <c r="B1" s="1"/>
      <c r="D1" s="115">
        <f>SUM(E1:P1)</f>
        <v>0</v>
      </c>
      <c r="E1" s="115">
        <f t="shared" ref="E1:P1" si="0">SUM(E3:E192)</f>
        <v>0</v>
      </c>
      <c r="F1" s="115">
        <f t="shared" si="0"/>
        <v>0</v>
      </c>
      <c r="G1" s="115">
        <f t="shared" si="0"/>
        <v>0</v>
      </c>
      <c r="H1" s="115">
        <f t="shared" si="0"/>
        <v>0</v>
      </c>
      <c r="I1" s="115">
        <f t="shared" si="0"/>
        <v>0</v>
      </c>
      <c r="J1" s="115">
        <f t="shared" si="0"/>
        <v>0</v>
      </c>
      <c r="K1" s="115">
        <f t="shared" si="0"/>
        <v>0</v>
      </c>
      <c r="L1" s="115">
        <f t="shared" si="0"/>
        <v>0</v>
      </c>
      <c r="M1" s="115">
        <f t="shared" si="0"/>
        <v>0</v>
      </c>
      <c r="N1" s="115">
        <f t="shared" si="0"/>
        <v>0</v>
      </c>
      <c r="O1" s="115">
        <f t="shared" si="0"/>
        <v>0</v>
      </c>
      <c r="P1" s="115">
        <f t="shared" si="0"/>
        <v>0</v>
      </c>
    </row>
    <row r="2" spans="2:17" ht="30.75" customHeight="1" x14ac:dyDescent="0.15">
      <c r="B2" s="27" t="s">
        <v>104</v>
      </c>
      <c r="C2" s="27" t="s">
        <v>122</v>
      </c>
      <c r="D2" s="27" t="s">
        <v>26</v>
      </c>
      <c r="E2" s="28">
        <v>202007</v>
      </c>
      <c r="F2" s="28">
        <v>202008</v>
      </c>
      <c r="G2" s="28">
        <v>202009</v>
      </c>
      <c r="H2" s="28">
        <v>202010</v>
      </c>
      <c r="I2" s="28">
        <v>202011</v>
      </c>
      <c r="J2" s="28">
        <v>202012</v>
      </c>
      <c r="K2" s="28">
        <v>202101</v>
      </c>
      <c r="L2" s="28">
        <v>202102</v>
      </c>
      <c r="M2" s="28">
        <v>202103</v>
      </c>
      <c r="N2" s="28">
        <v>202104</v>
      </c>
      <c r="O2" s="28">
        <v>202105</v>
      </c>
      <c r="P2" s="28">
        <v>202106</v>
      </c>
      <c r="Q2" s="26" t="s">
        <v>9</v>
      </c>
    </row>
    <row r="3" spans="2:17" x14ac:dyDescent="0.15">
      <c r="B3" s="116">
        <f t="shared" ref="B3:B34" si="1">ROW()-2</f>
        <v>1</v>
      </c>
      <c r="C3" s="119" t="s">
        <v>59</v>
      </c>
      <c r="D3" s="126">
        <f t="shared" ref="D3:D34" si="2">SUM(E3:P3)</f>
        <v>0</v>
      </c>
      <c r="E3" s="126"/>
      <c r="F3" s="126"/>
      <c r="G3" s="126"/>
      <c r="H3" s="126"/>
      <c r="I3" s="126"/>
      <c r="J3" s="126"/>
      <c r="K3" s="126"/>
      <c r="L3" s="126"/>
      <c r="M3" s="126"/>
      <c r="N3" s="126"/>
      <c r="O3" s="126"/>
      <c r="P3" s="126"/>
      <c r="Q3" s="118"/>
    </row>
    <row r="4" spans="2:17" x14ac:dyDescent="0.15">
      <c r="B4" s="116">
        <f t="shared" si="1"/>
        <v>2</v>
      </c>
      <c r="C4" s="119" t="s">
        <v>118</v>
      </c>
      <c r="D4" s="117">
        <f t="shared" si="2"/>
        <v>0</v>
      </c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8"/>
    </row>
    <row r="5" spans="2:17" x14ac:dyDescent="0.15">
      <c r="B5" s="116">
        <f t="shared" si="1"/>
        <v>3</v>
      </c>
      <c r="C5" s="119" t="s">
        <v>159</v>
      </c>
      <c r="D5" s="117">
        <f t="shared" si="2"/>
        <v>0</v>
      </c>
      <c r="E5" s="117"/>
      <c r="F5" s="117"/>
      <c r="G5" s="117"/>
      <c r="H5" s="117"/>
      <c r="I5" s="117"/>
      <c r="J5" s="117"/>
      <c r="K5" s="117"/>
      <c r="L5" s="117"/>
      <c r="M5" s="117"/>
      <c r="N5" s="117"/>
      <c r="O5" s="117"/>
      <c r="P5" s="117"/>
      <c r="Q5" s="118"/>
    </row>
    <row r="6" spans="2:17" x14ac:dyDescent="0.15">
      <c r="B6" s="116">
        <f t="shared" si="1"/>
        <v>4</v>
      </c>
      <c r="C6" s="119" t="s">
        <v>101</v>
      </c>
      <c r="D6" s="117">
        <f t="shared" si="2"/>
        <v>0</v>
      </c>
      <c r="E6" s="117"/>
      <c r="F6" s="117"/>
      <c r="G6" s="117"/>
      <c r="H6" s="117"/>
      <c r="I6" s="117"/>
      <c r="J6" s="117"/>
      <c r="K6" s="117"/>
      <c r="L6" s="117"/>
      <c r="M6" s="117"/>
      <c r="N6" s="117"/>
      <c r="O6" s="117"/>
      <c r="P6" s="117"/>
      <c r="Q6" s="118"/>
    </row>
    <row r="7" spans="2:17" x14ac:dyDescent="0.15">
      <c r="B7" s="116">
        <f t="shared" si="1"/>
        <v>5</v>
      </c>
      <c r="C7" s="119" t="s">
        <v>62</v>
      </c>
      <c r="D7" s="117">
        <f t="shared" si="2"/>
        <v>0</v>
      </c>
      <c r="E7" s="117"/>
      <c r="F7" s="117"/>
      <c r="G7" s="117"/>
      <c r="H7" s="117"/>
      <c r="I7" s="117"/>
      <c r="J7" s="117"/>
      <c r="K7" s="117"/>
      <c r="L7" s="117"/>
      <c r="M7" s="117"/>
      <c r="N7" s="117"/>
      <c r="O7" s="117"/>
      <c r="P7" s="117"/>
      <c r="Q7" s="118"/>
    </row>
    <row r="8" spans="2:17" x14ac:dyDescent="0.15">
      <c r="B8" s="116">
        <f t="shared" si="1"/>
        <v>6</v>
      </c>
      <c r="C8" s="119" t="s">
        <v>123</v>
      </c>
      <c r="D8" s="117">
        <f t="shared" si="2"/>
        <v>0</v>
      </c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17"/>
      <c r="P8" s="117"/>
      <c r="Q8" s="118"/>
    </row>
    <row r="9" spans="2:17" x14ac:dyDescent="0.15">
      <c r="B9" s="116">
        <f t="shared" si="1"/>
        <v>7</v>
      </c>
      <c r="C9" s="119" t="s">
        <v>70</v>
      </c>
      <c r="D9" s="126">
        <f t="shared" si="2"/>
        <v>0</v>
      </c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18"/>
    </row>
    <row r="10" spans="2:17" x14ac:dyDescent="0.15">
      <c r="B10" s="116">
        <f t="shared" si="1"/>
        <v>8</v>
      </c>
      <c r="C10" s="119" t="s">
        <v>140</v>
      </c>
      <c r="D10" s="117">
        <f t="shared" si="2"/>
        <v>0</v>
      </c>
      <c r="E10" s="117"/>
      <c r="F10" s="117"/>
      <c r="G10" s="117"/>
      <c r="H10" s="117"/>
      <c r="I10" s="117"/>
      <c r="J10" s="117"/>
      <c r="K10" s="117"/>
      <c r="L10" s="117"/>
      <c r="M10" s="117"/>
      <c r="N10" s="117"/>
      <c r="O10" s="117"/>
      <c r="P10" s="117"/>
      <c r="Q10" s="118"/>
    </row>
    <row r="11" spans="2:17" x14ac:dyDescent="0.15">
      <c r="B11" s="116">
        <f t="shared" si="1"/>
        <v>9</v>
      </c>
      <c r="C11" s="119" t="s">
        <v>106</v>
      </c>
      <c r="D11" s="117">
        <f t="shared" si="2"/>
        <v>0</v>
      </c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8"/>
    </row>
    <row r="12" spans="2:17" x14ac:dyDescent="0.15">
      <c r="B12" s="116">
        <f t="shared" si="1"/>
        <v>10</v>
      </c>
      <c r="C12" s="119" t="s">
        <v>64</v>
      </c>
      <c r="D12" s="126">
        <f t="shared" si="2"/>
        <v>0</v>
      </c>
      <c r="E12" s="126"/>
      <c r="F12" s="126"/>
      <c r="G12" s="126"/>
      <c r="H12" s="126"/>
      <c r="I12" s="126"/>
      <c r="J12" s="126"/>
      <c r="K12" s="126"/>
      <c r="L12" s="126"/>
      <c r="M12" s="126"/>
      <c r="N12" s="126"/>
      <c r="O12" s="126"/>
      <c r="P12" s="126"/>
      <c r="Q12" s="118"/>
    </row>
    <row r="13" spans="2:17" x14ac:dyDescent="0.15">
      <c r="B13" s="116">
        <f t="shared" si="1"/>
        <v>11</v>
      </c>
      <c r="C13" s="119" t="s">
        <v>119</v>
      </c>
      <c r="D13" s="117">
        <f t="shared" si="2"/>
        <v>0</v>
      </c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8"/>
    </row>
    <row r="14" spans="2:17" x14ac:dyDescent="0.15">
      <c r="B14" s="116">
        <f t="shared" si="1"/>
        <v>12</v>
      </c>
      <c r="C14" s="119" t="s">
        <v>45</v>
      </c>
      <c r="D14" s="117">
        <f t="shared" si="2"/>
        <v>0</v>
      </c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8"/>
    </row>
    <row r="15" spans="2:17" x14ac:dyDescent="0.15">
      <c r="B15" s="116">
        <f t="shared" si="1"/>
        <v>13</v>
      </c>
      <c r="C15" s="119" t="s">
        <v>67</v>
      </c>
      <c r="D15" s="117">
        <f t="shared" si="2"/>
        <v>0</v>
      </c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7" x14ac:dyDescent="0.15">
      <c r="B16" s="116">
        <f t="shared" si="1"/>
        <v>14</v>
      </c>
      <c r="C16" s="119" t="s">
        <v>65</v>
      </c>
      <c r="D16" s="117">
        <f t="shared" si="2"/>
        <v>0</v>
      </c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8"/>
    </row>
    <row r="17" spans="2:17" x14ac:dyDescent="0.15">
      <c r="B17" s="116">
        <f t="shared" si="1"/>
        <v>15</v>
      </c>
      <c r="C17" s="119" t="s">
        <v>92</v>
      </c>
      <c r="D17" s="117">
        <f t="shared" si="2"/>
        <v>0</v>
      </c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8"/>
    </row>
    <row r="18" spans="2:17" x14ac:dyDescent="0.15">
      <c r="B18" s="116">
        <f t="shared" si="1"/>
        <v>16</v>
      </c>
      <c r="C18" s="119" t="s">
        <v>61</v>
      </c>
      <c r="D18" s="117">
        <f t="shared" si="2"/>
        <v>0</v>
      </c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8"/>
    </row>
    <row r="19" spans="2:17" x14ac:dyDescent="0.15">
      <c r="B19" s="116">
        <f t="shared" si="1"/>
        <v>17</v>
      </c>
      <c r="C19" s="119" t="s">
        <v>60</v>
      </c>
      <c r="D19" s="117">
        <f t="shared" si="2"/>
        <v>0</v>
      </c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8"/>
    </row>
    <row r="20" spans="2:17" x14ac:dyDescent="0.15">
      <c r="B20" s="116">
        <f t="shared" si="1"/>
        <v>18</v>
      </c>
      <c r="C20" s="119" t="s">
        <v>63</v>
      </c>
      <c r="D20" s="126">
        <f t="shared" si="2"/>
        <v>0</v>
      </c>
      <c r="E20" s="126"/>
      <c r="F20" s="126"/>
      <c r="G20" s="126"/>
      <c r="H20" s="126"/>
      <c r="I20" s="126"/>
      <c r="J20" s="126"/>
      <c r="K20" s="126"/>
      <c r="L20" s="126"/>
      <c r="M20" s="126"/>
      <c r="N20" s="126"/>
      <c r="O20" s="126"/>
      <c r="P20" s="126"/>
      <c r="Q20" s="118"/>
    </row>
    <row r="21" spans="2:17" x14ac:dyDescent="0.15">
      <c r="B21" s="116">
        <f t="shared" si="1"/>
        <v>19</v>
      </c>
      <c r="C21" s="119" t="s">
        <v>160</v>
      </c>
      <c r="D21" s="126">
        <f t="shared" si="2"/>
        <v>0</v>
      </c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18"/>
    </row>
    <row r="22" spans="2:17" x14ac:dyDescent="0.15">
      <c r="B22" s="116">
        <f t="shared" si="1"/>
        <v>20</v>
      </c>
      <c r="C22" s="119" t="s">
        <v>120</v>
      </c>
      <c r="D22" s="126">
        <f t="shared" si="2"/>
        <v>0</v>
      </c>
      <c r="E22" s="126"/>
      <c r="F22" s="126"/>
      <c r="G22" s="126"/>
      <c r="H22" s="126"/>
      <c r="I22" s="126"/>
      <c r="J22" s="126"/>
      <c r="K22" s="126"/>
      <c r="L22" s="126"/>
      <c r="M22" s="126"/>
      <c r="N22" s="126"/>
      <c r="O22" s="126"/>
      <c r="P22" s="126"/>
      <c r="Q22" s="118"/>
    </row>
    <row r="23" spans="2:17" x14ac:dyDescent="0.15">
      <c r="B23" s="116">
        <f t="shared" si="1"/>
        <v>21</v>
      </c>
      <c r="C23" s="119" t="s">
        <v>68</v>
      </c>
      <c r="D23" s="117">
        <f t="shared" si="2"/>
        <v>0</v>
      </c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8"/>
    </row>
    <row r="24" spans="2:17" x14ac:dyDescent="0.15">
      <c r="B24" s="116">
        <f t="shared" si="1"/>
        <v>22</v>
      </c>
      <c r="C24" s="119" t="s">
        <v>136</v>
      </c>
      <c r="D24" s="126">
        <f t="shared" si="2"/>
        <v>0</v>
      </c>
      <c r="E24" s="126"/>
      <c r="F24" s="126"/>
      <c r="G24" s="126"/>
      <c r="H24" s="126"/>
      <c r="I24" s="126"/>
      <c r="J24" s="126"/>
      <c r="K24" s="126"/>
      <c r="L24" s="126"/>
      <c r="M24" s="126"/>
      <c r="N24" s="126"/>
      <c r="O24" s="126"/>
      <c r="P24" s="126"/>
      <c r="Q24" s="118"/>
    </row>
    <row r="25" spans="2:17" x14ac:dyDescent="0.15">
      <c r="B25" s="116">
        <f t="shared" si="1"/>
        <v>23</v>
      </c>
      <c r="C25" s="119" t="s">
        <v>110</v>
      </c>
      <c r="D25" s="126">
        <f t="shared" si="2"/>
        <v>0</v>
      </c>
      <c r="E25" s="126"/>
      <c r="F25" s="126"/>
      <c r="G25" s="126"/>
      <c r="H25" s="126"/>
      <c r="I25" s="126"/>
      <c r="J25" s="126"/>
      <c r="K25" s="126"/>
      <c r="L25" s="126"/>
      <c r="M25" s="126"/>
      <c r="N25" s="126"/>
      <c r="O25" s="126"/>
      <c r="P25" s="126"/>
      <c r="Q25" s="118"/>
    </row>
    <row r="26" spans="2:17" x14ac:dyDescent="0.15">
      <c r="B26" s="116">
        <f t="shared" si="1"/>
        <v>24</v>
      </c>
      <c r="C26" s="119" t="s">
        <v>82</v>
      </c>
      <c r="D26" s="117">
        <f t="shared" si="2"/>
        <v>0</v>
      </c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17"/>
      <c r="P26" s="117"/>
      <c r="Q26" s="118"/>
    </row>
    <row r="27" spans="2:17" x14ac:dyDescent="0.15">
      <c r="B27" s="116">
        <f t="shared" si="1"/>
        <v>25</v>
      </c>
      <c r="C27" s="119" t="s">
        <v>163</v>
      </c>
      <c r="D27" s="117">
        <f t="shared" si="2"/>
        <v>0</v>
      </c>
      <c r="E27" s="117"/>
      <c r="F27" s="117"/>
      <c r="G27" s="117"/>
      <c r="H27" s="117"/>
      <c r="I27" s="117"/>
      <c r="J27" s="117"/>
      <c r="K27" s="117"/>
      <c r="L27" s="117"/>
      <c r="M27" s="117"/>
      <c r="N27" s="117"/>
      <c r="O27" s="117"/>
      <c r="P27" s="117"/>
      <c r="Q27" s="118"/>
    </row>
    <row r="28" spans="2:17" x14ac:dyDescent="0.15">
      <c r="B28" s="116">
        <f t="shared" si="1"/>
        <v>26</v>
      </c>
      <c r="C28" s="119" t="s">
        <v>137</v>
      </c>
      <c r="D28" s="126">
        <f t="shared" si="2"/>
        <v>0</v>
      </c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18"/>
    </row>
    <row r="29" spans="2:17" x14ac:dyDescent="0.15">
      <c r="B29" s="116">
        <f t="shared" si="1"/>
        <v>27</v>
      </c>
      <c r="C29" s="119" t="s">
        <v>69</v>
      </c>
      <c r="D29" s="126">
        <f t="shared" si="2"/>
        <v>0</v>
      </c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18"/>
    </row>
    <row r="30" spans="2:17" x14ac:dyDescent="0.15">
      <c r="B30" s="116">
        <f t="shared" si="1"/>
        <v>28</v>
      </c>
      <c r="C30" s="119" t="s">
        <v>109</v>
      </c>
      <c r="D30" s="117">
        <f t="shared" si="2"/>
        <v>0</v>
      </c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8"/>
    </row>
    <row r="31" spans="2:17" x14ac:dyDescent="0.15">
      <c r="B31" s="116">
        <f t="shared" si="1"/>
        <v>29</v>
      </c>
      <c r="C31" s="119" t="s">
        <v>72</v>
      </c>
      <c r="D31" s="117">
        <f t="shared" si="2"/>
        <v>0</v>
      </c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8"/>
    </row>
    <row r="32" spans="2:17" x14ac:dyDescent="0.15">
      <c r="B32" s="116">
        <f t="shared" si="1"/>
        <v>30</v>
      </c>
      <c r="C32" s="119" t="s">
        <v>71</v>
      </c>
      <c r="D32" s="126">
        <f t="shared" si="2"/>
        <v>0</v>
      </c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18"/>
    </row>
    <row r="33" spans="2:17" x14ac:dyDescent="0.15">
      <c r="B33" s="116">
        <f t="shared" si="1"/>
        <v>31</v>
      </c>
      <c r="C33" s="119" t="s">
        <v>138</v>
      </c>
      <c r="D33" s="117">
        <f t="shared" si="2"/>
        <v>0</v>
      </c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8"/>
    </row>
    <row r="34" spans="2:17" x14ac:dyDescent="0.15">
      <c r="B34" s="116">
        <f t="shared" si="1"/>
        <v>32</v>
      </c>
      <c r="C34" s="119" t="s">
        <v>114</v>
      </c>
      <c r="D34" s="117">
        <f t="shared" si="2"/>
        <v>0</v>
      </c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8"/>
    </row>
    <row r="35" spans="2:17" x14ac:dyDescent="0.15">
      <c r="B35" s="116">
        <f t="shared" ref="B35:B66" si="3">ROW()-2</f>
        <v>33</v>
      </c>
      <c r="C35" s="119" t="s">
        <v>139</v>
      </c>
      <c r="D35" s="117">
        <f t="shared" ref="D35:D66" si="4">SUM(E35:P35)</f>
        <v>0</v>
      </c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8"/>
    </row>
    <row r="36" spans="2:17" x14ac:dyDescent="0.15">
      <c r="B36" s="116">
        <f t="shared" si="3"/>
        <v>34</v>
      </c>
      <c r="C36" s="119" t="s">
        <v>113</v>
      </c>
      <c r="D36" s="117">
        <f t="shared" si="4"/>
        <v>0</v>
      </c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8"/>
    </row>
    <row r="37" spans="2:17" x14ac:dyDescent="0.15">
      <c r="B37" s="116">
        <f t="shared" si="3"/>
        <v>35</v>
      </c>
      <c r="C37" s="119" t="s">
        <v>66</v>
      </c>
      <c r="D37" s="126">
        <f t="shared" si="4"/>
        <v>0</v>
      </c>
      <c r="E37" s="126"/>
      <c r="F37" s="126"/>
      <c r="G37" s="126"/>
      <c r="H37" s="126"/>
      <c r="I37" s="126"/>
      <c r="J37" s="126"/>
      <c r="K37" s="126"/>
      <c r="L37" s="126"/>
      <c r="M37" s="126"/>
      <c r="N37" s="126"/>
      <c r="O37" s="126"/>
      <c r="P37" s="126"/>
      <c r="Q37" s="118"/>
    </row>
    <row r="38" spans="2:17" x14ac:dyDescent="0.15">
      <c r="B38" s="116">
        <f t="shared" si="3"/>
        <v>36</v>
      </c>
      <c r="C38" s="119" t="s">
        <v>111</v>
      </c>
      <c r="D38" s="117">
        <f t="shared" si="4"/>
        <v>0</v>
      </c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8"/>
    </row>
    <row r="39" spans="2:17" x14ac:dyDescent="0.15">
      <c r="B39" s="116">
        <f t="shared" si="3"/>
        <v>37</v>
      </c>
      <c r="C39" s="119" t="s">
        <v>115</v>
      </c>
      <c r="D39" s="126">
        <f t="shared" si="4"/>
        <v>0</v>
      </c>
      <c r="E39" s="126"/>
      <c r="F39" s="126"/>
      <c r="G39" s="126"/>
      <c r="H39" s="126"/>
      <c r="I39" s="126"/>
      <c r="J39" s="126"/>
      <c r="K39" s="126"/>
      <c r="L39" s="126"/>
      <c r="M39" s="126"/>
      <c r="N39" s="126"/>
      <c r="O39" s="126"/>
      <c r="P39" s="126"/>
      <c r="Q39" s="118"/>
    </row>
    <row r="40" spans="2:17" x14ac:dyDescent="0.15">
      <c r="B40" s="116">
        <f t="shared" si="3"/>
        <v>38</v>
      </c>
      <c r="C40" s="119" t="s">
        <v>83</v>
      </c>
      <c r="D40" s="117">
        <f t="shared" si="4"/>
        <v>0</v>
      </c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8"/>
    </row>
    <row r="41" spans="2:17" x14ac:dyDescent="0.15">
      <c r="B41" s="116">
        <f t="shared" si="3"/>
        <v>39</v>
      </c>
      <c r="C41" s="119" t="s">
        <v>107</v>
      </c>
      <c r="D41" s="126">
        <f t="shared" si="4"/>
        <v>0</v>
      </c>
      <c r="E41" s="126"/>
      <c r="F41" s="126"/>
      <c r="G41" s="126"/>
      <c r="H41" s="126"/>
      <c r="I41" s="126"/>
      <c r="J41" s="126"/>
      <c r="K41" s="126"/>
      <c r="L41" s="126"/>
      <c r="M41" s="126"/>
      <c r="N41" s="126"/>
      <c r="O41" s="126"/>
      <c r="P41" s="126"/>
      <c r="Q41" s="118"/>
    </row>
    <row r="42" spans="2:17" x14ac:dyDescent="0.15">
      <c r="B42" s="116">
        <f t="shared" si="3"/>
        <v>40</v>
      </c>
      <c r="C42" s="119" t="s">
        <v>105</v>
      </c>
      <c r="D42" s="126">
        <f t="shared" si="4"/>
        <v>0</v>
      </c>
      <c r="E42" s="126"/>
      <c r="F42" s="126"/>
      <c r="G42" s="126"/>
      <c r="H42" s="126"/>
      <c r="I42" s="126"/>
      <c r="J42" s="126"/>
      <c r="K42" s="126"/>
      <c r="L42" s="126"/>
      <c r="M42" s="126"/>
      <c r="N42" s="126"/>
      <c r="O42" s="126"/>
      <c r="P42" s="126"/>
      <c r="Q42" s="118"/>
    </row>
    <row r="43" spans="2:17" x14ac:dyDescent="0.15">
      <c r="B43" s="116">
        <f t="shared" si="3"/>
        <v>41</v>
      </c>
      <c r="C43" s="119" t="s">
        <v>108</v>
      </c>
      <c r="D43" s="126">
        <f t="shared" si="4"/>
        <v>0</v>
      </c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18"/>
    </row>
    <row r="44" spans="2:17" x14ac:dyDescent="0.15">
      <c r="B44" s="116">
        <f t="shared" si="3"/>
        <v>42</v>
      </c>
      <c r="C44" s="119" t="s">
        <v>112</v>
      </c>
      <c r="D44" s="117">
        <f t="shared" si="4"/>
        <v>0</v>
      </c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8"/>
    </row>
    <row r="45" spans="2:17" x14ac:dyDescent="0.15">
      <c r="B45" s="116">
        <f t="shared" si="3"/>
        <v>43</v>
      </c>
      <c r="C45" s="119" t="s">
        <v>134</v>
      </c>
      <c r="D45" s="126">
        <f t="shared" si="4"/>
        <v>0</v>
      </c>
      <c r="E45" s="126"/>
      <c r="F45" s="126"/>
      <c r="G45" s="126"/>
      <c r="H45" s="126"/>
      <c r="I45" s="126"/>
      <c r="J45" s="126"/>
      <c r="K45" s="126"/>
      <c r="L45" s="126"/>
      <c r="M45" s="126"/>
      <c r="N45" s="126"/>
      <c r="O45" s="126"/>
      <c r="P45" s="126"/>
      <c r="Q45" s="118"/>
    </row>
    <row r="46" spans="2:17" x14ac:dyDescent="0.15">
      <c r="B46" s="116">
        <f t="shared" si="3"/>
        <v>44</v>
      </c>
      <c r="C46" s="119" t="s">
        <v>133</v>
      </c>
      <c r="D46" s="126">
        <f t="shared" si="4"/>
        <v>0</v>
      </c>
      <c r="E46" s="126"/>
      <c r="F46" s="126"/>
      <c r="G46" s="126"/>
      <c r="H46" s="126"/>
      <c r="I46" s="126"/>
      <c r="J46" s="126"/>
      <c r="K46" s="126"/>
      <c r="L46" s="126"/>
      <c r="M46" s="126"/>
      <c r="N46" s="126"/>
      <c r="O46" s="126"/>
      <c r="P46" s="126"/>
      <c r="Q46" s="118"/>
    </row>
    <row r="47" spans="2:17" x14ac:dyDescent="0.15">
      <c r="B47" s="116">
        <f t="shared" si="3"/>
        <v>45</v>
      </c>
      <c r="C47" s="119" t="s">
        <v>117</v>
      </c>
      <c r="D47" s="126">
        <f t="shared" si="4"/>
        <v>0</v>
      </c>
      <c r="E47" s="126"/>
      <c r="F47" s="126"/>
      <c r="G47" s="126"/>
      <c r="H47" s="126"/>
      <c r="I47" s="126"/>
      <c r="J47" s="126"/>
      <c r="K47" s="126"/>
      <c r="L47" s="126"/>
      <c r="M47" s="126"/>
      <c r="N47" s="126"/>
      <c r="O47" s="126"/>
      <c r="P47" s="126"/>
      <c r="Q47" s="118"/>
    </row>
    <row r="48" spans="2:17" x14ac:dyDescent="0.15">
      <c r="B48" s="116">
        <f t="shared" si="3"/>
        <v>46</v>
      </c>
      <c r="C48" s="119" t="s">
        <v>135</v>
      </c>
      <c r="D48" s="117">
        <f t="shared" si="4"/>
        <v>0</v>
      </c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  <c r="Q48" s="118"/>
    </row>
    <row r="49" spans="2:17" x14ac:dyDescent="0.15">
      <c r="B49" s="116">
        <f t="shared" si="3"/>
        <v>47</v>
      </c>
      <c r="C49" s="119" t="s">
        <v>141</v>
      </c>
      <c r="D49" s="126">
        <f t="shared" si="4"/>
        <v>0</v>
      </c>
      <c r="E49" s="126"/>
      <c r="F49" s="126"/>
      <c r="G49" s="126"/>
      <c r="H49" s="126"/>
      <c r="I49" s="126"/>
      <c r="J49" s="126"/>
      <c r="K49" s="126"/>
      <c r="L49" s="126"/>
      <c r="M49" s="126"/>
      <c r="N49" s="126"/>
      <c r="O49" s="126"/>
      <c r="P49" s="126"/>
      <c r="Q49" s="118"/>
    </row>
    <row r="50" spans="2:17" x14ac:dyDescent="0.15">
      <c r="B50" s="116">
        <f t="shared" si="3"/>
        <v>48</v>
      </c>
      <c r="C50" s="119" t="s">
        <v>116</v>
      </c>
      <c r="D50" s="117">
        <f t="shared" si="4"/>
        <v>0</v>
      </c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  <c r="Q50" s="118"/>
    </row>
    <row r="51" spans="2:17" x14ac:dyDescent="0.15">
      <c r="B51" s="116">
        <f t="shared" si="3"/>
        <v>49</v>
      </c>
      <c r="C51" s="119" t="s">
        <v>121</v>
      </c>
      <c r="D51" s="117">
        <f t="shared" si="4"/>
        <v>0</v>
      </c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  <c r="Q51" s="118"/>
    </row>
    <row r="52" spans="2:17" x14ac:dyDescent="0.15">
      <c r="B52" s="116">
        <f t="shared" si="3"/>
        <v>50</v>
      </c>
      <c r="C52" s="119" t="s">
        <v>142</v>
      </c>
      <c r="D52" s="117">
        <f t="shared" si="4"/>
        <v>0</v>
      </c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  <c r="Q52" s="118"/>
    </row>
    <row r="53" spans="2:17" x14ac:dyDescent="0.15">
      <c r="B53" s="116">
        <f t="shared" si="3"/>
        <v>51</v>
      </c>
      <c r="C53" s="119" t="s">
        <v>156</v>
      </c>
      <c r="D53" s="117">
        <f t="shared" si="4"/>
        <v>0</v>
      </c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8"/>
    </row>
    <row r="54" spans="2:17" x14ac:dyDescent="0.15">
      <c r="B54" s="116">
        <f t="shared" si="3"/>
        <v>52</v>
      </c>
      <c r="C54" s="119" t="s">
        <v>157</v>
      </c>
      <c r="D54" s="117">
        <f t="shared" si="4"/>
        <v>0</v>
      </c>
      <c r="E54" s="117"/>
      <c r="F54" s="117"/>
      <c r="G54" s="117"/>
      <c r="H54" s="117"/>
      <c r="I54" s="117"/>
      <c r="J54" s="117"/>
      <c r="K54" s="117"/>
      <c r="L54" s="117"/>
      <c r="M54" s="117"/>
      <c r="N54" s="117"/>
      <c r="O54" s="117"/>
      <c r="P54" s="117"/>
      <c r="Q54" s="118"/>
    </row>
    <row r="55" spans="2:17" x14ac:dyDescent="0.15">
      <c r="B55" s="116">
        <f t="shared" si="3"/>
        <v>53</v>
      </c>
      <c r="C55" s="119" t="s">
        <v>158</v>
      </c>
      <c r="D55" s="117">
        <f t="shared" si="4"/>
        <v>0</v>
      </c>
      <c r="E55" s="117"/>
      <c r="F55" s="117"/>
      <c r="G55" s="117"/>
      <c r="H55" s="117"/>
      <c r="I55" s="117"/>
      <c r="J55" s="117"/>
      <c r="K55" s="117"/>
      <c r="L55" s="117"/>
      <c r="M55" s="117"/>
      <c r="N55" s="117"/>
      <c r="O55" s="117"/>
      <c r="P55" s="117"/>
      <c r="Q55" s="118"/>
    </row>
    <row r="56" spans="2:17" x14ac:dyDescent="0.15">
      <c r="B56" s="116">
        <f t="shared" si="3"/>
        <v>54</v>
      </c>
      <c r="C56" s="119" t="s">
        <v>155</v>
      </c>
      <c r="D56" s="117">
        <f t="shared" si="4"/>
        <v>0</v>
      </c>
      <c r="E56" s="117"/>
      <c r="F56" s="117"/>
      <c r="G56" s="117"/>
      <c r="H56" s="117"/>
      <c r="I56" s="117"/>
      <c r="J56" s="117"/>
      <c r="K56" s="117"/>
      <c r="L56" s="117"/>
      <c r="M56" s="117"/>
      <c r="N56" s="117"/>
      <c r="O56" s="117"/>
      <c r="P56" s="117"/>
      <c r="Q56" s="118"/>
    </row>
    <row r="57" spans="2:17" x14ac:dyDescent="0.15">
      <c r="B57" s="116">
        <f t="shared" si="3"/>
        <v>55</v>
      </c>
      <c r="C57" s="119" t="s">
        <v>161</v>
      </c>
      <c r="D57" s="117">
        <f t="shared" si="4"/>
        <v>0</v>
      </c>
      <c r="E57" s="117"/>
      <c r="F57" s="117"/>
      <c r="G57" s="117"/>
      <c r="H57" s="117"/>
      <c r="I57" s="117"/>
      <c r="J57" s="117"/>
      <c r="K57" s="117"/>
      <c r="L57" s="117"/>
      <c r="M57" s="117"/>
      <c r="N57" s="117"/>
      <c r="O57" s="117"/>
      <c r="P57" s="117"/>
      <c r="Q57" s="118"/>
    </row>
    <row r="58" spans="2:17" x14ac:dyDescent="0.15">
      <c r="B58" s="116">
        <f t="shared" si="3"/>
        <v>56</v>
      </c>
      <c r="C58" s="119" t="s">
        <v>162</v>
      </c>
      <c r="D58" s="117">
        <f t="shared" si="4"/>
        <v>0</v>
      </c>
      <c r="E58" s="117"/>
      <c r="F58" s="117"/>
      <c r="G58" s="117"/>
      <c r="H58" s="117"/>
      <c r="I58" s="117"/>
      <c r="J58" s="117"/>
      <c r="K58" s="117"/>
      <c r="L58" s="117"/>
      <c r="M58" s="117"/>
      <c r="N58" s="117"/>
      <c r="O58" s="117"/>
      <c r="P58" s="117"/>
      <c r="Q58" s="118"/>
    </row>
    <row r="59" spans="2:17" x14ac:dyDescent="0.15">
      <c r="B59" s="116">
        <f t="shared" si="3"/>
        <v>57</v>
      </c>
      <c r="C59" s="119" t="s">
        <v>164</v>
      </c>
      <c r="D59" s="117">
        <f t="shared" si="4"/>
        <v>0</v>
      </c>
      <c r="E59" s="117"/>
      <c r="F59" s="117"/>
      <c r="G59" s="117"/>
      <c r="H59" s="117"/>
      <c r="I59" s="117"/>
      <c r="J59" s="117"/>
      <c r="K59" s="117"/>
      <c r="L59" s="117"/>
      <c r="M59" s="117"/>
      <c r="N59" s="117"/>
      <c r="O59" s="117"/>
      <c r="P59" s="117"/>
      <c r="Q59" s="118"/>
    </row>
    <row r="60" spans="2:17" x14ac:dyDescent="0.15">
      <c r="B60" s="116">
        <f t="shared" si="3"/>
        <v>58</v>
      </c>
      <c r="C60" s="119"/>
      <c r="D60" s="117">
        <f t="shared" si="4"/>
        <v>0</v>
      </c>
      <c r="E60" s="117"/>
      <c r="F60" s="117"/>
      <c r="G60" s="117"/>
      <c r="H60" s="117"/>
      <c r="I60" s="117"/>
      <c r="J60" s="117"/>
      <c r="K60" s="117"/>
      <c r="L60" s="117"/>
      <c r="M60" s="117"/>
      <c r="N60" s="117"/>
      <c r="O60" s="117"/>
      <c r="P60" s="117"/>
      <c r="Q60" s="118"/>
    </row>
    <row r="61" spans="2:17" x14ac:dyDescent="0.15">
      <c r="B61" s="116">
        <f t="shared" si="3"/>
        <v>59</v>
      </c>
      <c r="C61" s="119"/>
      <c r="D61" s="117">
        <f t="shared" si="4"/>
        <v>0</v>
      </c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8"/>
    </row>
    <row r="62" spans="2:17" x14ac:dyDescent="0.15">
      <c r="B62" s="116">
        <f t="shared" si="3"/>
        <v>60</v>
      </c>
      <c r="C62" s="119"/>
      <c r="D62" s="117">
        <f t="shared" si="4"/>
        <v>0</v>
      </c>
      <c r="E62" s="117"/>
      <c r="F62" s="117"/>
      <c r="G62" s="117"/>
      <c r="H62" s="117"/>
      <c r="I62" s="117"/>
      <c r="J62" s="117"/>
      <c r="K62" s="117"/>
      <c r="L62" s="117"/>
      <c r="M62" s="117"/>
      <c r="N62" s="117"/>
      <c r="O62" s="117"/>
      <c r="P62" s="117"/>
      <c r="Q62" s="118"/>
    </row>
    <row r="63" spans="2:17" x14ac:dyDescent="0.15">
      <c r="B63" s="116">
        <f t="shared" si="3"/>
        <v>61</v>
      </c>
      <c r="C63" s="119"/>
      <c r="D63" s="117">
        <f t="shared" si="4"/>
        <v>0</v>
      </c>
      <c r="E63" s="117"/>
      <c r="F63" s="117"/>
      <c r="G63" s="117"/>
      <c r="H63" s="117"/>
      <c r="I63" s="117"/>
      <c r="J63" s="117"/>
      <c r="K63" s="117"/>
      <c r="L63" s="117"/>
      <c r="M63" s="117"/>
      <c r="N63" s="117"/>
      <c r="O63" s="117"/>
      <c r="P63" s="117"/>
      <c r="Q63" s="118"/>
    </row>
    <row r="64" spans="2:17" x14ac:dyDescent="0.15">
      <c r="B64" s="116">
        <f t="shared" si="3"/>
        <v>62</v>
      </c>
      <c r="C64" s="119"/>
      <c r="D64" s="117">
        <f t="shared" si="4"/>
        <v>0</v>
      </c>
      <c r="E64" s="117"/>
      <c r="F64" s="117"/>
      <c r="G64" s="117"/>
      <c r="H64" s="117"/>
      <c r="I64" s="117"/>
      <c r="J64" s="117"/>
      <c r="K64" s="117"/>
      <c r="L64" s="117"/>
      <c r="M64" s="117"/>
      <c r="N64" s="117"/>
      <c r="O64" s="117"/>
      <c r="P64" s="117"/>
      <c r="Q64" s="118"/>
    </row>
    <row r="65" spans="2:17" x14ac:dyDescent="0.15">
      <c r="B65" s="116">
        <f t="shared" si="3"/>
        <v>63</v>
      </c>
      <c r="C65" s="119"/>
      <c r="D65" s="117">
        <f t="shared" si="4"/>
        <v>0</v>
      </c>
      <c r="E65" s="117"/>
      <c r="F65" s="117"/>
      <c r="G65" s="117"/>
      <c r="H65" s="117"/>
      <c r="I65" s="117"/>
      <c r="J65" s="117"/>
      <c r="K65" s="117"/>
      <c r="L65" s="117"/>
      <c r="M65" s="117"/>
      <c r="N65" s="117"/>
      <c r="O65" s="117"/>
      <c r="P65" s="117"/>
      <c r="Q65" s="118"/>
    </row>
    <row r="66" spans="2:17" x14ac:dyDescent="0.15">
      <c r="B66" s="116">
        <f t="shared" si="3"/>
        <v>64</v>
      </c>
      <c r="C66" s="119"/>
      <c r="D66" s="117">
        <f t="shared" si="4"/>
        <v>0</v>
      </c>
      <c r="E66" s="117"/>
      <c r="F66" s="117"/>
      <c r="G66" s="117"/>
      <c r="H66" s="117"/>
      <c r="I66" s="117"/>
      <c r="J66" s="117"/>
      <c r="K66" s="117"/>
      <c r="L66" s="117"/>
      <c r="M66" s="117"/>
      <c r="N66" s="117"/>
      <c r="O66" s="117"/>
      <c r="P66" s="117"/>
      <c r="Q66" s="118"/>
    </row>
    <row r="67" spans="2:17" x14ac:dyDescent="0.15">
      <c r="B67" s="116">
        <f t="shared" ref="B67:B101" si="5">ROW()-2</f>
        <v>65</v>
      </c>
      <c r="C67" s="119"/>
      <c r="D67" s="117">
        <f t="shared" ref="D67:D98" si="6">SUM(E67:P67)</f>
        <v>0</v>
      </c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7"/>
      <c r="P67" s="117"/>
      <c r="Q67" s="118"/>
    </row>
    <row r="68" spans="2:17" x14ac:dyDescent="0.15">
      <c r="B68" s="116">
        <f t="shared" si="5"/>
        <v>66</v>
      </c>
      <c r="C68" s="119"/>
      <c r="D68" s="117">
        <f t="shared" si="6"/>
        <v>0</v>
      </c>
      <c r="E68" s="117"/>
      <c r="F68" s="117"/>
      <c r="G68" s="117"/>
      <c r="H68" s="117"/>
      <c r="I68" s="117"/>
      <c r="J68" s="117"/>
      <c r="K68" s="117"/>
      <c r="L68" s="117"/>
      <c r="M68" s="117"/>
      <c r="N68" s="117"/>
      <c r="O68" s="117"/>
      <c r="P68" s="117"/>
      <c r="Q68" s="118"/>
    </row>
    <row r="69" spans="2:17" x14ac:dyDescent="0.15">
      <c r="B69" s="116">
        <f t="shared" si="5"/>
        <v>67</v>
      </c>
      <c r="C69" s="119"/>
      <c r="D69" s="117">
        <f t="shared" si="6"/>
        <v>0</v>
      </c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  <c r="P69" s="117"/>
      <c r="Q69" s="118"/>
    </row>
    <row r="70" spans="2:17" x14ac:dyDescent="0.15">
      <c r="B70" s="116">
        <f t="shared" si="5"/>
        <v>68</v>
      </c>
      <c r="C70" s="119"/>
      <c r="D70" s="117">
        <f t="shared" si="6"/>
        <v>0</v>
      </c>
      <c r="E70" s="117"/>
      <c r="F70" s="117"/>
      <c r="G70" s="117"/>
      <c r="H70" s="117"/>
      <c r="I70" s="117"/>
      <c r="J70" s="117"/>
      <c r="K70" s="117"/>
      <c r="L70" s="117"/>
      <c r="M70" s="117"/>
      <c r="N70" s="117"/>
      <c r="O70" s="117"/>
      <c r="P70" s="117"/>
      <c r="Q70" s="118"/>
    </row>
    <row r="71" spans="2:17" x14ac:dyDescent="0.15">
      <c r="B71" s="116">
        <f t="shared" si="5"/>
        <v>69</v>
      </c>
      <c r="C71" s="119"/>
      <c r="D71" s="117">
        <f t="shared" si="6"/>
        <v>0</v>
      </c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8"/>
    </row>
    <row r="72" spans="2:17" x14ac:dyDescent="0.15">
      <c r="B72" s="116">
        <f t="shared" si="5"/>
        <v>70</v>
      </c>
      <c r="C72" s="119"/>
      <c r="D72" s="117">
        <f t="shared" si="6"/>
        <v>0</v>
      </c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8"/>
    </row>
    <row r="73" spans="2:17" x14ac:dyDescent="0.15">
      <c r="B73" s="116">
        <f t="shared" si="5"/>
        <v>71</v>
      </c>
      <c r="C73" s="119"/>
      <c r="D73" s="117">
        <f t="shared" si="6"/>
        <v>0</v>
      </c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8"/>
    </row>
    <row r="74" spans="2:17" x14ac:dyDescent="0.15">
      <c r="B74" s="116">
        <f t="shared" si="5"/>
        <v>72</v>
      </c>
      <c r="C74" s="119"/>
      <c r="D74" s="117">
        <f t="shared" si="6"/>
        <v>0</v>
      </c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8"/>
    </row>
    <row r="75" spans="2:17" x14ac:dyDescent="0.15">
      <c r="B75" s="116">
        <f t="shared" si="5"/>
        <v>73</v>
      </c>
      <c r="C75" s="119"/>
      <c r="D75" s="117">
        <f t="shared" si="6"/>
        <v>0</v>
      </c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8"/>
    </row>
    <row r="76" spans="2:17" x14ac:dyDescent="0.15">
      <c r="B76" s="116">
        <f t="shared" si="5"/>
        <v>74</v>
      </c>
      <c r="C76" s="119"/>
      <c r="D76" s="117">
        <f t="shared" si="6"/>
        <v>0</v>
      </c>
      <c r="E76" s="117"/>
      <c r="F76" s="117"/>
      <c r="G76" s="117"/>
      <c r="H76" s="117"/>
      <c r="I76" s="117"/>
      <c r="J76" s="117"/>
      <c r="K76" s="117"/>
      <c r="L76" s="117"/>
      <c r="M76" s="117"/>
      <c r="N76" s="117"/>
      <c r="O76" s="117"/>
      <c r="P76" s="117"/>
      <c r="Q76" s="118"/>
    </row>
    <row r="77" spans="2:17" x14ac:dyDescent="0.15">
      <c r="B77" s="116">
        <f t="shared" si="5"/>
        <v>75</v>
      </c>
      <c r="C77" s="119"/>
      <c r="D77" s="117">
        <f t="shared" si="6"/>
        <v>0</v>
      </c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  <c r="P77" s="117"/>
      <c r="Q77" s="118"/>
    </row>
    <row r="78" spans="2:17" x14ac:dyDescent="0.15">
      <c r="B78" s="116">
        <f t="shared" si="5"/>
        <v>76</v>
      </c>
      <c r="C78" s="119"/>
      <c r="D78" s="117">
        <f t="shared" si="6"/>
        <v>0</v>
      </c>
      <c r="E78" s="117"/>
      <c r="F78" s="117"/>
      <c r="G78" s="117"/>
      <c r="H78" s="117"/>
      <c r="I78" s="117"/>
      <c r="J78" s="117"/>
      <c r="K78" s="117"/>
      <c r="L78" s="117"/>
      <c r="M78" s="117"/>
      <c r="N78" s="117"/>
      <c r="O78" s="117"/>
      <c r="P78" s="117"/>
      <c r="Q78" s="118"/>
    </row>
    <row r="79" spans="2:17" x14ac:dyDescent="0.15">
      <c r="B79" s="116">
        <f t="shared" si="5"/>
        <v>77</v>
      </c>
      <c r="C79" s="119"/>
      <c r="D79" s="117">
        <f t="shared" si="6"/>
        <v>0</v>
      </c>
      <c r="E79" s="117"/>
      <c r="F79" s="117"/>
      <c r="G79" s="117"/>
      <c r="H79" s="117"/>
      <c r="I79" s="117"/>
      <c r="J79" s="117"/>
      <c r="K79" s="117"/>
      <c r="L79" s="117"/>
      <c r="M79" s="117"/>
      <c r="N79" s="117"/>
      <c r="O79" s="117"/>
      <c r="P79" s="117"/>
      <c r="Q79" s="118"/>
    </row>
    <row r="80" spans="2:17" x14ac:dyDescent="0.15">
      <c r="B80" s="116">
        <f t="shared" si="5"/>
        <v>78</v>
      </c>
      <c r="C80" s="119"/>
      <c r="D80" s="117">
        <f t="shared" si="6"/>
        <v>0</v>
      </c>
      <c r="E80" s="117"/>
      <c r="F80" s="117"/>
      <c r="G80" s="117"/>
      <c r="H80" s="117"/>
      <c r="I80" s="117"/>
      <c r="J80" s="117"/>
      <c r="K80" s="117"/>
      <c r="L80" s="117"/>
      <c r="M80" s="117"/>
      <c r="N80" s="117"/>
      <c r="O80" s="117"/>
      <c r="P80" s="117"/>
      <c r="Q80" s="118"/>
    </row>
    <row r="81" spans="2:17" x14ac:dyDescent="0.15">
      <c r="B81" s="116">
        <f t="shared" si="5"/>
        <v>79</v>
      </c>
      <c r="C81" s="119"/>
      <c r="D81" s="117">
        <f t="shared" si="6"/>
        <v>0</v>
      </c>
      <c r="E81" s="117"/>
      <c r="F81" s="117"/>
      <c r="G81" s="117"/>
      <c r="H81" s="117"/>
      <c r="I81" s="117"/>
      <c r="J81" s="117"/>
      <c r="K81" s="117"/>
      <c r="L81" s="117"/>
      <c r="M81" s="117"/>
      <c r="N81" s="117"/>
      <c r="O81" s="117"/>
      <c r="P81" s="117"/>
      <c r="Q81" s="118"/>
    </row>
    <row r="82" spans="2:17" x14ac:dyDescent="0.15">
      <c r="B82" s="116">
        <f t="shared" si="5"/>
        <v>80</v>
      </c>
      <c r="C82" s="119"/>
      <c r="D82" s="117">
        <f t="shared" si="6"/>
        <v>0</v>
      </c>
      <c r="E82" s="117"/>
      <c r="F82" s="117"/>
      <c r="G82" s="117"/>
      <c r="H82" s="117"/>
      <c r="I82" s="117"/>
      <c r="J82" s="117"/>
      <c r="K82" s="117"/>
      <c r="L82" s="117"/>
      <c r="M82" s="117"/>
      <c r="N82" s="117"/>
      <c r="O82" s="117"/>
      <c r="P82" s="117"/>
      <c r="Q82" s="118"/>
    </row>
    <row r="83" spans="2:17" x14ac:dyDescent="0.15">
      <c r="B83" s="116">
        <f t="shared" si="5"/>
        <v>81</v>
      </c>
      <c r="C83" s="119"/>
      <c r="D83" s="117">
        <f t="shared" si="6"/>
        <v>0</v>
      </c>
      <c r="E83" s="117"/>
      <c r="F83" s="117"/>
      <c r="G83" s="117"/>
      <c r="H83" s="117"/>
      <c r="I83" s="117"/>
      <c r="J83" s="117"/>
      <c r="K83" s="117"/>
      <c r="L83" s="117"/>
      <c r="M83" s="117"/>
      <c r="N83" s="117"/>
      <c r="O83" s="117"/>
      <c r="P83" s="117"/>
      <c r="Q83" s="118"/>
    </row>
    <row r="84" spans="2:17" x14ac:dyDescent="0.15">
      <c r="B84" s="116">
        <f t="shared" si="5"/>
        <v>82</v>
      </c>
      <c r="C84" s="119"/>
      <c r="D84" s="117">
        <f t="shared" si="6"/>
        <v>0</v>
      </c>
      <c r="E84" s="117"/>
      <c r="F84" s="117"/>
      <c r="G84" s="117"/>
      <c r="H84" s="117"/>
      <c r="I84" s="117"/>
      <c r="J84" s="117"/>
      <c r="K84" s="117"/>
      <c r="L84" s="117"/>
      <c r="M84" s="117"/>
      <c r="N84" s="117"/>
      <c r="O84" s="117"/>
      <c r="P84" s="117"/>
      <c r="Q84" s="118"/>
    </row>
    <row r="85" spans="2:17" x14ac:dyDescent="0.15">
      <c r="B85" s="116">
        <f t="shared" si="5"/>
        <v>83</v>
      </c>
      <c r="C85" s="119"/>
      <c r="D85" s="117">
        <f t="shared" si="6"/>
        <v>0</v>
      </c>
      <c r="E85" s="117"/>
      <c r="F85" s="117"/>
      <c r="G85" s="117"/>
      <c r="H85" s="117"/>
      <c r="I85" s="117"/>
      <c r="J85" s="117"/>
      <c r="K85" s="117"/>
      <c r="L85" s="117"/>
      <c r="M85" s="117"/>
      <c r="N85" s="117"/>
      <c r="O85" s="117"/>
      <c r="P85" s="117"/>
      <c r="Q85" s="118"/>
    </row>
    <row r="86" spans="2:17" x14ac:dyDescent="0.15">
      <c r="B86" s="116">
        <f t="shared" si="5"/>
        <v>84</v>
      </c>
      <c r="C86" s="119"/>
      <c r="D86" s="117">
        <f t="shared" si="6"/>
        <v>0</v>
      </c>
      <c r="E86" s="117"/>
      <c r="F86" s="117"/>
      <c r="G86" s="117"/>
      <c r="H86" s="117"/>
      <c r="I86" s="117"/>
      <c r="J86" s="117"/>
      <c r="K86" s="117"/>
      <c r="L86" s="117"/>
      <c r="M86" s="117"/>
      <c r="N86" s="117"/>
      <c r="O86" s="117"/>
      <c r="P86" s="117"/>
      <c r="Q86" s="118"/>
    </row>
    <row r="87" spans="2:17" x14ac:dyDescent="0.15">
      <c r="B87" s="116">
        <f t="shared" si="5"/>
        <v>85</v>
      </c>
      <c r="C87" s="119"/>
      <c r="D87" s="117">
        <f t="shared" si="6"/>
        <v>0</v>
      </c>
      <c r="E87" s="117"/>
      <c r="F87" s="117"/>
      <c r="G87" s="117"/>
      <c r="H87" s="117"/>
      <c r="I87" s="117"/>
      <c r="J87" s="117"/>
      <c r="K87" s="117"/>
      <c r="L87" s="117"/>
      <c r="M87" s="117"/>
      <c r="N87" s="117"/>
      <c r="O87" s="117"/>
      <c r="P87" s="117"/>
      <c r="Q87" s="118"/>
    </row>
    <row r="88" spans="2:17" x14ac:dyDescent="0.15">
      <c r="B88" s="116">
        <f t="shared" si="5"/>
        <v>86</v>
      </c>
      <c r="C88" s="119"/>
      <c r="D88" s="117">
        <f t="shared" si="6"/>
        <v>0</v>
      </c>
      <c r="E88" s="117"/>
      <c r="F88" s="117"/>
      <c r="G88" s="117"/>
      <c r="H88" s="117"/>
      <c r="I88" s="117"/>
      <c r="J88" s="117"/>
      <c r="K88" s="117"/>
      <c r="L88" s="117"/>
      <c r="M88" s="117"/>
      <c r="N88" s="117"/>
      <c r="O88" s="117"/>
      <c r="P88" s="117"/>
      <c r="Q88" s="118"/>
    </row>
    <row r="89" spans="2:17" x14ac:dyDescent="0.15">
      <c r="B89" s="116">
        <f t="shared" si="5"/>
        <v>87</v>
      </c>
      <c r="C89" s="119"/>
      <c r="D89" s="117">
        <f t="shared" si="6"/>
        <v>0</v>
      </c>
      <c r="E89" s="117"/>
      <c r="F89" s="117"/>
      <c r="G89" s="117"/>
      <c r="H89" s="117"/>
      <c r="I89" s="117"/>
      <c r="J89" s="117"/>
      <c r="K89" s="117"/>
      <c r="L89" s="117"/>
      <c r="M89" s="117"/>
      <c r="N89" s="117"/>
      <c r="O89" s="117"/>
      <c r="P89" s="117"/>
      <c r="Q89" s="118"/>
    </row>
    <row r="90" spans="2:17" x14ac:dyDescent="0.15">
      <c r="B90" s="116">
        <f t="shared" si="5"/>
        <v>88</v>
      </c>
      <c r="C90" s="119"/>
      <c r="D90" s="117">
        <f t="shared" si="6"/>
        <v>0</v>
      </c>
      <c r="E90" s="117"/>
      <c r="F90" s="117"/>
      <c r="G90" s="117"/>
      <c r="H90" s="117"/>
      <c r="I90" s="117"/>
      <c r="J90" s="117"/>
      <c r="K90" s="117"/>
      <c r="L90" s="117"/>
      <c r="M90" s="117"/>
      <c r="N90" s="117"/>
      <c r="O90" s="117"/>
      <c r="P90" s="117"/>
      <c r="Q90" s="118"/>
    </row>
    <row r="91" spans="2:17" x14ac:dyDescent="0.15">
      <c r="B91" s="116">
        <f t="shared" si="5"/>
        <v>89</v>
      </c>
      <c r="C91" s="119"/>
      <c r="D91" s="117">
        <f t="shared" si="6"/>
        <v>0</v>
      </c>
      <c r="E91" s="117"/>
      <c r="F91" s="117"/>
      <c r="G91" s="117"/>
      <c r="H91" s="117"/>
      <c r="I91" s="117"/>
      <c r="J91" s="117"/>
      <c r="K91" s="117"/>
      <c r="L91" s="117"/>
      <c r="M91" s="117"/>
      <c r="N91" s="117"/>
      <c r="O91" s="117"/>
      <c r="P91" s="117"/>
      <c r="Q91" s="118"/>
    </row>
    <row r="92" spans="2:17" x14ac:dyDescent="0.15">
      <c r="B92" s="116">
        <f t="shared" si="5"/>
        <v>90</v>
      </c>
      <c r="C92" s="119"/>
      <c r="D92" s="117">
        <f t="shared" si="6"/>
        <v>0</v>
      </c>
      <c r="E92" s="117"/>
      <c r="F92" s="117"/>
      <c r="G92" s="117"/>
      <c r="H92" s="117"/>
      <c r="I92" s="117"/>
      <c r="J92" s="117"/>
      <c r="K92" s="117"/>
      <c r="L92" s="117"/>
      <c r="M92" s="117"/>
      <c r="N92" s="117"/>
      <c r="O92" s="117"/>
      <c r="P92" s="117"/>
      <c r="Q92" s="118"/>
    </row>
    <row r="93" spans="2:17" x14ac:dyDescent="0.15">
      <c r="B93" s="116">
        <f t="shared" si="5"/>
        <v>91</v>
      </c>
      <c r="C93" s="119"/>
      <c r="D93" s="117">
        <f t="shared" si="6"/>
        <v>0</v>
      </c>
      <c r="E93" s="117"/>
      <c r="F93" s="117"/>
      <c r="G93" s="117"/>
      <c r="H93" s="117"/>
      <c r="I93" s="117"/>
      <c r="J93" s="117"/>
      <c r="K93" s="117"/>
      <c r="L93" s="117"/>
      <c r="M93" s="117"/>
      <c r="N93" s="117"/>
      <c r="O93" s="117"/>
      <c r="P93" s="117"/>
      <c r="Q93" s="118"/>
    </row>
    <row r="94" spans="2:17" x14ac:dyDescent="0.15">
      <c r="B94" s="116">
        <f t="shared" si="5"/>
        <v>92</v>
      </c>
      <c r="C94" s="119"/>
      <c r="D94" s="117">
        <f t="shared" si="6"/>
        <v>0</v>
      </c>
      <c r="E94" s="117"/>
      <c r="F94" s="117"/>
      <c r="G94" s="117"/>
      <c r="H94" s="117"/>
      <c r="I94" s="117"/>
      <c r="J94" s="117"/>
      <c r="K94" s="117"/>
      <c r="L94" s="117"/>
      <c r="M94" s="117"/>
      <c r="N94" s="117"/>
      <c r="O94" s="117"/>
      <c r="P94" s="117"/>
      <c r="Q94" s="118"/>
    </row>
    <row r="95" spans="2:17" x14ac:dyDescent="0.15">
      <c r="B95" s="116">
        <f t="shared" si="5"/>
        <v>93</v>
      </c>
      <c r="C95" s="119"/>
      <c r="D95" s="117">
        <f t="shared" si="6"/>
        <v>0</v>
      </c>
      <c r="E95" s="117"/>
      <c r="F95" s="117"/>
      <c r="G95" s="117"/>
      <c r="H95" s="117"/>
      <c r="I95" s="117"/>
      <c r="J95" s="117"/>
      <c r="K95" s="117"/>
      <c r="L95" s="117"/>
      <c r="M95" s="117"/>
      <c r="N95" s="117"/>
      <c r="O95" s="117"/>
      <c r="P95" s="117"/>
      <c r="Q95" s="118"/>
    </row>
    <row r="96" spans="2:17" x14ac:dyDescent="0.15">
      <c r="B96" s="116">
        <f t="shared" si="5"/>
        <v>94</v>
      </c>
      <c r="C96" s="119"/>
      <c r="D96" s="117">
        <f t="shared" si="6"/>
        <v>0</v>
      </c>
      <c r="E96" s="117"/>
      <c r="F96" s="117"/>
      <c r="G96" s="117"/>
      <c r="H96" s="117"/>
      <c r="I96" s="117"/>
      <c r="J96" s="117"/>
      <c r="K96" s="117"/>
      <c r="L96" s="117"/>
      <c r="M96" s="117"/>
      <c r="N96" s="117"/>
      <c r="O96" s="117"/>
      <c r="P96" s="117"/>
      <c r="Q96" s="118"/>
    </row>
    <row r="97" spans="2:17" x14ac:dyDescent="0.15">
      <c r="B97" s="116">
        <f t="shared" si="5"/>
        <v>95</v>
      </c>
      <c r="C97" s="119"/>
      <c r="D97" s="117">
        <f t="shared" si="6"/>
        <v>0</v>
      </c>
      <c r="E97" s="117"/>
      <c r="F97" s="117"/>
      <c r="G97" s="117"/>
      <c r="H97" s="117"/>
      <c r="I97" s="117"/>
      <c r="J97" s="117"/>
      <c r="K97" s="117"/>
      <c r="L97" s="117"/>
      <c r="M97" s="117"/>
      <c r="N97" s="117"/>
      <c r="O97" s="117"/>
      <c r="P97" s="117"/>
      <c r="Q97" s="118"/>
    </row>
    <row r="98" spans="2:17" x14ac:dyDescent="0.15">
      <c r="B98" s="116">
        <f t="shared" si="5"/>
        <v>96</v>
      </c>
      <c r="C98" s="119"/>
      <c r="D98" s="117">
        <f t="shared" si="6"/>
        <v>0</v>
      </c>
      <c r="E98" s="117"/>
      <c r="F98" s="117"/>
      <c r="G98" s="117"/>
      <c r="H98" s="117"/>
      <c r="I98" s="117"/>
      <c r="J98" s="117"/>
      <c r="K98" s="117"/>
      <c r="L98" s="117"/>
      <c r="M98" s="117"/>
      <c r="N98" s="117"/>
      <c r="O98" s="117"/>
      <c r="P98" s="117"/>
      <c r="Q98" s="118"/>
    </row>
    <row r="99" spans="2:17" x14ac:dyDescent="0.15">
      <c r="B99" s="116">
        <f t="shared" si="5"/>
        <v>97</v>
      </c>
      <c r="C99" s="119"/>
      <c r="D99" s="117">
        <f t="shared" ref="D99:D101" si="7">SUM(E99:P99)</f>
        <v>0</v>
      </c>
      <c r="E99" s="117"/>
      <c r="F99" s="117"/>
      <c r="G99" s="117"/>
      <c r="H99" s="117"/>
      <c r="I99" s="117"/>
      <c r="J99" s="117"/>
      <c r="K99" s="117"/>
      <c r="L99" s="117"/>
      <c r="M99" s="117"/>
      <c r="N99" s="117"/>
      <c r="O99" s="117"/>
      <c r="P99" s="117"/>
      <c r="Q99" s="118"/>
    </row>
    <row r="100" spans="2:17" x14ac:dyDescent="0.15">
      <c r="B100" s="116">
        <f t="shared" si="5"/>
        <v>98</v>
      </c>
      <c r="C100" s="119"/>
      <c r="D100" s="117">
        <f t="shared" si="7"/>
        <v>0</v>
      </c>
      <c r="E100" s="117"/>
      <c r="F100" s="117"/>
      <c r="G100" s="117"/>
      <c r="H100" s="117"/>
      <c r="I100" s="117"/>
      <c r="J100" s="117"/>
      <c r="K100" s="117"/>
      <c r="L100" s="117"/>
      <c r="M100" s="117"/>
      <c r="N100" s="117"/>
      <c r="O100" s="117"/>
      <c r="P100" s="117"/>
      <c r="Q100" s="118"/>
    </row>
    <row r="101" spans="2:17" x14ac:dyDescent="0.15">
      <c r="B101" s="116">
        <f t="shared" si="5"/>
        <v>99</v>
      </c>
      <c r="C101" s="119"/>
      <c r="D101" s="117">
        <f t="shared" si="7"/>
        <v>0</v>
      </c>
      <c r="E101" s="117"/>
      <c r="F101" s="117"/>
      <c r="G101" s="117"/>
      <c r="H101" s="117"/>
      <c r="I101" s="117"/>
      <c r="J101" s="117"/>
      <c r="K101" s="117"/>
      <c r="L101" s="117"/>
      <c r="M101" s="117"/>
      <c r="N101" s="117"/>
      <c r="O101" s="117"/>
      <c r="P101" s="117"/>
      <c r="Q101" s="118"/>
    </row>
  </sheetData>
  <sortState xmlns:xlrd2="http://schemas.microsoft.com/office/spreadsheetml/2017/richdata2" ref="B3:Q102">
    <sortCondition descending="1" ref="D2"/>
  </sortState>
  <phoneticPr fontId="6"/>
  <printOptions horizontalCentered="1"/>
  <pageMargins left="0.31496062992125984" right="0.31496062992125984" top="0.55118110236220474" bottom="0.55118110236220474" header="0.31496062992125984" footer="0.31496062992125984"/>
  <pageSetup paperSize="8" scale="85" orientation="landscape" r:id="rId1"/>
  <headerFooter>
    <oddHeader>&amp;C&amp;A&amp;R社外密</oddHeader>
    <oddFooter>&amp;C&amp;F　&amp;A&amp;R&amp;P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仕入先データ読み取り">
                <anchor moveWithCells="1" sizeWithCells="1">
                  <from>
                    <xdr:col>2</xdr:col>
                    <xdr:colOff>47625</xdr:colOff>
                    <xdr:row>0</xdr:row>
                    <xdr:rowOff>85725</xdr:rowOff>
                  </from>
                  <to>
                    <xdr:col>2</xdr:col>
                    <xdr:colOff>1057275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仕入先データクリア">
                <anchor moveWithCells="1" sizeWithCells="1">
                  <from>
                    <xdr:col>2</xdr:col>
                    <xdr:colOff>1104900</xdr:colOff>
                    <xdr:row>0</xdr:row>
                    <xdr:rowOff>85725</xdr:rowOff>
                  </from>
                  <to>
                    <xdr:col>2</xdr:col>
                    <xdr:colOff>2124075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DataSort">
                <anchor moveWithCells="1" sizeWithCells="1">
                  <from>
                    <xdr:col>2</xdr:col>
                    <xdr:colOff>2162175</xdr:colOff>
                    <xdr:row>0</xdr:row>
                    <xdr:rowOff>85725</xdr:rowOff>
                  </from>
                  <to>
                    <xdr:col>2</xdr:col>
                    <xdr:colOff>3171825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5D021-FD3B-447F-B54E-1094981D98B5}">
  <sheetPr codeName="Sheet25"/>
  <dimension ref="B1:S34"/>
  <sheetViews>
    <sheetView showGridLines="0"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H6" sqref="H6"/>
    </sheetView>
  </sheetViews>
  <sheetFormatPr defaultColWidth="4.125" defaultRowHeight="13.5" x14ac:dyDescent="0.15"/>
  <cols>
    <col min="1" max="1" width="2.125" style="14" customWidth="1"/>
    <col min="2" max="2" width="4.125" style="16" customWidth="1"/>
    <col min="3" max="3" width="8.25" style="16" customWidth="1"/>
    <col min="4" max="4" width="14.25" style="14" customWidth="1"/>
    <col min="5" max="5" width="17.5" style="24" customWidth="1"/>
    <col min="6" max="6" width="13.75" style="24" bestFit="1" customWidth="1"/>
    <col min="7" max="7" width="12.625" style="24" bestFit="1" customWidth="1"/>
    <col min="8" max="10" width="11.5" style="24" bestFit="1" customWidth="1"/>
    <col min="11" max="11" width="12.625" style="24" bestFit="1" customWidth="1"/>
    <col min="12" max="17" width="11.5" style="24" bestFit="1" customWidth="1"/>
    <col min="18" max="18" width="12.625" style="24" bestFit="1" customWidth="1"/>
    <col min="19" max="19" width="19.875" style="14" customWidth="1"/>
    <col min="20" max="16384" width="4.125" style="14"/>
  </cols>
  <sheetData>
    <row r="1" spans="2:19" ht="41.25" customHeight="1" x14ac:dyDescent="0.15"/>
    <row r="2" spans="2:19" ht="32.1" customHeight="1" x14ac:dyDescent="0.15">
      <c r="E2" s="65" t="s">
        <v>43</v>
      </c>
      <c r="F2" s="25">
        <f t="shared" ref="F2:R2" si="0">SUM(F4:F17)</f>
        <v>0</v>
      </c>
      <c r="G2" s="25">
        <f t="shared" si="0"/>
        <v>0</v>
      </c>
      <c r="H2" s="25">
        <f t="shared" si="0"/>
        <v>0</v>
      </c>
      <c r="I2" s="25">
        <f t="shared" si="0"/>
        <v>0</v>
      </c>
      <c r="J2" s="25">
        <f t="shared" si="0"/>
        <v>0</v>
      </c>
      <c r="K2" s="25">
        <f t="shared" si="0"/>
        <v>0</v>
      </c>
      <c r="L2" s="25">
        <f t="shared" si="0"/>
        <v>0</v>
      </c>
      <c r="M2" s="25">
        <f t="shared" si="0"/>
        <v>0</v>
      </c>
      <c r="N2" s="25">
        <f t="shared" si="0"/>
        <v>0</v>
      </c>
      <c r="O2" s="25">
        <f t="shared" si="0"/>
        <v>0</v>
      </c>
      <c r="P2" s="25">
        <f t="shared" si="0"/>
        <v>0</v>
      </c>
      <c r="Q2" s="25">
        <f t="shared" si="0"/>
        <v>0</v>
      </c>
      <c r="R2" s="25">
        <f t="shared" si="0"/>
        <v>0</v>
      </c>
    </row>
    <row r="3" spans="2:19" ht="35.25" customHeight="1" x14ac:dyDescent="0.15">
      <c r="B3" s="27" t="s">
        <v>103</v>
      </c>
      <c r="C3" s="27" t="s">
        <v>5</v>
      </c>
      <c r="D3" s="26" t="s">
        <v>6</v>
      </c>
      <c r="E3" s="61" t="s">
        <v>7</v>
      </c>
      <c r="F3" s="27" t="s">
        <v>26</v>
      </c>
      <c r="G3" s="28">
        <v>202007</v>
      </c>
      <c r="H3" s="28">
        <v>202008</v>
      </c>
      <c r="I3" s="28">
        <v>202009</v>
      </c>
      <c r="J3" s="28">
        <v>202010</v>
      </c>
      <c r="K3" s="28">
        <v>202011</v>
      </c>
      <c r="L3" s="28">
        <v>202012</v>
      </c>
      <c r="M3" s="28">
        <v>202101</v>
      </c>
      <c r="N3" s="28">
        <v>202102</v>
      </c>
      <c r="O3" s="28">
        <v>202103</v>
      </c>
      <c r="P3" s="28">
        <v>202104</v>
      </c>
      <c r="Q3" s="28">
        <v>202105</v>
      </c>
      <c r="R3" s="28">
        <v>202106</v>
      </c>
      <c r="S3" s="121" t="s">
        <v>9</v>
      </c>
    </row>
    <row r="4" spans="2:19" ht="18" customHeight="1" x14ac:dyDescent="0.15">
      <c r="B4" s="122">
        <v>1</v>
      </c>
      <c r="C4" s="123" t="s">
        <v>8</v>
      </c>
      <c r="D4" s="124" t="s">
        <v>18</v>
      </c>
      <c r="E4" s="21" t="s">
        <v>12</v>
      </c>
      <c r="F4" s="29">
        <f t="shared" ref="F4:F17" si="1">SUM(G4:R4)</f>
        <v>0</v>
      </c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20"/>
    </row>
    <row r="5" spans="2:19" ht="18" customHeight="1" x14ac:dyDescent="0.15">
      <c r="B5" s="122"/>
      <c r="C5" s="106" t="s">
        <v>11</v>
      </c>
      <c r="D5" s="31" t="s">
        <v>18</v>
      </c>
      <c r="E5" s="21" t="s">
        <v>125</v>
      </c>
      <c r="F5" s="29">
        <f t="shared" si="1"/>
        <v>0</v>
      </c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20"/>
    </row>
    <row r="6" spans="2:19" ht="18" customHeight="1" x14ac:dyDescent="0.15">
      <c r="B6" s="122"/>
      <c r="C6" s="106" t="s">
        <v>11</v>
      </c>
      <c r="D6" s="31" t="s">
        <v>18</v>
      </c>
      <c r="E6" s="21" t="s">
        <v>130</v>
      </c>
      <c r="F6" s="29">
        <f t="shared" si="1"/>
        <v>0</v>
      </c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20"/>
    </row>
    <row r="7" spans="2:19" ht="18" customHeight="1" x14ac:dyDescent="0.15">
      <c r="B7" s="122"/>
      <c r="C7" s="106" t="s">
        <v>11</v>
      </c>
      <c r="D7" s="31" t="s">
        <v>18</v>
      </c>
      <c r="E7" s="21" t="s">
        <v>126</v>
      </c>
      <c r="F7" s="29">
        <f t="shared" si="1"/>
        <v>0</v>
      </c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20"/>
    </row>
    <row r="8" spans="2:19" ht="18" customHeight="1" x14ac:dyDescent="0.15">
      <c r="B8" s="122"/>
      <c r="C8" s="106" t="s">
        <v>11</v>
      </c>
      <c r="D8" s="31" t="s">
        <v>18</v>
      </c>
      <c r="E8" s="21" t="s">
        <v>128</v>
      </c>
      <c r="F8" s="29">
        <f t="shared" si="1"/>
        <v>0</v>
      </c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20"/>
    </row>
    <row r="9" spans="2:19" ht="18" customHeight="1" x14ac:dyDescent="0.15">
      <c r="B9" s="122"/>
      <c r="C9" s="106" t="s">
        <v>11</v>
      </c>
      <c r="D9" s="31" t="s">
        <v>18</v>
      </c>
      <c r="E9" s="21" t="s">
        <v>131</v>
      </c>
      <c r="F9" s="29">
        <f t="shared" si="1"/>
        <v>0</v>
      </c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20"/>
    </row>
    <row r="10" spans="2:19" ht="18" customHeight="1" x14ac:dyDescent="0.15">
      <c r="B10" s="122"/>
      <c r="C10" s="106" t="s">
        <v>11</v>
      </c>
      <c r="D10" s="31" t="s">
        <v>18</v>
      </c>
      <c r="E10" s="21" t="s">
        <v>132</v>
      </c>
      <c r="F10" s="29">
        <f t="shared" si="1"/>
        <v>0</v>
      </c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20"/>
    </row>
    <row r="11" spans="2:19" ht="18" customHeight="1" x14ac:dyDescent="0.15">
      <c r="B11" s="122"/>
      <c r="C11" s="106" t="s">
        <v>11</v>
      </c>
      <c r="D11" s="31" t="s">
        <v>18</v>
      </c>
      <c r="E11" s="21" t="s">
        <v>13</v>
      </c>
      <c r="F11" s="29">
        <f t="shared" si="1"/>
        <v>0</v>
      </c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20"/>
    </row>
    <row r="12" spans="2:19" ht="18" customHeight="1" x14ac:dyDescent="0.15">
      <c r="B12" s="122"/>
      <c r="C12" s="106" t="s">
        <v>11</v>
      </c>
      <c r="D12" s="31" t="s">
        <v>18</v>
      </c>
      <c r="E12" s="21" t="s">
        <v>10</v>
      </c>
      <c r="F12" s="29">
        <f t="shared" si="1"/>
        <v>0</v>
      </c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20"/>
    </row>
    <row r="13" spans="2:19" ht="18" customHeight="1" x14ac:dyDescent="0.15">
      <c r="B13" s="122"/>
      <c r="C13" s="106" t="s">
        <v>11</v>
      </c>
      <c r="D13" s="31" t="s">
        <v>18</v>
      </c>
      <c r="E13" s="21"/>
      <c r="F13" s="29">
        <f t="shared" si="1"/>
        <v>0</v>
      </c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20"/>
    </row>
    <row r="14" spans="2:19" ht="18" customHeight="1" x14ac:dyDescent="0.15">
      <c r="B14" s="122"/>
      <c r="C14" s="106" t="s">
        <v>11</v>
      </c>
      <c r="D14" s="124" t="s">
        <v>19</v>
      </c>
      <c r="E14" s="21" t="s">
        <v>14</v>
      </c>
      <c r="F14" s="29">
        <f t="shared" si="1"/>
        <v>0</v>
      </c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20"/>
    </row>
    <row r="15" spans="2:19" ht="18" customHeight="1" x14ac:dyDescent="0.15">
      <c r="B15" s="122"/>
      <c r="C15" s="106" t="s">
        <v>11</v>
      </c>
      <c r="D15" s="31" t="s">
        <v>19</v>
      </c>
      <c r="E15" s="21" t="s">
        <v>15</v>
      </c>
      <c r="F15" s="29">
        <f t="shared" si="1"/>
        <v>0</v>
      </c>
      <c r="G15" s="32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20"/>
    </row>
    <row r="16" spans="2:19" ht="18" customHeight="1" x14ac:dyDescent="0.15">
      <c r="B16" s="122"/>
      <c r="C16" s="106" t="s">
        <v>11</v>
      </c>
      <c r="D16" s="31" t="s">
        <v>19</v>
      </c>
      <c r="E16" s="21" t="s">
        <v>10</v>
      </c>
      <c r="F16" s="29">
        <f t="shared" si="1"/>
        <v>0</v>
      </c>
      <c r="G16" s="32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2"/>
      <c r="S16" s="20"/>
    </row>
    <row r="17" spans="2:19" ht="18" customHeight="1" x14ac:dyDescent="0.15">
      <c r="B17" s="125"/>
      <c r="C17" s="107" t="s">
        <v>11</v>
      </c>
      <c r="D17" s="30" t="s">
        <v>19</v>
      </c>
      <c r="E17" s="20"/>
      <c r="F17" s="29">
        <f t="shared" si="1"/>
        <v>0</v>
      </c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20"/>
    </row>
    <row r="18" spans="2:19" ht="7.5" customHeight="1" x14ac:dyDescent="0.15">
      <c r="B18" s="108"/>
      <c r="C18" s="109"/>
      <c r="D18" s="109"/>
      <c r="E18" s="109"/>
      <c r="F18" s="109"/>
      <c r="G18" s="109"/>
      <c r="H18" s="109"/>
      <c r="I18" s="109"/>
      <c r="J18" s="109"/>
      <c r="K18" s="109"/>
      <c r="L18" s="109"/>
      <c r="M18" s="109"/>
      <c r="N18" s="109"/>
      <c r="O18" s="109"/>
      <c r="P18" s="109"/>
      <c r="Q18" s="109"/>
      <c r="R18" s="109"/>
      <c r="S18" s="109"/>
    </row>
    <row r="19" spans="2:19" ht="32.1" customHeight="1" x14ac:dyDescent="0.15">
      <c r="E19" s="65" t="s">
        <v>44</v>
      </c>
      <c r="F19" s="64">
        <f>SUM(F21:F34)</f>
        <v>0</v>
      </c>
      <c r="G19" s="64">
        <f t="shared" ref="G19:R19" si="2">SUM(G21:G34)</f>
        <v>0</v>
      </c>
      <c r="H19" s="64">
        <f t="shared" si="2"/>
        <v>0</v>
      </c>
      <c r="I19" s="64">
        <f t="shared" si="2"/>
        <v>0</v>
      </c>
      <c r="J19" s="64">
        <f t="shared" si="2"/>
        <v>0</v>
      </c>
      <c r="K19" s="64">
        <f t="shared" si="2"/>
        <v>0</v>
      </c>
      <c r="L19" s="64">
        <f t="shared" si="2"/>
        <v>0</v>
      </c>
      <c r="M19" s="64">
        <f t="shared" si="2"/>
        <v>0</v>
      </c>
      <c r="N19" s="64">
        <f t="shared" si="2"/>
        <v>0</v>
      </c>
      <c r="O19" s="64">
        <f t="shared" si="2"/>
        <v>0</v>
      </c>
      <c r="P19" s="64">
        <f t="shared" si="2"/>
        <v>0</v>
      </c>
      <c r="Q19" s="64">
        <f t="shared" si="2"/>
        <v>0</v>
      </c>
      <c r="R19" s="64">
        <f t="shared" si="2"/>
        <v>0</v>
      </c>
    </row>
    <row r="20" spans="2:19" ht="35.25" customHeight="1" x14ac:dyDescent="0.15">
      <c r="B20" s="27" t="s">
        <v>103</v>
      </c>
      <c r="C20" s="27" t="s">
        <v>5</v>
      </c>
      <c r="D20" s="26" t="s">
        <v>6</v>
      </c>
      <c r="E20" s="61" t="s">
        <v>7</v>
      </c>
      <c r="F20" s="27" t="s">
        <v>26</v>
      </c>
      <c r="G20" s="28">
        <v>202007</v>
      </c>
      <c r="H20" s="28">
        <v>202008</v>
      </c>
      <c r="I20" s="28">
        <v>202009</v>
      </c>
      <c r="J20" s="28">
        <v>202010</v>
      </c>
      <c r="K20" s="28">
        <v>202011</v>
      </c>
      <c r="L20" s="28">
        <v>202012</v>
      </c>
      <c r="M20" s="28">
        <v>202101</v>
      </c>
      <c r="N20" s="28">
        <v>202102</v>
      </c>
      <c r="O20" s="28">
        <v>202103</v>
      </c>
      <c r="P20" s="28">
        <v>202104</v>
      </c>
      <c r="Q20" s="28">
        <v>202105</v>
      </c>
      <c r="R20" s="28">
        <v>202106</v>
      </c>
      <c r="S20" s="121" t="s">
        <v>9</v>
      </c>
    </row>
    <row r="21" spans="2:19" ht="18" customHeight="1" x14ac:dyDescent="0.15">
      <c r="B21" s="103">
        <v>2</v>
      </c>
      <c r="C21" s="105" t="s">
        <v>8</v>
      </c>
      <c r="D21" s="19" t="s">
        <v>18</v>
      </c>
      <c r="E21" s="21" t="s">
        <v>12</v>
      </c>
      <c r="F21" s="29">
        <f t="shared" ref="F21:F34" si="3">SUM(G21:R21)</f>
        <v>0</v>
      </c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20"/>
    </row>
    <row r="22" spans="2:19" ht="18" customHeight="1" x14ac:dyDescent="0.15">
      <c r="B22" s="103"/>
      <c r="C22" s="106" t="s">
        <v>11</v>
      </c>
      <c r="D22" s="31" t="s">
        <v>18</v>
      </c>
      <c r="E22" s="21" t="s">
        <v>125</v>
      </c>
      <c r="F22" s="29">
        <f t="shared" si="3"/>
        <v>0</v>
      </c>
      <c r="G22" s="32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2"/>
      <c r="S22" s="20"/>
    </row>
    <row r="23" spans="2:19" ht="18" customHeight="1" x14ac:dyDescent="0.15">
      <c r="B23" s="103"/>
      <c r="C23" s="106" t="s">
        <v>11</v>
      </c>
      <c r="D23" s="31" t="s">
        <v>18</v>
      </c>
      <c r="E23" s="21" t="s">
        <v>130</v>
      </c>
      <c r="F23" s="29">
        <f t="shared" si="3"/>
        <v>0</v>
      </c>
      <c r="G23" s="32"/>
      <c r="H23" s="32"/>
      <c r="I23" s="32"/>
      <c r="J23" s="32"/>
      <c r="K23" s="32"/>
      <c r="L23" s="32"/>
      <c r="M23" s="32"/>
      <c r="N23" s="32"/>
      <c r="O23" s="32"/>
      <c r="P23" s="32"/>
      <c r="Q23" s="32"/>
      <c r="R23" s="32"/>
      <c r="S23" s="20"/>
    </row>
    <row r="24" spans="2:19" ht="18" customHeight="1" x14ac:dyDescent="0.15">
      <c r="B24" s="103"/>
      <c r="C24" s="106" t="s">
        <v>11</v>
      </c>
      <c r="D24" s="31" t="s">
        <v>18</v>
      </c>
      <c r="E24" s="21" t="s">
        <v>126</v>
      </c>
      <c r="F24" s="29">
        <f t="shared" si="3"/>
        <v>0</v>
      </c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20"/>
    </row>
    <row r="25" spans="2:19" ht="18" customHeight="1" x14ac:dyDescent="0.15">
      <c r="B25" s="103"/>
      <c r="C25" s="106" t="s">
        <v>11</v>
      </c>
      <c r="D25" s="31" t="s">
        <v>18</v>
      </c>
      <c r="E25" s="21" t="s">
        <v>128</v>
      </c>
      <c r="F25" s="29">
        <f t="shared" si="3"/>
        <v>0</v>
      </c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20"/>
    </row>
    <row r="26" spans="2:19" ht="18" customHeight="1" x14ac:dyDescent="0.15">
      <c r="B26" s="103"/>
      <c r="C26" s="106" t="s">
        <v>11</v>
      </c>
      <c r="D26" s="31" t="s">
        <v>18</v>
      </c>
      <c r="E26" s="21" t="s">
        <v>131</v>
      </c>
      <c r="F26" s="29">
        <f t="shared" si="3"/>
        <v>0</v>
      </c>
      <c r="G26" s="32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2"/>
      <c r="S26" s="20"/>
    </row>
    <row r="27" spans="2:19" ht="18" customHeight="1" x14ac:dyDescent="0.15">
      <c r="B27" s="103"/>
      <c r="C27" s="106" t="s">
        <v>11</v>
      </c>
      <c r="D27" s="31" t="s">
        <v>18</v>
      </c>
      <c r="E27" s="21" t="s">
        <v>132</v>
      </c>
      <c r="F27" s="29">
        <f t="shared" si="3"/>
        <v>0</v>
      </c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20"/>
    </row>
    <row r="28" spans="2:19" ht="18" customHeight="1" x14ac:dyDescent="0.15">
      <c r="B28" s="103"/>
      <c r="C28" s="106" t="s">
        <v>11</v>
      </c>
      <c r="D28" s="31" t="s">
        <v>18</v>
      </c>
      <c r="E28" s="21" t="s">
        <v>13</v>
      </c>
      <c r="F28" s="29">
        <f t="shared" si="3"/>
        <v>0</v>
      </c>
      <c r="G28" s="32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2"/>
      <c r="S28" s="20"/>
    </row>
    <row r="29" spans="2:19" ht="18" customHeight="1" x14ac:dyDescent="0.15">
      <c r="B29" s="103"/>
      <c r="C29" s="106" t="s">
        <v>11</v>
      </c>
      <c r="D29" s="31" t="s">
        <v>18</v>
      </c>
      <c r="E29" s="21" t="s">
        <v>10</v>
      </c>
      <c r="F29" s="29">
        <f t="shared" si="3"/>
        <v>0</v>
      </c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20"/>
    </row>
    <row r="30" spans="2:19" ht="18" customHeight="1" x14ac:dyDescent="0.15">
      <c r="B30" s="103"/>
      <c r="C30" s="106" t="s">
        <v>11</v>
      </c>
      <c r="D30" s="31" t="s">
        <v>18</v>
      </c>
      <c r="E30" s="21"/>
      <c r="F30" s="29">
        <f t="shared" si="3"/>
        <v>0</v>
      </c>
      <c r="G30" s="32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2"/>
      <c r="S30" s="20"/>
    </row>
    <row r="31" spans="2:19" ht="18" customHeight="1" x14ac:dyDescent="0.15">
      <c r="B31" s="103"/>
      <c r="C31" s="106" t="s">
        <v>11</v>
      </c>
      <c r="D31" s="19" t="s">
        <v>19</v>
      </c>
      <c r="E31" s="21" t="s">
        <v>14</v>
      </c>
      <c r="F31" s="29">
        <f t="shared" si="3"/>
        <v>0</v>
      </c>
      <c r="G31" s="32"/>
      <c r="H31" s="32"/>
      <c r="I31" s="32"/>
      <c r="J31" s="32"/>
      <c r="K31" s="32"/>
      <c r="L31" s="32"/>
      <c r="M31" s="32"/>
      <c r="N31" s="32"/>
      <c r="O31" s="32"/>
      <c r="P31" s="32"/>
      <c r="Q31" s="32"/>
      <c r="R31" s="32"/>
      <c r="S31" s="20"/>
    </row>
    <row r="32" spans="2:19" ht="18" customHeight="1" x14ac:dyDescent="0.15">
      <c r="B32" s="103"/>
      <c r="C32" s="106" t="s">
        <v>11</v>
      </c>
      <c r="D32" s="31" t="s">
        <v>19</v>
      </c>
      <c r="E32" s="21" t="s">
        <v>15</v>
      </c>
      <c r="F32" s="29">
        <f t="shared" si="3"/>
        <v>0</v>
      </c>
      <c r="G32" s="32"/>
      <c r="H32" s="32"/>
      <c r="I32" s="32"/>
      <c r="J32" s="32"/>
      <c r="K32" s="32"/>
      <c r="L32" s="32"/>
      <c r="M32" s="32"/>
      <c r="N32" s="32"/>
      <c r="O32" s="32"/>
      <c r="P32" s="32"/>
      <c r="Q32" s="32"/>
      <c r="R32" s="32"/>
      <c r="S32" s="20"/>
    </row>
    <row r="33" spans="2:19" ht="18" customHeight="1" x14ac:dyDescent="0.15">
      <c r="B33" s="103"/>
      <c r="C33" s="106" t="s">
        <v>11</v>
      </c>
      <c r="D33" s="31" t="s">
        <v>19</v>
      </c>
      <c r="E33" s="21" t="s">
        <v>10</v>
      </c>
      <c r="F33" s="29">
        <f t="shared" si="3"/>
        <v>0</v>
      </c>
      <c r="G33" s="32"/>
      <c r="H33" s="32"/>
      <c r="I33" s="32"/>
      <c r="J33" s="32"/>
      <c r="K33" s="32"/>
      <c r="L33" s="32"/>
      <c r="M33" s="32"/>
      <c r="N33" s="32"/>
      <c r="O33" s="32"/>
      <c r="P33" s="32"/>
      <c r="Q33" s="32"/>
      <c r="R33" s="32"/>
      <c r="S33" s="20"/>
    </row>
    <row r="34" spans="2:19" ht="18" customHeight="1" x14ac:dyDescent="0.15">
      <c r="B34" s="104"/>
      <c r="C34" s="107" t="s">
        <v>11</v>
      </c>
      <c r="D34" s="30" t="s">
        <v>19</v>
      </c>
      <c r="E34" s="20"/>
      <c r="F34" s="29">
        <f t="shared" si="3"/>
        <v>0</v>
      </c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20"/>
    </row>
  </sheetData>
  <phoneticPr fontId="6"/>
  <printOptions horizontalCentered="1"/>
  <pageMargins left="0.31496062992125984" right="0.31496062992125984" top="0.55118110236220474" bottom="0.55118110236220474" header="0.31496062992125984" footer="0.31496062992125984"/>
  <pageSetup paperSize="9" scale="65" orientation="landscape" horizontalDpi="180" verticalDpi="180" r:id="rId1"/>
  <headerFooter>
    <oddHeader>&amp;C&amp;A&amp;R社外密</oddHeader>
    <oddFooter>&amp;C&amp;F　&amp;A&amp;R&amp;P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データ読み取り">
                <anchor moveWithCells="1" sizeWithCells="1">
                  <from>
                    <xdr:col>2</xdr:col>
                    <xdr:colOff>0</xdr:colOff>
                    <xdr:row>0</xdr:row>
                    <xdr:rowOff>104775</xdr:rowOff>
                  </from>
                  <to>
                    <xdr:col>3</xdr:col>
                    <xdr:colOff>723900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データクリア">
                <anchor moveWithCells="1" sizeWithCells="1">
                  <from>
                    <xdr:col>3</xdr:col>
                    <xdr:colOff>838200</xdr:colOff>
                    <xdr:row>0</xdr:row>
                    <xdr:rowOff>104775</xdr:rowOff>
                  </from>
                  <to>
                    <xdr:col>4</xdr:col>
                    <xdr:colOff>1104900</xdr:colOff>
                    <xdr:row>0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B9916-595F-45C2-AFAA-ADDD2CE5B86F}">
  <sheetPr codeName="Sheet18"/>
  <dimension ref="A1:M16"/>
  <sheetViews>
    <sheetView showGridLines="0" zoomScaleNormal="100" workbookViewId="0">
      <selection activeCell="C20" sqref="C20"/>
    </sheetView>
  </sheetViews>
  <sheetFormatPr defaultColWidth="4.125" defaultRowHeight="13.5" x14ac:dyDescent="0.15"/>
  <cols>
    <col min="1" max="1" width="4.125" style="8"/>
    <col min="2" max="2" width="7.125" bestFit="1" customWidth="1"/>
    <col min="3" max="3" width="11.625" bestFit="1" customWidth="1"/>
    <col min="4" max="4" width="20.25" customWidth="1"/>
    <col min="5" max="5" width="11.625" bestFit="1" customWidth="1"/>
    <col min="6" max="6" width="11.625" customWidth="1"/>
    <col min="7" max="8" width="7.125" style="8" bestFit="1" customWidth="1"/>
    <col min="9" max="9" width="9" style="8" bestFit="1" customWidth="1"/>
    <col min="10" max="10" width="11" style="8" bestFit="1" customWidth="1"/>
    <col min="11" max="11" width="15" style="8" bestFit="1" customWidth="1"/>
    <col min="12" max="13" width="7.75" style="8" bestFit="1" customWidth="1"/>
    <col min="14" max="16384" width="4.125" style="8"/>
  </cols>
  <sheetData>
    <row r="1" spans="1:13" x14ac:dyDescent="0.15">
      <c r="B1" s="8"/>
      <c r="C1" s="8"/>
      <c r="D1" s="8"/>
      <c r="E1" s="8"/>
      <c r="F1" s="8"/>
    </row>
    <row r="2" spans="1:13" x14ac:dyDescent="0.15">
      <c r="B2" s="18" t="s">
        <v>5</v>
      </c>
      <c r="C2" s="23" t="s">
        <v>8</v>
      </c>
      <c r="D2" s="18" t="s">
        <v>20</v>
      </c>
      <c r="E2" s="23" t="s">
        <v>21</v>
      </c>
      <c r="F2" s="69" t="s">
        <v>77</v>
      </c>
      <c r="G2" s="7" t="s">
        <v>88</v>
      </c>
      <c r="H2" s="34" t="s">
        <v>50</v>
      </c>
      <c r="I2" s="35" t="s">
        <v>51</v>
      </c>
      <c r="J2" s="35" t="s">
        <v>74</v>
      </c>
      <c r="K2" s="35" t="s">
        <v>58</v>
      </c>
      <c r="L2" s="35" t="s">
        <v>0</v>
      </c>
      <c r="M2" s="35" t="s">
        <v>25</v>
      </c>
    </row>
    <row r="3" spans="1:13" x14ac:dyDescent="0.15">
      <c r="B3" s="36" t="s">
        <v>11</v>
      </c>
      <c r="C3" s="37" t="s">
        <v>18</v>
      </c>
      <c r="D3" s="39" t="s">
        <v>12</v>
      </c>
      <c r="E3" s="39" t="s">
        <v>14</v>
      </c>
      <c r="F3" s="70">
        <v>0.08</v>
      </c>
      <c r="G3" s="22" t="s">
        <v>4</v>
      </c>
      <c r="H3" s="22" t="s">
        <v>41</v>
      </c>
      <c r="I3" s="22" t="s">
        <v>93</v>
      </c>
      <c r="J3" s="22" t="s">
        <v>75</v>
      </c>
      <c r="K3" s="22" t="s">
        <v>91</v>
      </c>
      <c r="L3" s="15" t="s">
        <v>22</v>
      </c>
      <c r="M3" s="15" t="s">
        <v>22</v>
      </c>
    </row>
    <row r="4" spans="1:13" x14ac:dyDescent="0.15">
      <c r="B4" s="36"/>
      <c r="C4" s="37" t="s">
        <v>19</v>
      </c>
      <c r="D4" s="39" t="s">
        <v>125</v>
      </c>
      <c r="E4" s="40" t="s">
        <v>15</v>
      </c>
      <c r="F4" s="71">
        <v>0.1</v>
      </c>
      <c r="G4" s="22" t="s">
        <v>17</v>
      </c>
      <c r="H4" s="22" t="s">
        <v>42</v>
      </c>
      <c r="I4" s="22" t="s">
        <v>52</v>
      </c>
      <c r="J4" s="22" t="s">
        <v>76</v>
      </c>
      <c r="K4" s="22" t="s">
        <v>90</v>
      </c>
      <c r="L4" s="22" t="s">
        <v>24</v>
      </c>
      <c r="M4" s="22" t="s">
        <v>24</v>
      </c>
    </row>
    <row r="5" spans="1:13" x14ac:dyDescent="0.15">
      <c r="B5" s="36"/>
      <c r="C5" s="40"/>
      <c r="D5" s="39" t="s">
        <v>130</v>
      </c>
      <c r="E5" s="38" t="s">
        <v>10</v>
      </c>
      <c r="F5" s="38"/>
      <c r="G5" s="9"/>
      <c r="H5" s="9"/>
      <c r="I5" s="22" t="s">
        <v>53</v>
      </c>
      <c r="J5" s="9"/>
      <c r="K5" s="22" t="s">
        <v>89</v>
      </c>
      <c r="L5" s="9"/>
      <c r="M5" s="9"/>
    </row>
    <row r="6" spans="1:13" x14ac:dyDescent="0.15">
      <c r="B6" s="36"/>
      <c r="C6" s="36"/>
      <c r="D6" s="39" t="s">
        <v>127</v>
      </c>
      <c r="E6" s="36"/>
      <c r="F6" s="36"/>
      <c r="G6" s="9"/>
      <c r="H6" s="9"/>
      <c r="I6" s="9"/>
      <c r="J6" s="9"/>
      <c r="K6" s="22" t="s">
        <v>27</v>
      </c>
      <c r="L6" s="9"/>
      <c r="M6" s="9"/>
    </row>
    <row r="7" spans="1:13" x14ac:dyDescent="0.15">
      <c r="B7" s="36"/>
      <c r="C7" s="36"/>
      <c r="D7" s="39" t="s">
        <v>129</v>
      </c>
      <c r="E7" s="36"/>
      <c r="F7" s="36"/>
      <c r="G7" s="9"/>
      <c r="H7" s="9"/>
      <c r="I7" s="9"/>
      <c r="J7" s="9"/>
      <c r="K7" s="9"/>
      <c r="L7" s="9"/>
      <c r="M7" s="9"/>
    </row>
    <row r="8" spans="1:13" x14ac:dyDescent="0.15">
      <c r="A8" s="8" t="str">
        <f t="array" ref="A8">IFERROR(INDEX(#REF!,SMALL(IF(#REF!&lt;&gt;"",ROW(#REF!)),ROW(#REF!))),"")</f>
        <v/>
      </c>
      <c r="B8" s="36"/>
      <c r="C8" s="36"/>
      <c r="D8" s="39" t="s">
        <v>131</v>
      </c>
      <c r="E8" s="36"/>
      <c r="F8" s="36"/>
      <c r="G8" s="9"/>
      <c r="H8" s="9"/>
      <c r="I8" s="9"/>
      <c r="J8" s="9"/>
      <c r="K8" s="9"/>
      <c r="L8" s="9"/>
      <c r="M8" s="9"/>
    </row>
    <row r="9" spans="1:13" x14ac:dyDescent="0.15">
      <c r="A9" s="8" t="str">
        <f t="array" ref="A9">IFERROR(INDEX(#REF!,SMALL(IF(#REF!&lt;&gt;"",ROW(#REF!)),ROW(#REF!))),"")</f>
        <v/>
      </c>
      <c r="B9" s="36"/>
      <c r="C9" s="36"/>
      <c r="D9" s="39" t="s">
        <v>132</v>
      </c>
      <c r="E9" s="36"/>
      <c r="F9" s="36"/>
      <c r="G9" s="9"/>
      <c r="H9" s="9"/>
      <c r="I9" s="9"/>
      <c r="J9" s="9"/>
      <c r="K9" s="9"/>
      <c r="L9" s="9"/>
      <c r="M9" s="9"/>
    </row>
    <row r="10" spans="1:13" x14ac:dyDescent="0.15">
      <c r="A10" s="8" t="str">
        <f t="array" ref="A10">IFERROR(INDEX(#REF!,SMALL(IF(#REF!&lt;&gt;"",ROW(#REF!)),ROW(#REF!))),"")</f>
        <v/>
      </c>
      <c r="B10" s="36"/>
      <c r="C10" s="36"/>
      <c r="D10" s="40" t="s">
        <v>13</v>
      </c>
      <c r="E10" s="36"/>
      <c r="F10" s="36"/>
      <c r="G10" s="9"/>
      <c r="H10" s="9"/>
      <c r="I10" s="9"/>
      <c r="J10" s="9"/>
      <c r="K10" s="9"/>
      <c r="L10" s="9"/>
      <c r="M10" s="9"/>
    </row>
    <row r="11" spans="1:13" x14ac:dyDescent="0.15">
      <c r="A11" s="8" t="str">
        <f t="array" ref="A11">IFERROR(INDEX(#REF!,SMALL(IF(#REF!&lt;&gt;"",ROW(#REF!)),ROW(#REF!))),"")</f>
        <v/>
      </c>
      <c r="B11" s="36"/>
      <c r="C11" s="36"/>
      <c r="D11" s="38" t="s">
        <v>10</v>
      </c>
      <c r="E11" s="36"/>
      <c r="F11" s="36"/>
      <c r="G11" s="9"/>
      <c r="H11" s="9"/>
      <c r="I11" s="9"/>
      <c r="J11" s="9"/>
      <c r="K11" s="9"/>
      <c r="L11" s="9"/>
      <c r="M11" s="9"/>
    </row>
    <row r="12" spans="1:13" x14ac:dyDescent="0.15">
      <c r="A12" s="8" t="str">
        <f t="array" ref="A12">IFERROR(INDEX(#REF!,SMALL(IF(#REF!&lt;&gt;"",ROW(#REF!)),ROW(#REF!))),"")</f>
        <v/>
      </c>
      <c r="B12" s="36"/>
      <c r="C12" s="36"/>
      <c r="D12" s="38"/>
      <c r="E12" s="36"/>
      <c r="F12" s="36"/>
      <c r="G12" s="9"/>
      <c r="H12" s="9"/>
      <c r="I12" s="9"/>
      <c r="J12" s="9"/>
      <c r="K12" s="9"/>
      <c r="L12" s="9"/>
      <c r="M12" s="9"/>
    </row>
    <row r="13" spans="1:13" x14ac:dyDescent="0.15">
      <c r="A13" s="8" t="str">
        <f t="array" ref="A13">IFERROR(INDEX(#REF!,SMALL(IF(#REF!&lt;&gt;"",ROW(#REF!)),ROW(#REF!))),"")</f>
        <v/>
      </c>
    </row>
    <row r="14" spans="1:13" x14ac:dyDescent="0.15">
      <c r="A14" s="8" t="str">
        <f t="array" ref="A14">IFERROR(INDEX(#REF!,SMALL(IF(#REF!&lt;&gt;"",ROW(#REF!)),ROW(#REF!))),"")</f>
        <v/>
      </c>
    </row>
    <row r="15" spans="1:13" x14ac:dyDescent="0.15">
      <c r="A15" s="8" t="str">
        <f t="array" ref="A15">IFERROR(INDEX(#REF!,SMALL(IF(#REF!&lt;&gt;"",ROW(#REF!)),ROW(#REF!))),"")</f>
        <v/>
      </c>
    </row>
    <row r="16" spans="1:13" x14ac:dyDescent="0.15">
      <c r="A16" s="8" t="str">
        <f t="array" ref="A16">IFERROR(INDEX(#REF!,SMALL(IF(#REF!&lt;&gt;"",ROW(#REF!)),ROW(#REF!))),"")</f>
        <v/>
      </c>
    </row>
  </sheetData>
  <phoneticPr fontId="6"/>
  <pageMargins left="0.7" right="0.7" top="0.75" bottom="0.75" header="0.3" footer="0.3"/>
  <pageSetup paperSize="9"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C33D7-D2DD-4AE1-90BA-D4EEAEF1BDC3}">
  <sheetPr codeName="Sheet29">
    <tabColor rgb="FFFFC000"/>
  </sheetPr>
  <dimension ref="A2:AD19"/>
  <sheetViews>
    <sheetView showGridLines="0" tabSelected="1" view="pageBreakPreview" zoomScaleNormal="100" zoomScaleSheetLayoutView="10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C11" sqref="C11"/>
    </sheetView>
  </sheetViews>
  <sheetFormatPr defaultColWidth="10.5" defaultRowHeight="13.5" x14ac:dyDescent="0.15"/>
  <cols>
    <col min="1" max="1" width="1.625" style="63" customWidth="1"/>
    <col min="2" max="2" width="3.5" style="5" bestFit="1" customWidth="1"/>
    <col min="3" max="3" width="10.875" style="2" bestFit="1" customWidth="1"/>
    <col min="4" max="4" width="7.125" style="2" bestFit="1" customWidth="1"/>
    <col min="5" max="5" width="11.625" style="2" bestFit="1" customWidth="1"/>
    <col min="6" max="6" width="14" style="1" bestFit="1" customWidth="1"/>
    <col min="7" max="7" width="29.125" style="3" bestFit="1" customWidth="1"/>
    <col min="8" max="8" width="11" style="1" bestFit="1" customWidth="1"/>
    <col min="9" max="9" width="19.25" style="4" bestFit="1" customWidth="1"/>
    <col min="10" max="10" width="9" style="76" bestFit="1" customWidth="1"/>
    <col min="11" max="11" width="7.125" style="17" bestFit="1" customWidth="1"/>
    <col min="12" max="12" width="10.625" style="17" bestFit="1" customWidth="1"/>
    <col min="13" max="13" width="8.375" style="76" bestFit="1" customWidth="1"/>
    <col min="14" max="14" width="11.5" style="17" bestFit="1" customWidth="1"/>
    <col min="15" max="15" width="4" style="17" customWidth="1"/>
    <col min="16" max="16" width="10.375" style="17" bestFit="1" customWidth="1"/>
    <col min="17" max="17" width="11.125" style="17" bestFit="1" customWidth="1"/>
    <col min="18" max="18" width="8.375" style="6" bestFit="1" customWidth="1"/>
    <col min="19" max="19" width="11" style="17" bestFit="1" customWidth="1"/>
    <col min="20" max="20" width="11.625" style="2" bestFit="1" customWidth="1"/>
    <col min="21" max="21" width="11" style="1" bestFit="1" customWidth="1"/>
    <col min="22" max="22" width="11.625" style="2" bestFit="1" customWidth="1"/>
    <col min="23" max="23" width="15" style="2" bestFit="1" customWidth="1"/>
    <col min="24" max="24" width="15.125" style="2" bestFit="1" customWidth="1"/>
    <col min="25" max="25" width="10.125" style="1" bestFit="1" customWidth="1"/>
    <col min="26" max="26" width="11.625" style="2" bestFit="1" customWidth="1"/>
    <col min="27" max="27" width="8.375" style="1" bestFit="1" customWidth="1"/>
    <col min="28" max="28" width="11.625" style="2" bestFit="1" customWidth="1"/>
    <col min="29" max="29" width="8.375" style="1" bestFit="1" customWidth="1"/>
    <col min="30" max="30" width="29" style="3" customWidth="1"/>
    <col min="31" max="31" width="1.5" customWidth="1"/>
  </cols>
  <sheetData>
    <row r="2" spans="1:30" s="11" customFormat="1" x14ac:dyDescent="0.15">
      <c r="A2" s="62"/>
      <c r="B2" s="60"/>
      <c r="C2" s="60"/>
      <c r="D2" s="60"/>
      <c r="E2" s="60"/>
      <c r="F2" s="60"/>
      <c r="G2" s="67"/>
      <c r="H2" s="60"/>
      <c r="I2" s="60"/>
      <c r="J2" s="74">
        <f>SUM(J4:J16)</f>
        <v>2</v>
      </c>
      <c r="K2" s="48"/>
      <c r="L2" s="17"/>
      <c r="M2" s="76"/>
      <c r="N2" s="49">
        <f>SUM(N4:N16)</f>
        <v>1550000</v>
      </c>
      <c r="O2" s="48"/>
      <c r="P2" s="49">
        <f>SUM(P4:P16)</f>
        <v>155000</v>
      </c>
      <c r="Q2" s="49">
        <f>SUM(Q4:Q16)</f>
        <v>1705000</v>
      </c>
      <c r="R2" s="48"/>
      <c r="S2" s="48"/>
      <c r="T2" s="50"/>
      <c r="U2" s="51"/>
      <c r="V2" s="52"/>
      <c r="W2" s="52"/>
      <c r="X2" s="52"/>
      <c r="Y2" s="51"/>
      <c r="Z2" s="52"/>
      <c r="AA2" s="51"/>
      <c r="AB2" s="52"/>
      <c r="AC2" s="51"/>
      <c r="AD2" s="53"/>
    </row>
    <row r="3" spans="1:30" ht="28.5" customHeight="1" x14ac:dyDescent="0.15">
      <c r="B3" s="54" t="s">
        <v>1</v>
      </c>
      <c r="C3" s="55" t="s">
        <v>35</v>
      </c>
      <c r="D3" s="58" t="s">
        <v>34</v>
      </c>
      <c r="E3" s="58" t="s">
        <v>33</v>
      </c>
      <c r="F3" s="85" t="s">
        <v>32</v>
      </c>
      <c r="G3" s="56" t="s">
        <v>57</v>
      </c>
      <c r="H3" s="56" t="s">
        <v>31</v>
      </c>
      <c r="I3" s="55" t="s">
        <v>30</v>
      </c>
      <c r="J3" s="77" t="s">
        <v>81</v>
      </c>
      <c r="K3" s="85" t="s">
        <v>85</v>
      </c>
      <c r="L3" s="82" t="s">
        <v>86</v>
      </c>
      <c r="M3" s="83" t="s">
        <v>79</v>
      </c>
      <c r="N3" s="58" t="s">
        <v>80</v>
      </c>
      <c r="O3" s="131" t="s">
        <v>29</v>
      </c>
      <c r="P3" s="132"/>
      <c r="Q3" s="73" t="s">
        <v>78</v>
      </c>
      <c r="R3" s="59" t="s">
        <v>48</v>
      </c>
      <c r="S3" s="57" t="s">
        <v>73</v>
      </c>
      <c r="T3" s="57" t="s">
        <v>87</v>
      </c>
      <c r="U3" s="56" t="s">
        <v>54</v>
      </c>
      <c r="V3" s="55" t="s">
        <v>55</v>
      </c>
      <c r="W3" s="56" t="s">
        <v>56</v>
      </c>
      <c r="X3" s="59" t="s">
        <v>84</v>
      </c>
      <c r="Y3" s="56" t="s">
        <v>49</v>
      </c>
      <c r="Z3" s="58" t="s">
        <v>38</v>
      </c>
      <c r="AA3" s="81" t="s">
        <v>37</v>
      </c>
      <c r="AB3" s="58" t="s">
        <v>39</v>
      </c>
      <c r="AC3" s="81" t="s">
        <v>36</v>
      </c>
      <c r="AD3" s="56" t="s">
        <v>40</v>
      </c>
    </row>
    <row r="4" spans="1:30" x14ac:dyDescent="0.15">
      <c r="B4" s="12">
        <f t="shared" ref="B4:B16" si="0">ROW()-3</f>
        <v>1</v>
      </c>
      <c r="C4" s="41">
        <v>44013</v>
      </c>
      <c r="D4" s="42" t="s">
        <v>11</v>
      </c>
      <c r="E4" s="42" t="s">
        <v>18</v>
      </c>
      <c r="F4" s="42" t="s">
        <v>132</v>
      </c>
      <c r="G4" s="46" t="s">
        <v>59</v>
      </c>
      <c r="H4" s="87" t="s">
        <v>46</v>
      </c>
      <c r="I4" s="46" t="s">
        <v>28</v>
      </c>
      <c r="J4" s="75">
        <v>1</v>
      </c>
      <c r="K4" s="84" t="s">
        <v>16</v>
      </c>
      <c r="L4" s="79">
        <v>800000</v>
      </c>
      <c r="M4" s="75">
        <v>1</v>
      </c>
      <c r="N4" s="72">
        <f t="shared" ref="N4:N16" si="1">L4*M4</f>
        <v>800000</v>
      </c>
      <c r="O4" s="78">
        <v>0.1</v>
      </c>
      <c r="P4" s="72">
        <f t="shared" ref="P4:P16" si="2">IF(K4="課税", ROUND(N4*O4, 0), 0)</f>
        <v>80000</v>
      </c>
      <c r="Q4" s="72">
        <f t="shared" ref="Q4:Q16" si="3">N4+P4</f>
        <v>880000</v>
      </c>
      <c r="R4" s="129"/>
      <c r="S4" s="41" t="s">
        <v>76</v>
      </c>
      <c r="T4" s="41"/>
      <c r="U4" s="45" t="s">
        <v>23</v>
      </c>
      <c r="V4" s="41"/>
      <c r="W4" s="44"/>
      <c r="X4" s="44"/>
      <c r="Y4" s="45" t="s">
        <v>53</v>
      </c>
      <c r="Z4" s="41"/>
      <c r="AA4" s="80" t="s">
        <v>23</v>
      </c>
      <c r="AB4" s="41"/>
      <c r="AC4" s="80" t="s">
        <v>22</v>
      </c>
      <c r="AD4" s="43"/>
    </row>
    <row r="5" spans="1:30" x14ac:dyDescent="0.15">
      <c r="B5" s="12">
        <f t="shared" si="0"/>
        <v>2</v>
      </c>
      <c r="C5" s="41">
        <v>44013</v>
      </c>
      <c r="D5" s="42" t="s">
        <v>11</v>
      </c>
      <c r="E5" s="42" t="s">
        <v>18</v>
      </c>
      <c r="F5" s="42" t="s">
        <v>132</v>
      </c>
      <c r="G5" s="46" t="s">
        <v>59</v>
      </c>
      <c r="H5" s="87" t="s">
        <v>47</v>
      </c>
      <c r="I5" s="46" t="s">
        <v>28</v>
      </c>
      <c r="J5" s="75">
        <v>1</v>
      </c>
      <c r="K5" s="84" t="s">
        <v>16</v>
      </c>
      <c r="L5" s="79">
        <v>750000</v>
      </c>
      <c r="M5" s="75">
        <v>1</v>
      </c>
      <c r="N5" s="72">
        <f t="shared" si="1"/>
        <v>750000</v>
      </c>
      <c r="O5" s="78">
        <v>0.1</v>
      </c>
      <c r="P5" s="72">
        <f t="shared" si="2"/>
        <v>75000</v>
      </c>
      <c r="Q5" s="72">
        <f t="shared" si="3"/>
        <v>825000</v>
      </c>
      <c r="R5" s="129"/>
      <c r="S5" s="41" t="s">
        <v>76</v>
      </c>
      <c r="T5" s="41"/>
      <c r="U5" s="45" t="s">
        <v>23</v>
      </c>
      <c r="V5" s="41"/>
      <c r="W5" s="44"/>
      <c r="X5" s="44"/>
      <c r="Y5" s="45" t="s">
        <v>53</v>
      </c>
      <c r="Z5" s="41"/>
      <c r="AA5" s="80" t="s">
        <v>23</v>
      </c>
      <c r="AB5" s="41"/>
      <c r="AC5" s="80" t="s">
        <v>22</v>
      </c>
      <c r="AD5" s="43"/>
    </row>
    <row r="6" spans="1:30" x14ac:dyDescent="0.15">
      <c r="B6" s="12">
        <f t="shared" si="0"/>
        <v>3</v>
      </c>
      <c r="C6" s="41"/>
      <c r="D6" s="42"/>
      <c r="E6" s="42"/>
      <c r="F6" s="42"/>
      <c r="G6" s="46"/>
      <c r="H6" s="87"/>
      <c r="I6" s="46"/>
      <c r="J6" s="75"/>
      <c r="K6" s="84"/>
      <c r="L6" s="79"/>
      <c r="M6" s="75"/>
      <c r="N6" s="72"/>
      <c r="O6" s="78"/>
      <c r="P6" s="72"/>
      <c r="Q6" s="72"/>
      <c r="R6" s="47"/>
      <c r="S6" s="41"/>
      <c r="T6" s="41"/>
      <c r="U6" s="45"/>
      <c r="V6" s="41"/>
      <c r="W6" s="44"/>
      <c r="X6" s="44"/>
      <c r="Y6" s="45"/>
      <c r="Z6" s="41"/>
      <c r="AA6" s="80"/>
      <c r="AB6" s="41"/>
      <c r="AC6" s="80"/>
      <c r="AD6" s="43"/>
    </row>
    <row r="7" spans="1:30" x14ac:dyDescent="0.15">
      <c r="B7" s="12">
        <f t="shared" si="0"/>
        <v>4</v>
      </c>
      <c r="C7" s="41"/>
      <c r="D7" s="42"/>
      <c r="E7" s="42"/>
      <c r="F7" s="42"/>
      <c r="G7" s="46"/>
      <c r="H7" s="87"/>
      <c r="I7" s="46"/>
      <c r="J7" s="75"/>
      <c r="K7" s="84"/>
      <c r="L7" s="79"/>
      <c r="M7" s="75"/>
      <c r="N7" s="72"/>
      <c r="O7" s="78"/>
      <c r="P7" s="72"/>
      <c r="Q7" s="72"/>
      <c r="R7" s="47"/>
      <c r="S7" s="41"/>
      <c r="T7" s="41"/>
      <c r="U7" s="45"/>
      <c r="V7" s="41"/>
      <c r="W7" s="44"/>
      <c r="X7" s="44"/>
      <c r="Y7" s="45"/>
      <c r="Z7" s="41"/>
      <c r="AA7" s="80"/>
      <c r="AB7" s="41"/>
      <c r="AC7" s="80"/>
      <c r="AD7" s="43"/>
    </row>
    <row r="8" spans="1:30" x14ac:dyDescent="0.15">
      <c r="B8" s="12">
        <f t="shared" si="0"/>
        <v>5</v>
      </c>
      <c r="C8" s="41"/>
      <c r="D8" s="42"/>
      <c r="E8" s="42"/>
      <c r="F8" s="42"/>
      <c r="G8" s="46"/>
      <c r="H8" s="87"/>
      <c r="I8" s="46"/>
      <c r="J8" s="75"/>
      <c r="K8" s="84"/>
      <c r="L8" s="79"/>
      <c r="M8" s="75"/>
      <c r="N8" s="72"/>
      <c r="O8" s="78"/>
      <c r="P8" s="72"/>
      <c r="Q8" s="72"/>
      <c r="R8" s="47"/>
      <c r="S8" s="41"/>
      <c r="T8" s="41"/>
      <c r="U8" s="45"/>
      <c r="V8" s="41"/>
      <c r="W8" s="46"/>
      <c r="X8" s="46"/>
      <c r="Y8" s="45"/>
      <c r="Z8" s="41"/>
      <c r="AA8" s="80"/>
      <c r="AB8" s="41"/>
      <c r="AC8" s="80"/>
      <c r="AD8" s="43"/>
    </row>
    <row r="9" spans="1:30" x14ac:dyDescent="0.15">
      <c r="B9" s="12">
        <f t="shared" si="0"/>
        <v>6</v>
      </c>
      <c r="C9" s="41"/>
      <c r="D9" s="42"/>
      <c r="E9" s="42"/>
      <c r="F9" s="42"/>
      <c r="G9" s="46"/>
      <c r="H9" s="87"/>
      <c r="I9" s="46"/>
      <c r="J9" s="75"/>
      <c r="K9" s="84"/>
      <c r="L9" s="79"/>
      <c r="M9" s="75"/>
      <c r="N9" s="72"/>
      <c r="O9" s="78"/>
      <c r="P9" s="72"/>
      <c r="Q9" s="72"/>
      <c r="R9" s="47"/>
      <c r="S9" s="41"/>
      <c r="T9" s="41"/>
      <c r="U9" s="45"/>
      <c r="V9" s="41"/>
      <c r="W9" s="46"/>
      <c r="X9" s="46"/>
      <c r="Y9" s="45"/>
      <c r="Z9" s="41"/>
      <c r="AA9" s="80"/>
      <c r="AB9" s="41"/>
      <c r="AC9" s="80"/>
      <c r="AD9" s="43"/>
    </row>
    <row r="10" spans="1:30" x14ac:dyDescent="0.15">
      <c r="B10" s="12">
        <f t="shared" si="0"/>
        <v>7</v>
      </c>
      <c r="C10" s="41"/>
      <c r="D10" s="42"/>
      <c r="E10" s="42"/>
      <c r="F10" s="42"/>
      <c r="G10" s="86"/>
      <c r="H10" s="87"/>
      <c r="I10" s="86"/>
      <c r="J10" s="88"/>
      <c r="K10" s="84"/>
      <c r="L10" s="79"/>
      <c r="M10" s="75"/>
      <c r="N10" s="72"/>
      <c r="O10" s="78"/>
      <c r="P10" s="72"/>
      <c r="Q10" s="72"/>
      <c r="R10" s="47"/>
      <c r="S10" s="41"/>
      <c r="T10" s="41"/>
      <c r="U10" s="45"/>
      <c r="V10" s="41"/>
      <c r="W10" s="44"/>
      <c r="X10" s="44"/>
      <c r="Y10" s="45"/>
      <c r="Z10" s="41"/>
      <c r="AA10" s="80"/>
      <c r="AB10" s="41"/>
      <c r="AC10" s="80"/>
      <c r="AD10" s="43"/>
    </row>
    <row r="11" spans="1:30" x14ac:dyDescent="0.15">
      <c r="B11" s="12">
        <f t="shared" si="0"/>
        <v>8</v>
      </c>
      <c r="C11" s="41"/>
      <c r="D11" s="42"/>
      <c r="E11" s="42"/>
      <c r="F11" s="42"/>
      <c r="G11" s="89"/>
      <c r="H11" s="87"/>
      <c r="I11" s="86"/>
      <c r="J11" s="88"/>
      <c r="K11" s="84"/>
      <c r="L11" s="79"/>
      <c r="M11" s="75"/>
      <c r="N11" s="72"/>
      <c r="O11" s="78"/>
      <c r="P11" s="72"/>
      <c r="Q11" s="72"/>
      <c r="R11" s="47"/>
      <c r="S11" s="41"/>
      <c r="T11" s="41"/>
      <c r="U11" s="45"/>
      <c r="V11" s="41"/>
      <c r="W11" s="44"/>
      <c r="X11" s="44"/>
      <c r="Y11" s="45"/>
      <c r="Z11" s="41"/>
      <c r="AA11" s="80"/>
      <c r="AB11" s="41"/>
      <c r="AC11" s="80"/>
      <c r="AD11" s="43"/>
    </row>
    <row r="12" spans="1:30" x14ac:dyDescent="0.15">
      <c r="B12" s="12">
        <f t="shared" si="0"/>
        <v>9</v>
      </c>
      <c r="C12" s="41"/>
      <c r="D12" s="42"/>
      <c r="E12" s="42"/>
      <c r="F12" s="42"/>
      <c r="G12" s="86"/>
      <c r="H12" s="87"/>
      <c r="I12" s="86"/>
      <c r="J12" s="88"/>
      <c r="K12" s="84"/>
      <c r="L12" s="79"/>
      <c r="M12" s="75"/>
      <c r="N12" s="72"/>
      <c r="O12" s="78"/>
      <c r="P12" s="72"/>
      <c r="Q12" s="72"/>
      <c r="R12" s="47"/>
      <c r="S12" s="41"/>
      <c r="T12" s="41"/>
      <c r="U12" s="45"/>
      <c r="V12" s="41"/>
      <c r="W12" s="44"/>
      <c r="X12" s="44"/>
      <c r="Y12" s="45"/>
      <c r="Z12" s="41"/>
      <c r="AA12" s="80"/>
      <c r="AB12" s="41"/>
      <c r="AC12" s="80"/>
      <c r="AD12" s="43"/>
    </row>
    <row r="13" spans="1:30" x14ac:dyDescent="0.15">
      <c r="B13" s="12">
        <f t="shared" si="0"/>
        <v>10</v>
      </c>
      <c r="C13" s="41"/>
      <c r="D13" s="42"/>
      <c r="E13" s="42"/>
      <c r="F13" s="42"/>
      <c r="G13" s="86"/>
      <c r="H13" s="87"/>
      <c r="I13" s="86"/>
      <c r="J13" s="88"/>
      <c r="K13" s="84"/>
      <c r="L13" s="79"/>
      <c r="M13" s="75"/>
      <c r="N13" s="72"/>
      <c r="O13" s="78"/>
      <c r="P13" s="72"/>
      <c r="Q13" s="72"/>
      <c r="R13" s="47"/>
      <c r="S13" s="41"/>
      <c r="T13" s="41"/>
      <c r="U13" s="45"/>
      <c r="V13" s="41"/>
      <c r="W13" s="44"/>
      <c r="X13" s="44"/>
      <c r="Y13" s="45"/>
      <c r="Z13" s="41"/>
      <c r="AA13" s="80"/>
      <c r="AB13" s="41"/>
      <c r="AC13" s="80"/>
      <c r="AD13" s="43"/>
    </row>
    <row r="14" spans="1:30" x14ac:dyDescent="0.15">
      <c r="B14" s="12">
        <f t="shared" si="0"/>
        <v>11</v>
      </c>
      <c r="C14" s="41"/>
      <c r="D14" s="42"/>
      <c r="E14" s="42"/>
      <c r="F14" s="42"/>
      <c r="G14" s="86"/>
      <c r="H14" s="128"/>
      <c r="I14" s="86"/>
      <c r="J14" s="88"/>
      <c r="K14" s="84"/>
      <c r="L14" s="79"/>
      <c r="M14" s="75"/>
      <c r="N14" s="72"/>
      <c r="O14" s="78"/>
      <c r="P14" s="72"/>
      <c r="Q14" s="72"/>
      <c r="R14" s="47"/>
      <c r="S14" s="41"/>
      <c r="T14" s="41"/>
      <c r="U14" s="45"/>
      <c r="V14" s="41"/>
      <c r="W14" s="44"/>
      <c r="X14" s="44"/>
      <c r="Y14" s="45"/>
      <c r="Z14" s="41"/>
      <c r="AA14" s="80"/>
      <c r="AB14" s="41"/>
      <c r="AC14" s="80"/>
      <c r="AD14" s="43"/>
    </row>
    <row r="15" spans="1:30" x14ac:dyDescent="0.15">
      <c r="B15" s="12">
        <f t="shared" si="0"/>
        <v>12</v>
      </c>
      <c r="C15" s="41"/>
      <c r="D15" s="42"/>
      <c r="E15" s="42"/>
      <c r="F15" s="42"/>
      <c r="G15" s="89"/>
      <c r="H15" s="87"/>
      <c r="I15" s="86"/>
      <c r="J15" s="88"/>
      <c r="K15" s="84"/>
      <c r="L15" s="79"/>
      <c r="M15" s="75"/>
      <c r="N15" s="72"/>
      <c r="O15" s="78"/>
      <c r="P15" s="72"/>
      <c r="Q15" s="72"/>
      <c r="R15" s="47"/>
      <c r="S15" s="41"/>
      <c r="T15" s="41"/>
      <c r="U15" s="45"/>
      <c r="V15" s="41"/>
      <c r="W15" s="44"/>
      <c r="X15" s="44"/>
      <c r="Y15" s="45"/>
      <c r="Z15" s="41"/>
      <c r="AA15" s="80"/>
      <c r="AB15" s="41"/>
      <c r="AC15" s="80"/>
      <c r="AD15" s="43"/>
    </row>
    <row r="16" spans="1:30" ht="16.5" x14ac:dyDescent="0.15">
      <c r="B16" s="12">
        <f t="shared" si="0"/>
        <v>13</v>
      </c>
      <c r="C16" s="41"/>
      <c r="D16" s="42"/>
      <c r="E16" s="42"/>
      <c r="F16" s="42"/>
      <c r="G16" s="89"/>
      <c r="H16" s="127"/>
      <c r="I16" s="86"/>
      <c r="J16" s="88"/>
      <c r="K16" s="84"/>
      <c r="L16" s="79"/>
      <c r="M16" s="75"/>
      <c r="N16" s="72"/>
      <c r="O16" s="78"/>
      <c r="P16" s="72"/>
      <c r="Q16" s="72"/>
      <c r="R16" s="47"/>
      <c r="S16" s="41"/>
      <c r="T16" s="41"/>
      <c r="U16" s="45"/>
      <c r="V16" s="41"/>
      <c r="W16" s="44"/>
      <c r="X16" s="44"/>
      <c r="Y16" s="45"/>
      <c r="Z16" s="41"/>
      <c r="AA16" s="80"/>
      <c r="AB16" s="41"/>
      <c r="AC16" s="80"/>
      <c r="AD16" s="43"/>
    </row>
    <row r="17" spans="2:30" x14ac:dyDescent="0.15">
      <c r="B17" s="12">
        <f t="shared" ref="B17:B19" si="4">ROW()-3</f>
        <v>14</v>
      </c>
      <c r="C17" s="41"/>
      <c r="D17" s="42"/>
      <c r="E17" s="42"/>
      <c r="F17" s="42"/>
      <c r="G17" s="68"/>
      <c r="H17" s="43"/>
      <c r="I17" s="44"/>
      <c r="J17" s="75"/>
      <c r="K17" s="84"/>
      <c r="L17" s="79"/>
      <c r="M17" s="75"/>
      <c r="N17" s="72"/>
      <c r="O17" s="78"/>
      <c r="P17" s="72"/>
      <c r="Q17" s="72"/>
      <c r="R17" s="47"/>
      <c r="S17" s="41"/>
      <c r="T17" s="41"/>
      <c r="U17" s="45"/>
      <c r="V17" s="41"/>
      <c r="W17" s="44"/>
      <c r="X17" s="44"/>
      <c r="Y17" s="45"/>
      <c r="Z17" s="41"/>
      <c r="AA17" s="80"/>
      <c r="AB17" s="41"/>
      <c r="AC17" s="80"/>
      <c r="AD17" s="43"/>
    </row>
    <row r="18" spans="2:30" x14ac:dyDescent="0.15">
      <c r="B18" s="12">
        <f t="shared" si="4"/>
        <v>15</v>
      </c>
      <c r="C18" s="41"/>
      <c r="D18" s="42"/>
      <c r="E18" s="42"/>
      <c r="F18" s="42"/>
      <c r="G18" s="68"/>
      <c r="H18" s="43"/>
      <c r="I18" s="44"/>
      <c r="J18" s="75"/>
      <c r="K18" s="84"/>
      <c r="L18" s="79"/>
      <c r="M18" s="75"/>
      <c r="N18" s="72">
        <f t="shared" ref="N17:N19" si="5">L18*M18</f>
        <v>0</v>
      </c>
      <c r="O18" s="78"/>
      <c r="P18" s="72">
        <f t="shared" ref="P17:P19" si="6">IF(K18="課税", ROUND(N18*O18, 0), 0)</f>
        <v>0</v>
      </c>
      <c r="Q18" s="72">
        <f t="shared" ref="Q17:Q19" si="7">N18+P18</f>
        <v>0</v>
      </c>
      <c r="R18" s="47"/>
      <c r="S18" s="41"/>
      <c r="T18" s="41"/>
      <c r="U18" s="45"/>
      <c r="V18" s="41"/>
      <c r="W18" s="44"/>
      <c r="X18" s="44"/>
      <c r="Y18" s="45"/>
      <c r="Z18" s="41"/>
      <c r="AA18" s="80"/>
      <c r="AB18" s="41"/>
      <c r="AC18" s="80"/>
      <c r="AD18" s="43"/>
    </row>
    <row r="19" spans="2:30" x14ac:dyDescent="0.15">
      <c r="B19" s="12">
        <f t="shared" si="4"/>
        <v>16</v>
      </c>
      <c r="C19" s="41"/>
      <c r="D19" s="42"/>
      <c r="E19" s="42"/>
      <c r="F19" s="42"/>
      <c r="G19" s="68"/>
      <c r="H19" s="43"/>
      <c r="I19" s="44"/>
      <c r="J19" s="75"/>
      <c r="K19" s="84"/>
      <c r="L19" s="79"/>
      <c r="M19" s="75"/>
      <c r="N19" s="72">
        <f t="shared" si="5"/>
        <v>0</v>
      </c>
      <c r="O19" s="78"/>
      <c r="P19" s="72">
        <f t="shared" si="6"/>
        <v>0</v>
      </c>
      <c r="Q19" s="72">
        <f t="shared" si="7"/>
        <v>0</v>
      </c>
      <c r="R19" s="47"/>
      <c r="S19" s="41"/>
      <c r="T19" s="41"/>
      <c r="U19" s="45"/>
      <c r="V19" s="41"/>
      <c r="W19" s="44"/>
      <c r="X19" s="44"/>
      <c r="Y19" s="45"/>
      <c r="Z19" s="41"/>
      <c r="AA19" s="80"/>
      <c r="AB19" s="41"/>
      <c r="AC19" s="80"/>
      <c r="AD19" s="43"/>
    </row>
  </sheetData>
  <sheetProtection formatCells="0" formatColumns="0" formatRows="0" insertColumns="0" insertRows="0" insertHyperlinks="0" deleteColumns="0" deleteRows="0" selectLockedCells="1" autoFilter="0" pivotTables="0"/>
  <sortState xmlns:xlrd2="http://schemas.microsoft.com/office/spreadsheetml/2017/richdata2" ref="B4:AH28">
    <sortCondition ref="D3"/>
    <sortCondition ref="E3"/>
    <sortCondition ref="F3"/>
    <sortCondition descending="1" ref="G3"/>
  </sortState>
  <mergeCells count="1">
    <mergeCell ref="O3:P3"/>
  </mergeCells>
  <phoneticPr fontId="6"/>
  <dataValidations count="12">
    <dataValidation type="list" allowBlank="1" showInputMessage="1" showErrorMessage="1" sqref="Y2 Y20:Y65305" xr:uid="{744E7B9B-35FF-4E5F-93BB-E398433F8D16}">
      <formula1>"精算済,未精算"</formula1>
    </dataValidation>
    <dataValidation type="list" allowBlank="1" showInputMessage="1" showErrorMessage="1" sqref="K4:K19" xr:uid="{3083B38D-13DD-42BF-A7B9-D9EAC8B2C2A4}">
      <formula1>税金</formula1>
    </dataValidation>
    <dataValidation type="list" allowBlank="1" showInputMessage="1" showErrorMessage="1" sqref="O4:O19" xr:uid="{59030A4A-3FD5-4DF0-AE22-828856D4A605}">
      <formula1>消費税率</formula1>
    </dataValidation>
    <dataValidation type="list" allowBlank="1" showInputMessage="1" showErrorMessage="1" sqref="S4:S19" xr:uid="{2DD35AB9-47AD-4B5A-9465-67BBC8384735}">
      <formula1>支払手数料</formula1>
    </dataValidation>
    <dataValidation type="list" allowBlank="1" showInputMessage="1" showErrorMessage="1" sqref="W4:W19" xr:uid="{6F464C27-CCF4-4390-86E6-6171DCA958D9}">
      <formula1>支払方式</formula1>
    </dataValidation>
    <dataValidation type="list" allowBlank="1" showInputMessage="1" showErrorMessage="1" sqref="R4:R19" xr:uid="{348F5FD1-59ED-41A9-8D8E-7F3912791882}">
      <formula1>請求書</formula1>
    </dataValidation>
    <dataValidation type="list" allowBlank="1" showInputMessage="1" showErrorMessage="1" sqref="AC4:AC19 AA4:AA19" xr:uid="{9901D5E1-A25B-481C-943B-D0AD6F6230D6}">
      <formula1>確認者</formula1>
    </dataValidation>
    <dataValidation type="list" allowBlank="1" showInputMessage="1" showErrorMessage="1" sqref="U4:U19" xr:uid="{C6DB54A3-8189-4609-A846-C99A30C436E2}">
      <formula1>担当者</formula1>
    </dataValidation>
    <dataValidation type="list" allowBlank="1" showInputMessage="1" showErrorMessage="1" sqref="Y4:Y19" xr:uid="{9437C652-BD34-498A-BF64-F25D425223D3}">
      <formula1>支払状況</formula1>
    </dataValidation>
    <dataValidation type="list" allowBlank="1" showInputMessage="1" showErrorMessage="1" sqref="D4:D19" xr:uid="{E99571F6-6038-4D78-907C-39C9D8DDE611}">
      <formula1>大分類</formula1>
    </dataValidation>
    <dataValidation type="list" allowBlank="1" showInputMessage="1" showErrorMessage="1" sqref="G4:G20" xr:uid="{459DB67F-A98E-473C-8008-67569B810237}">
      <formula1>会社名</formula1>
    </dataValidation>
    <dataValidation type="list" allowBlank="1" showInputMessage="1" showErrorMessage="1" sqref="E4:F19" xr:uid="{D438F599-7D31-4CE6-96E6-64E85E979053}">
      <formula1>INDIRECT(D4)</formula1>
    </dataValidation>
  </dataValidations>
  <printOptions horizontalCentered="1"/>
  <pageMargins left="0.31496062992125984" right="0.31496062992125984" top="0.55118110236220474" bottom="0.55118110236220474" header="0.31496062992125984" footer="0.31496062992125984"/>
  <pageSetup paperSize="8" scale="60" fitToHeight="0" orientation="landscape" r:id="rId1"/>
  <headerFooter>
    <oddHeader>&amp;C&amp;"-,太字"&amp;12&amp;A 現金明細&amp;R&amp;"-,太字" 社外秘</oddHeader>
    <oddFooter>&amp;R&amp;P ページ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74" r:id="rId4" name="Button 6">
              <controlPr defaultSize="0" print="0" autoFill="0" autoPict="0" macro="[0]!monthDataSort">
                <anchor moveWithCells="1" sizeWithCells="1">
                  <from>
                    <xdr:col>3</xdr:col>
                    <xdr:colOff>9525</xdr:colOff>
                    <xdr:row>0</xdr:row>
                    <xdr:rowOff>47625</xdr:rowOff>
                  </from>
                  <to>
                    <xdr:col>6</xdr:col>
                    <xdr:colOff>2200275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80A0B3-8223-4F3B-BCF6-3C1BFBB4F062}">
          <x14:formula1>
            <xm:f>目次!#REF!</xm:f>
          </x14:formula1>
          <xm:sqref>J20:S1048576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16</vt:i4>
      </vt:variant>
    </vt:vector>
  </HeadingPairs>
  <TitlesOfParts>
    <vt:vector size="21" baseType="lpstr">
      <vt:lpstr>目次</vt:lpstr>
      <vt:lpstr>10仕入先</vt:lpstr>
      <vt:lpstr>20統計</vt:lpstr>
      <vt:lpstr>▲</vt:lpstr>
      <vt:lpstr>202007</vt:lpstr>
      <vt:lpstr>'202007'!Print_Area</vt:lpstr>
      <vt:lpstr>目次!Print_Area</vt:lpstr>
      <vt:lpstr>'10仕入先'!Print_Titles</vt:lpstr>
      <vt:lpstr>会社名</vt:lpstr>
      <vt:lpstr>外注費</vt:lpstr>
      <vt:lpstr>外注費_海外</vt:lpstr>
      <vt:lpstr>外注費_東京</vt:lpstr>
      <vt:lpstr>確認者</vt:lpstr>
      <vt:lpstr>支払手数料</vt:lpstr>
      <vt:lpstr>支払状況</vt:lpstr>
      <vt:lpstr>支払方式</vt:lpstr>
      <vt:lpstr>消費税率</vt:lpstr>
      <vt:lpstr>請求書</vt:lpstr>
      <vt:lpstr>税金</vt:lpstr>
      <vt:lpstr>大分類</vt:lpstr>
      <vt:lpstr>担当者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sxrsing</cp:lastModifiedBy>
  <cp:lastPrinted>2020-06-08T10:16:24Z</cp:lastPrinted>
  <dcterms:created xsi:type="dcterms:W3CDTF">2006-09-13T11:12:02Z</dcterms:created>
  <dcterms:modified xsi:type="dcterms:W3CDTF">2020-08-26T09:58:47Z</dcterms:modified>
</cp:coreProperties>
</file>