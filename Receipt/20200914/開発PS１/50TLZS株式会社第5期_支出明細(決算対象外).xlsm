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8B76D1AD-3D38-494F-A823-FAE9F4E05EB8}" xr6:coauthVersionLast="45" xr6:coauthVersionMax="45" xr10:uidLastSave="{00000000-0000-0000-0000-000000000000}"/>
  <bookViews>
    <workbookView xWindow="-120" yWindow="-120" windowWidth="29040" windowHeight="15840" tabRatio="673" activeTab="4" xr2:uid="{00000000-000D-0000-FFFF-FFFF00000000}"/>
  </bookViews>
  <sheets>
    <sheet name="目次" sheetId="10" r:id="rId1"/>
    <sheet name="合計" sheetId="88" r:id="rId2"/>
    <sheet name="消費税" sheetId="91" r:id="rId3"/>
    <sheet name="▲" sheetId="75" r:id="rId4"/>
    <sheet name="202007" sheetId="138" r:id="rId5"/>
    <sheet name="←" sheetId="72" r:id="rId6"/>
    <sheet name="敷金" sheetId="69" r:id="rId7"/>
  </sheets>
  <functionGroups builtInGroupCount="19"/>
  <definedNames>
    <definedName name="_xlnm._FilterDatabase" localSheetId="3" hidden="1">▲!$A$2:$F$2</definedName>
    <definedName name="_xlnm._FilterDatabase" localSheetId="4" hidden="1">'202007'!$B$3:$V$53</definedName>
    <definedName name="_xlnm._FilterDatabase" localSheetId="1" hidden="1">合計!#REF!</definedName>
    <definedName name="_xlnm._FilterDatabase" localSheetId="2" hidden="1">消費税!#REF!</definedName>
    <definedName name="その他">▲!$F$3:$F$8</definedName>
    <definedName name="課税_非課税">▲!$P$3:$P$8</definedName>
    <definedName name="確認者">▲!$S$3:$S$8</definedName>
    <definedName name="給料">▲!$H$3:$H$8</definedName>
    <definedName name="源泉所得・保険">▲!$O$3:$O$8</definedName>
    <definedName name="固定資産">▲!$K$3:$K$8</definedName>
    <definedName name="支出方法">▲!$B$3:$B$8</definedName>
    <definedName name="資産">▲!$D$3:$D$8</definedName>
    <definedName name="消費税">▲!$G$3:$G$8</definedName>
    <definedName name="精算状況">▲!$T$3:$T$8</definedName>
    <definedName name="大分類">▲!$C$3:$C$8</definedName>
    <definedName name="担当者">▲!$R$3:$R$8</definedName>
    <definedName name="短期貸付金">▲!$M$3:$M$8</definedName>
    <definedName name="投資">▲!$J$3:$J$8</definedName>
    <definedName name="当期未決済費用">▲!$N$3:$N$8</definedName>
    <definedName name="敷金">▲!$I$3:$I$8</definedName>
    <definedName name="保証料">▲!$L$3:$L$8</definedName>
    <definedName name="未決済">▲!$E$3:$E$8</definedName>
    <definedName name="領収書・請求書">▲!$Q$3:$Q$8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91" l="1"/>
  <c r="H2" i="91"/>
  <c r="I2" i="91"/>
  <c r="J2" i="91"/>
  <c r="K2" i="91"/>
  <c r="L2" i="91"/>
  <c r="M2" i="91"/>
  <c r="N2" i="91"/>
  <c r="O2" i="91"/>
  <c r="P2" i="91"/>
  <c r="Q2" i="91"/>
  <c r="R2" i="91"/>
  <c r="G2" i="88"/>
  <c r="H2" i="88"/>
  <c r="I2" i="88"/>
  <c r="J2" i="88"/>
  <c r="K2" i="88"/>
  <c r="L2" i="88"/>
  <c r="M2" i="88"/>
  <c r="N2" i="88"/>
  <c r="O2" i="88"/>
  <c r="P2" i="88"/>
  <c r="Q2" i="88"/>
  <c r="R2" i="88"/>
  <c r="F29" i="91"/>
  <c r="F28" i="91"/>
  <c r="F27" i="91"/>
  <c r="F26" i="91"/>
  <c r="F29" i="88"/>
  <c r="F28" i="88"/>
  <c r="H1" i="69" l="1"/>
  <c r="K2" i="138" l="1"/>
  <c r="L58" i="138"/>
  <c r="M58" i="138" s="1"/>
  <c r="B58" i="138"/>
  <c r="L57" i="138"/>
  <c r="M57" i="138" s="1"/>
  <c r="B57" i="138"/>
  <c r="L56" i="138"/>
  <c r="M56" i="138" s="1"/>
  <c r="B56" i="138"/>
  <c r="L55" i="138"/>
  <c r="M55" i="138" s="1"/>
  <c r="B55" i="138"/>
  <c r="L54" i="138"/>
  <c r="M54" i="138" s="1"/>
  <c r="B54" i="138"/>
  <c r="L53" i="138"/>
  <c r="M53" i="138" s="1"/>
  <c r="B53" i="138"/>
  <c r="M52" i="138"/>
  <c r="L52" i="138"/>
  <c r="B52" i="138"/>
  <c r="L51" i="138"/>
  <c r="M51" i="138" s="1"/>
  <c r="B51" i="138"/>
  <c r="L50" i="138"/>
  <c r="M50" i="138" s="1"/>
  <c r="B50" i="138"/>
  <c r="L49" i="138"/>
  <c r="M49" i="138" s="1"/>
  <c r="B49" i="138"/>
  <c r="L48" i="138"/>
  <c r="M48" i="138" s="1"/>
  <c r="B48" i="138"/>
  <c r="L47" i="138"/>
  <c r="M47" i="138" s="1"/>
  <c r="B47" i="138"/>
  <c r="L46" i="138"/>
  <c r="M46" i="138" s="1"/>
  <c r="B46" i="138"/>
  <c r="L45" i="138"/>
  <c r="M45" i="138" s="1"/>
  <c r="B45" i="138"/>
  <c r="M44" i="138"/>
  <c r="L44" i="138"/>
  <c r="B44" i="138"/>
  <c r="L43" i="138"/>
  <c r="M43" i="138" s="1"/>
  <c r="B43" i="138"/>
  <c r="L42" i="138"/>
  <c r="M42" i="138" s="1"/>
  <c r="B42" i="138"/>
  <c r="L41" i="138"/>
  <c r="M41" i="138" s="1"/>
  <c r="B41" i="138"/>
  <c r="L40" i="138"/>
  <c r="M40" i="138" s="1"/>
  <c r="B40" i="138"/>
  <c r="L39" i="138"/>
  <c r="M39" i="138" s="1"/>
  <c r="B39" i="138"/>
  <c r="L38" i="138"/>
  <c r="M38" i="138" s="1"/>
  <c r="B38" i="138"/>
  <c r="L37" i="138"/>
  <c r="M37" i="138" s="1"/>
  <c r="B37" i="138"/>
  <c r="L36" i="138"/>
  <c r="M36" i="138" s="1"/>
  <c r="B36" i="138"/>
  <c r="L35" i="138"/>
  <c r="M35" i="138" s="1"/>
  <c r="B35" i="138"/>
  <c r="M34" i="138"/>
  <c r="L34" i="138"/>
  <c r="B34" i="138"/>
  <c r="L33" i="138"/>
  <c r="M33" i="138" s="1"/>
  <c r="B33" i="138"/>
  <c r="L32" i="138"/>
  <c r="M32" i="138" s="1"/>
  <c r="B32" i="138"/>
  <c r="L31" i="138"/>
  <c r="M31" i="138" s="1"/>
  <c r="B31" i="138"/>
  <c r="L30" i="138"/>
  <c r="M30" i="138" s="1"/>
  <c r="B30" i="138"/>
  <c r="L29" i="138"/>
  <c r="M29" i="138" s="1"/>
  <c r="B29" i="138"/>
  <c r="L28" i="138"/>
  <c r="M28" i="138" s="1"/>
  <c r="B28" i="138"/>
  <c r="L27" i="138"/>
  <c r="M27" i="138" s="1"/>
  <c r="B27" i="138"/>
  <c r="M26" i="138"/>
  <c r="L26" i="138"/>
  <c r="B26" i="138"/>
  <c r="L25" i="138"/>
  <c r="M25" i="138" s="1"/>
  <c r="B25" i="138"/>
  <c r="L24" i="138"/>
  <c r="M24" i="138" s="1"/>
  <c r="B24" i="138"/>
  <c r="L23" i="138"/>
  <c r="M23" i="138" s="1"/>
  <c r="B23" i="138"/>
  <c r="L22" i="138"/>
  <c r="M22" i="138" s="1"/>
  <c r="B22" i="138"/>
  <c r="L21" i="138"/>
  <c r="M21" i="138" s="1"/>
  <c r="B21" i="138"/>
  <c r="L20" i="138"/>
  <c r="M20" i="138" s="1"/>
  <c r="B20" i="138"/>
  <c r="L19" i="138"/>
  <c r="M19" i="138" s="1"/>
  <c r="B19" i="138"/>
  <c r="M18" i="138"/>
  <c r="L18" i="138"/>
  <c r="B18" i="138"/>
  <c r="L17" i="138"/>
  <c r="M17" i="138" s="1"/>
  <c r="B17" i="138"/>
  <c r="L16" i="138"/>
  <c r="M16" i="138" s="1"/>
  <c r="B16" i="138"/>
  <c r="L15" i="138"/>
  <c r="M15" i="138" s="1"/>
  <c r="B15" i="138"/>
  <c r="L14" i="138"/>
  <c r="M14" i="138" s="1"/>
  <c r="B14" i="138"/>
  <c r="L13" i="138"/>
  <c r="M13" i="138" s="1"/>
  <c r="B13" i="138"/>
  <c r="L12" i="138"/>
  <c r="M12" i="138" s="1"/>
  <c r="B12" i="138"/>
  <c r="L11" i="138"/>
  <c r="M11" i="138" s="1"/>
  <c r="B11" i="138"/>
  <c r="L10" i="138"/>
  <c r="M10" i="138" s="1"/>
  <c r="B10" i="138"/>
  <c r="L9" i="138"/>
  <c r="M9" i="138" s="1"/>
  <c r="B9" i="138"/>
  <c r="L8" i="138"/>
  <c r="M8" i="138" s="1"/>
  <c r="B8" i="138"/>
  <c r="L7" i="138"/>
  <c r="M7" i="138" s="1"/>
  <c r="B7" i="138"/>
  <c r="L6" i="138"/>
  <c r="M6" i="138" s="1"/>
  <c r="B6" i="138"/>
  <c r="L5" i="138"/>
  <c r="M5" i="138" s="1"/>
  <c r="B5" i="138"/>
  <c r="L4" i="138"/>
  <c r="M4" i="138" s="1"/>
  <c r="B4" i="138"/>
  <c r="M2" i="138" l="1"/>
  <c r="L2" i="138"/>
  <c r="I12" i="10"/>
  <c r="I13" i="10"/>
  <c r="F12" i="10"/>
  <c r="I11" i="10"/>
  <c r="D13" i="10"/>
  <c r="F13" i="10"/>
  <c r="F14" i="10"/>
  <c r="E12" i="10"/>
  <c r="F15" i="10"/>
  <c r="E13" i="10"/>
  <c r="I15" i="10"/>
  <c r="E14" i="10"/>
  <c r="D15" i="10"/>
  <c r="I7" i="10"/>
  <c r="I8" i="10"/>
  <c r="I14" i="10"/>
  <c r="I6" i="10"/>
  <c r="I10" i="10"/>
  <c r="I16" i="10"/>
  <c r="D14" i="10"/>
  <c r="E15" i="10"/>
  <c r="D12" i="10"/>
  <c r="I9" i="10"/>
  <c r="H14" i="10" l="1"/>
  <c r="H13" i="10"/>
  <c r="H12" i="10"/>
  <c r="H15" i="10"/>
  <c r="I5" i="10"/>
  <c r="M16" i="10"/>
  <c r="M12" i="10"/>
  <c r="M9" i="10"/>
  <c r="D11" i="10"/>
  <c r="M11" i="10"/>
  <c r="M8" i="10"/>
  <c r="M13" i="10"/>
  <c r="M15" i="10"/>
  <c r="D5" i="10"/>
  <c r="M7" i="10"/>
  <c r="F11" i="10"/>
  <c r="M6" i="10"/>
  <c r="M10" i="10"/>
  <c r="M5" i="10"/>
  <c r="E11" i="10"/>
  <c r="M14" i="10"/>
  <c r="H11" i="10" l="1"/>
  <c r="H5" i="10"/>
  <c r="E10" i="10"/>
  <c r="E9" i="10"/>
  <c r="D7" i="10"/>
  <c r="D10" i="10"/>
  <c r="F9" i="10"/>
  <c r="F10" i="10"/>
  <c r="D9" i="10"/>
  <c r="H10" i="10" l="1"/>
  <c r="H7" i="10"/>
  <c r="H9" i="10"/>
  <c r="D6" i="10"/>
  <c r="D8" i="10"/>
  <c r="D16" i="10"/>
  <c r="H8" i="10" l="1"/>
  <c r="H16" i="10"/>
  <c r="H6" i="10"/>
  <c r="F26" i="88"/>
  <c r="F27" i="88"/>
  <c r="F16" i="10"/>
  <c r="F7" i="10"/>
  <c r="E7" i="10"/>
  <c r="E16" i="10"/>
  <c r="E6" i="10"/>
  <c r="F8" i="10"/>
  <c r="F6" i="10"/>
  <c r="E8" i="10"/>
  <c r="F4" i="91" l="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F22" i="91"/>
  <c r="F23" i="91"/>
  <c r="F24" i="91"/>
  <c r="F25" i="91"/>
  <c r="F25" i="88"/>
  <c r="F24" i="88"/>
  <c r="F23" i="88"/>
  <c r="F22" i="88"/>
  <c r="F21" i="88"/>
  <c r="F20" i="88"/>
  <c r="F19" i="88"/>
  <c r="F18" i="88"/>
  <c r="F17" i="88"/>
  <c r="F16" i="88"/>
  <c r="F15" i="88"/>
  <c r="F14" i="88"/>
  <c r="F13" i="88"/>
  <c r="F12" i="88"/>
  <c r="F11" i="88"/>
  <c r="F10" i="88"/>
  <c r="F9" i="88"/>
  <c r="F8" i="88"/>
  <c r="F7" i="88"/>
  <c r="F6" i="88"/>
  <c r="F5" i="88"/>
  <c r="F4" i="88"/>
  <c r="F2" i="88" l="1"/>
  <c r="F2" i="91"/>
  <c r="L5" i="10"/>
  <c r="M17" i="10"/>
  <c r="E5" i="10"/>
  <c r="F5" i="10"/>
  <c r="K5" i="10" l="1"/>
  <c r="F17" i="10"/>
  <c r="L11" i="10" l="1"/>
  <c r="K11" i="10" s="1"/>
  <c r="L14" i="10"/>
  <c r="K14" i="10" s="1"/>
  <c r="L6" i="10"/>
  <c r="K6" i="10" s="1"/>
  <c r="L15" i="10"/>
  <c r="K15" i="10" s="1"/>
  <c r="L8" i="10"/>
  <c r="K8" i="10" s="1"/>
  <c r="L16" i="10"/>
  <c r="K16" i="10" s="1"/>
  <c r="L12" i="10"/>
  <c r="K12" i="10" s="1"/>
  <c r="L13" i="10"/>
  <c r="K13" i="10" s="1"/>
  <c r="L9" i="10"/>
  <c r="K9" i="10" s="1"/>
  <c r="L10" i="10"/>
  <c r="K10" i="10" s="1"/>
  <c r="L7" i="10"/>
  <c r="K7" i="10" s="1"/>
  <c r="L17" i="10" l="1"/>
  <c r="I17" i="10" l="1"/>
  <c r="A17" i="75" l="1" a="1"/>
  <c r="A17" i="75" s="1"/>
  <c r="A16" i="75" a="1"/>
  <c r="A16" i="75" s="1"/>
  <c r="A15" i="75" a="1"/>
  <c r="A15" i="75" s="1"/>
  <c r="A14" i="75" a="1"/>
  <c r="A14" i="75" s="1"/>
  <c r="A13" i="75" a="1"/>
  <c r="A13" i="75" s="1"/>
  <c r="A12" i="75" a="1"/>
  <c r="A12" i="75" s="1"/>
  <c r="A11" i="75" a="1"/>
  <c r="A11" i="75" s="1"/>
  <c r="A10" i="75" a="1"/>
  <c r="A10" i="75" s="1"/>
  <c r="A9" i="75" a="1"/>
  <c r="A9" i="75" s="1"/>
  <c r="B4" i="69" l="1"/>
  <c r="B22" i="69" l="1"/>
  <c r="B15" i="69"/>
  <c r="B6" i="69"/>
  <c r="B21" i="69"/>
  <c r="B17" i="69"/>
  <c r="B16" i="69"/>
  <c r="B20" i="69"/>
  <c r="B19" i="69"/>
  <c r="B18" i="69"/>
  <c r="B14" i="69"/>
  <c r="B13" i="69"/>
  <c r="B12" i="69"/>
  <c r="B11" i="69"/>
  <c r="B10" i="69"/>
  <c r="B9" i="69"/>
  <c r="B8" i="69"/>
  <c r="B7" i="69"/>
  <c r="B5" i="69"/>
  <c r="B3" i="69"/>
  <c r="E17" i="10" l="1"/>
  <c r="K17" i="10" s="1"/>
  <c r="D17" i="10"/>
  <c r="H17" i="10" s="1"/>
</calcChain>
</file>

<file path=xl/sharedStrings.xml><?xml version="1.0" encoding="utf-8"?>
<sst xmlns="http://schemas.openxmlformats.org/spreadsheetml/2006/main" count="421" uniqueCount="170">
  <si>
    <t>担当者</t>
    <phoneticPr fontId="1"/>
  </si>
  <si>
    <t>#</t>
    <phoneticPr fontId="1"/>
  </si>
  <si>
    <t>分類</t>
    <rPh sb="0" eb="2">
      <t>ブンルイ</t>
    </rPh>
    <phoneticPr fontId="1"/>
  </si>
  <si>
    <t>項目</t>
    <rPh sb="0" eb="2">
      <t>コウモク</t>
    </rPh>
    <phoneticPr fontId="1"/>
  </si>
  <si>
    <t>合計</t>
    <rPh sb="0" eb="2">
      <t>ゴウケイ</t>
    </rPh>
    <phoneticPr fontId="1"/>
  </si>
  <si>
    <t>＃</t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</si>
  <si>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</si>
  <si>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</si>
  <si>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陳</t>
    <rPh sb="0" eb="1">
      <t>チン</t>
    </rPh>
    <phoneticPr fontId="6"/>
  </si>
  <si>
    <t>芦</t>
    <rPh sb="0" eb="1">
      <t>ロ</t>
    </rPh>
    <phoneticPr fontId="6"/>
  </si>
  <si>
    <t>備考</t>
    <rPh sb="0" eb="2">
      <t>ビコウ</t>
    </rPh>
    <phoneticPr fontId="1"/>
  </si>
  <si>
    <t>第2期</t>
    <rPh sb="0" eb="1">
      <t>ダイ</t>
    </rPh>
    <rPh sb="2" eb="3">
      <t>キ</t>
    </rPh>
    <phoneticPr fontId="6"/>
  </si>
  <si>
    <t>第3期</t>
    <rPh sb="0" eb="1">
      <t>ダイ</t>
    </rPh>
    <rPh sb="2" eb="3">
      <t>キ</t>
    </rPh>
    <phoneticPr fontId="6"/>
  </si>
  <si>
    <t>期間</t>
    <rPh sb="0" eb="2">
      <t>キカン</t>
    </rPh>
    <phoneticPr fontId="6"/>
  </si>
  <si>
    <t>日時</t>
    <rPh sb="0" eb="2">
      <t>ニチジ</t>
    </rPh>
    <phoneticPr fontId="1"/>
  </si>
  <si>
    <t>名前</t>
    <rPh sb="0" eb="2">
      <t>ナマエ</t>
    </rPh>
    <phoneticPr fontId="1"/>
  </si>
  <si>
    <t>金額
（税込）</t>
    <rPh sb="0" eb="2">
      <t>キンガク</t>
    </rPh>
    <rPh sb="4" eb="6">
      <t>ゼイコ</t>
    </rPh>
    <phoneticPr fontId="1"/>
  </si>
  <si>
    <t>確認日1</t>
    <rPh sb="0" eb="2">
      <t>カクニン</t>
    </rPh>
    <rPh sb="2" eb="3">
      <t>ビ</t>
    </rPh>
    <phoneticPr fontId="1"/>
  </si>
  <si>
    <t>確認者1</t>
    <rPh sb="0" eb="2">
      <t>カクニン</t>
    </rPh>
    <rPh sb="2" eb="3">
      <t>シャ</t>
    </rPh>
    <phoneticPr fontId="1"/>
  </si>
  <si>
    <t>確認日2</t>
    <rPh sb="0" eb="2">
      <t>カクニン</t>
    </rPh>
    <rPh sb="2" eb="3">
      <t>ビ</t>
    </rPh>
    <phoneticPr fontId="1"/>
  </si>
  <si>
    <t>確認者2</t>
    <rPh sb="0" eb="2">
      <t>カクニン</t>
    </rPh>
    <rPh sb="2" eb="3">
      <t>シャ</t>
    </rPh>
    <phoneticPr fontId="1"/>
  </si>
  <si>
    <t>岩本町事務所</t>
    <rPh sb="0" eb="6">
      <t>イワモトチョウジムショ</t>
    </rPh>
    <phoneticPr fontId="6"/>
  </si>
  <si>
    <t>敷金</t>
    <rPh sb="0" eb="2">
      <t>シキキン</t>
    </rPh>
    <phoneticPr fontId="6"/>
  </si>
  <si>
    <t>本社</t>
    <rPh sb="0" eb="2">
      <t>ホンシャ</t>
    </rPh>
    <phoneticPr fontId="6"/>
  </si>
  <si>
    <t>社寮</t>
    <rPh sb="0" eb="2">
      <t>シャリョウ</t>
    </rPh>
    <phoneticPr fontId="6"/>
  </si>
  <si>
    <t>豊島五丁目団地6-821</t>
    <rPh sb="0" eb="7">
      <t>トシマゴチョウメダンチ</t>
    </rPh>
    <phoneticPr fontId="6"/>
  </si>
  <si>
    <t>2ヶ月分敷金　現金</t>
    <rPh sb="2" eb="3">
      <t>ゲツ</t>
    </rPh>
    <rPh sb="3" eb="4">
      <t>ブン</t>
    </rPh>
    <rPh sb="4" eb="6">
      <t>シキキン</t>
    </rPh>
    <rPh sb="7" eb="9">
      <t>ゲンキン</t>
    </rPh>
    <phoneticPr fontId="6"/>
  </si>
  <si>
    <t>豊島五丁目団地11-516</t>
    <rPh sb="0" eb="7">
      <t>トシマゴチョウメダンチ</t>
    </rPh>
    <phoneticPr fontId="6"/>
  </si>
  <si>
    <t>2ヶ月分敷金 銀行振込</t>
    <rPh sb="2" eb="3">
      <t>ゲツ</t>
    </rPh>
    <rPh sb="3" eb="4">
      <t>ブン</t>
    </rPh>
    <rPh sb="4" eb="6">
      <t>シキキン</t>
    </rPh>
    <rPh sb="7" eb="11">
      <t>ギンコウフリコミ</t>
    </rPh>
    <phoneticPr fontId="6"/>
  </si>
  <si>
    <t>豊島五丁目団地8-1404</t>
    <rPh sb="0" eb="7">
      <t>トシマゴチョウメダンチ</t>
    </rPh>
    <phoneticPr fontId="6"/>
  </si>
  <si>
    <t>川口事務所</t>
    <rPh sb="0" eb="2">
      <t>カワグチ</t>
    </rPh>
    <rPh sb="2" eb="4">
      <t>ジム</t>
    </rPh>
    <rPh sb="4" eb="5">
      <t>ショ</t>
    </rPh>
    <phoneticPr fontId="6"/>
  </si>
  <si>
    <t>Mio川口</t>
    <rPh sb="3" eb="5">
      <t>カワグチ</t>
    </rPh>
    <phoneticPr fontId="6"/>
  </si>
  <si>
    <t>アーバンライフ東新小岩2-504</t>
    <rPh sb="7" eb="11">
      <t>ヒガシシンコイワ</t>
    </rPh>
    <phoneticPr fontId="6"/>
  </si>
  <si>
    <r>
      <t>2018/9/30</t>
    </r>
    <r>
      <rPr>
        <sz val="11"/>
        <color theme="1"/>
        <rFont val="ＭＳ Ｐゴシック"/>
        <family val="3"/>
        <charset val="128"/>
        <scheme val="minor"/>
      </rPr>
      <t xml:space="preserve"> 入居</t>
    </r>
    <rPh sb="10" eb="12">
      <t>ニュウキョ</t>
    </rPh>
    <phoneticPr fontId="6"/>
  </si>
  <si>
    <t>豊島五丁目団地10-1424</t>
    <rPh sb="0" eb="7">
      <t>トシマゴチョウメダンチ</t>
    </rPh>
    <phoneticPr fontId="6"/>
  </si>
  <si>
    <t>豊島五丁目５号棟３０４号室</t>
  </si>
  <si>
    <t>豊島五丁目５号棟1315号室</t>
    <phoneticPr fontId="6"/>
  </si>
  <si>
    <t>資産</t>
    <rPh sb="0" eb="2">
      <t>シサン</t>
    </rPh>
    <phoneticPr fontId="6"/>
  </si>
  <si>
    <t>課税</t>
    <phoneticPr fontId="6"/>
  </si>
  <si>
    <t>大分類</t>
    <rPh sb="0" eb="1">
      <t>ダイ</t>
    </rPh>
    <rPh sb="1" eb="3">
      <t>ブンルイ</t>
    </rPh>
    <phoneticPr fontId="6"/>
  </si>
  <si>
    <t>中分類</t>
    <rPh sb="0" eb="1">
      <t>ナカ</t>
    </rPh>
    <rPh sb="1" eb="3">
      <t>ブンルイ</t>
    </rPh>
    <phoneticPr fontId="6"/>
  </si>
  <si>
    <t>小分類</t>
    <rPh sb="0" eb="3">
      <t>ショウブンルイ</t>
    </rPh>
    <phoneticPr fontId="6"/>
  </si>
  <si>
    <t>前払費用</t>
    <rPh sb="0" eb="1">
      <t>マエ</t>
    </rPh>
    <rPh sb="1" eb="2">
      <t>ハラ</t>
    </rPh>
    <rPh sb="2" eb="4">
      <t>ヒヨウ</t>
    </rPh>
    <phoneticPr fontId="6"/>
  </si>
  <si>
    <t>短期貸付金</t>
    <phoneticPr fontId="6"/>
  </si>
  <si>
    <t>当期未決済費用</t>
    <phoneticPr fontId="6"/>
  </si>
  <si>
    <t>源泉所得税</t>
    <rPh sb="0" eb="2">
      <t>ゲンセン</t>
    </rPh>
    <rPh sb="2" eb="5">
      <t>ショトクゼイ</t>
    </rPh>
    <phoneticPr fontId="6"/>
  </si>
  <si>
    <t>雇用保険</t>
    <rPh sb="0" eb="2">
      <t>コヨウ</t>
    </rPh>
    <rPh sb="2" eb="4">
      <t>ホケン</t>
    </rPh>
    <phoneticPr fontId="6"/>
  </si>
  <si>
    <t>社会保険</t>
    <phoneticPr fontId="6"/>
  </si>
  <si>
    <t>源泉所得・保険</t>
    <rPh sb="5" eb="7">
      <t>ホケン</t>
    </rPh>
    <phoneticPr fontId="6"/>
  </si>
  <si>
    <t>固定資産</t>
    <phoneticPr fontId="6"/>
  </si>
  <si>
    <t>未決済</t>
    <rPh sb="0" eb="1">
      <t>ミ</t>
    </rPh>
    <rPh sb="1" eb="3">
      <t>ケッサイ</t>
    </rPh>
    <phoneticPr fontId="6"/>
  </si>
  <si>
    <t>備考</t>
    <rPh sb="0" eb="2">
      <t>ビコウ</t>
    </rPh>
    <phoneticPr fontId="6"/>
  </si>
  <si>
    <t>後払費用</t>
    <rPh sb="0" eb="1">
      <t>アト</t>
    </rPh>
    <rPh sb="1" eb="2">
      <t>ハラ</t>
    </rPh>
    <rPh sb="2" eb="4">
      <t>ヒヨウ</t>
    </rPh>
    <phoneticPr fontId="6"/>
  </si>
  <si>
    <t>資産</t>
    <phoneticPr fontId="6"/>
  </si>
  <si>
    <t>未決済</t>
  </si>
  <si>
    <t>その他</t>
    <rPh sb="2" eb="3">
      <t>タ</t>
    </rPh>
    <phoneticPr fontId="6"/>
  </si>
  <si>
    <t>北京支社</t>
    <phoneticPr fontId="6"/>
  </si>
  <si>
    <t>瀋陽支社</t>
    <phoneticPr fontId="6"/>
  </si>
  <si>
    <t>瀋陽支社</t>
    <phoneticPr fontId="6"/>
  </si>
  <si>
    <t>北京支社</t>
    <phoneticPr fontId="6"/>
  </si>
  <si>
    <t>敷金（事務所）</t>
    <phoneticPr fontId="6"/>
  </si>
  <si>
    <t>敷金（寮）</t>
    <rPh sb="3" eb="4">
      <t>リョウ</t>
    </rPh>
    <phoneticPr fontId="6"/>
  </si>
  <si>
    <t>投資</t>
    <phoneticPr fontId="6"/>
  </si>
  <si>
    <t>短期貸付金</t>
    <phoneticPr fontId="6"/>
  </si>
  <si>
    <t>個人</t>
    <rPh sb="0" eb="2">
      <t>コジン</t>
    </rPh>
    <phoneticPr fontId="6"/>
  </si>
  <si>
    <t>会社</t>
    <rPh sb="0" eb="2">
      <t>カイシャ</t>
    </rPh>
    <phoneticPr fontId="6"/>
  </si>
  <si>
    <t>保証料</t>
    <phoneticPr fontId="6"/>
  </si>
  <si>
    <t>サーバーなど</t>
    <phoneticPr fontId="6"/>
  </si>
  <si>
    <t>事務所</t>
    <phoneticPr fontId="6"/>
  </si>
  <si>
    <t>子供・子育て支援勘定含む</t>
    <rPh sb="0" eb="2">
      <t>コドモ</t>
    </rPh>
    <rPh sb="3" eb="5">
      <t>コソダ</t>
    </rPh>
    <rPh sb="6" eb="8">
      <t>シエン</t>
    </rPh>
    <rPh sb="8" eb="10">
      <t>カンジョウ</t>
    </rPh>
    <rPh sb="10" eb="11">
      <t>フク</t>
    </rPh>
    <phoneticPr fontId="6"/>
  </si>
  <si>
    <t>消費税</t>
    <phoneticPr fontId="6"/>
  </si>
  <si>
    <t>非課税</t>
    <phoneticPr fontId="6"/>
  </si>
  <si>
    <t>資産</t>
  </si>
  <si>
    <t>未決済</t>
    <phoneticPr fontId="6"/>
  </si>
  <si>
    <t>敷金</t>
    <rPh sb="0" eb="2">
      <t>シキキン</t>
    </rPh>
    <phoneticPr fontId="6"/>
  </si>
  <si>
    <t>固定資産</t>
    <phoneticPr fontId="6"/>
  </si>
  <si>
    <t>源泉所得・保険</t>
    <rPh sb="5" eb="7">
      <t>ホケン</t>
    </rPh>
    <phoneticPr fontId="6"/>
  </si>
  <si>
    <t>当期未決済費用</t>
    <phoneticPr fontId="6"/>
  </si>
  <si>
    <t>芦 建軍</t>
    <rPh sb="0" eb="1">
      <t>ロ</t>
    </rPh>
    <rPh sb="2" eb="4">
      <t>ケングン</t>
    </rPh>
    <phoneticPr fontId="6"/>
  </si>
  <si>
    <t>陳 倩</t>
  </si>
  <si>
    <t>陳 倩</t>
    <phoneticPr fontId="6"/>
  </si>
  <si>
    <t>確認者</t>
    <rPh sb="0" eb="2">
      <t>カクニン</t>
    </rPh>
    <rPh sb="2" eb="3">
      <t>シャ</t>
    </rPh>
    <phoneticPr fontId="1"/>
  </si>
  <si>
    <t>課税_非課税</t>
    <phoneticPr fontId="1"/>
  </si>
  <si>
    <t>当期未決済費用</t>
  </si>
  <si>
    <t>投資</t>
  </si>
  <si>
    <t>短期貸付金</t>
  </si>
  <si>
    <t>固定資産</t>
  </si>
  <si>
    <t>非課税</t>
  </si>
  <si>
    <t>決算</t>
    <rPh sb="0" eb="2">
      <t>ケッサン</t>
    </rPh>
    <phoneticPr fontId="6"/>
  </si>
  <si>
    <t>対象外</t>
    <rPh sb="0" eb="3">
      <t>タイショウガイ</t>
    </rPh>
    <phoneticPr fontId="6"/>
  </si>
  <si>
    <t>合計</t>
    <rPh sb="0" eb="2">
      <t>ゴウケイ</t>
    </rPh>
    <phoneticPr fontId="6"/>
  </si>
  <si>
    <t>保証料</t>
  </si>
  <si>
    <t>決算対象外_合計</t>
    <rPh sb="0" eb="2">
      <t>ケッサン</t>
    </rPh>
    <rPh sb="2" eb="4">
      <t>タイショウ</t>
    </rPh>
    <rPh sb="4" eb="5">
      <t>ガイ</t>
    </rPh>
    <rPh sb="6" eb="8">
      <t>ゴウケイ</t>
    </rPh>
    <phoneticPr fontId="1"/>
  </si>
  <si>
    <t>決算対象外_消費税</t>
    <rPh sb="0" eb="2">
      <t>ケッサン</t>
    </rPh>
    <rPh sb="2" eb="4">
      <t>タイショウ</t>
    </rPh>
    <rPh sb="4" eb="5">
      <t>ガイ</t>
    </rPh>
    <rPh sb="6" eb="9">
      <t>ショウヒゼイ</t>
    </rPh>
    <phoneticPr fontId="1"/>
  </si>
  <si>
    <t>確認</t>
    <rPh sb="0" eb="2">
      <t>カクニン</t>
    </rPh>
    <phoneticPr fontId="1"/>
  </si>
  <si>
    <t>現金</t>
    <rPh sb="0" eb="2">
      <t>ゲンキン</t>
    </rPh>
    <phoneticPr fontId="6"/>
  </si>
  <si>
    <t>全員保険料</t>
    <rPh sb="0" eb="2">
      <t>ゼンイン</t>
    </rPh>
    <rPh sb="2" eb="4">
      <t>ホケン</t>
    </rPh>
    <rPh sb="4" eb="5">
      <t>リョウ</t>
    </rPh>
    <phoneticPr fontId="6"/>
  </si>
  <si>
    <t>社会保険・厚生年金</t>
    <rPh sb="0" eb="2">
      <t>シャカイ</t>
    </rPh>
    <rPh sb="2" eb="4">
      <t>ホケン</t>
    </rPh>
    <rPh sb="5" eb="9">
      <t>コウセイネンキン</t>
    </rPh>
    <phoneticPr fontId="6"/>
  </si>
  <si>
    <t>口座振込</t>
    <rPh sb="0" eb="2">
      <t>コウザ</t>
    </rPh>
    <rPh sb="2" eb="4">
      <t>フリコミ</t>
    </rPh>
    <phoneticPr fontId="6"/>
  </si>
  <si>
    <t>消費税
（自動計算）</t>
    <rPh sb="0" eb="3">
      <t>ショウヒゼイ</t>
    </rPh>
    <phoneticPr fontId="6"/>
  </si>
  <si>
    <t>項目
(手入力)</t>
    <rPh sb="0" eb="2">
      <t>コウモク</t>
    </rPh>
    <phoneticPr fontId="1"/>
  </si>
  <si>
    <t>名前
(手入力)</t>
    <rPh sb="0" eb="2">
      <t>ナマエ</t>
    </rPh>
    <phoneticPr fontId="6"/>
  </si>
  <si>
    <t>小分類
(選択)</t>
    <rPh sb="0" eb="1">
      <t>ショウ</t>
    </rPh>
    <rPh sb="1" eb="3">
      <t>ブンルイ</t>
    </rPh>
    <rPh sb="5" eb="7">
      <t>センタク</t>
    </rPh>
    <phoneticPr fontId="1"/>
  </si>
  <si>
    <t>中分類
(選択)</t>
    <rPh sb="0" eb="1">
      <t>チュウ</t>
    </rPh>
    <rPh sb="1" eb="3">
      <t>ブンルイ</t>
    </rPh>
    <phoneticPr fontId="6"/>
  </si>
  <si>
    <t>大分類
(選択)</t>
    <rPh sb="0" eb="1">
      <t>ダイ</t>
    </rPh>
    <rPh sb="1" eb="3">
      <t>ブンルイ</t>
    </rPh>
    <phoneticPr fontId="6"/>
  </si>
  <si>
    <t>支出方法
(選択)</t>
    <rPh sb="0" eb="2">
      <t>シシュツ</t>
    </rPh>
    <rPh sb="2" eb="4">
      <t>ホウホウ</t>
    </rPh>
    <phoneticPr fontId="6"/>
  </si>
  <si>
    <t>日付
(手入力)</t>
    <rPh sb="0" eb="2">
      <t>ヒヅケ</t>
    </rPh>
    <phoneticPr fontId="1"/>
  </si>
  <si>
    <t>担当者
(選択)</t>
    <phoneticPr fontId="1"/>
  </si>
  <si>
    <t>確認者２
(選択)</t>
    <rPh sb="0" eb="2">
      <t>カクニン</t>
    </rPh>
    <rPh sb="2" eb="3">
      <t>シャ</t>
    </rPh>
    <phoneticPr fontId="1"/>
  </si>
  <si>
    <t>確認者１
(選択)</t>
    <rPh sb="0" eb="2">
      <t>カクニン</t>
    </rPh>
    <rPh sb="2" eb="3">
      <t>シャ</t>
    </rPh>
    <phoneticPr fontId="1"/>
  </si>
  <si>
    <t>確認日１
(手入力)</t>
    <rPh sb="0" eb="2">
      <t>カクニン</t>
    </rPh>
    <rPh sb="2" eb="3">
      <t>ビ</t>
    </rPh>
    <phoneticPr fontId="1"/>
  </si>
  <si>
    <t>確認日２
(手入力)</t>
    <rPh sb="0" eb="2">
      <t>カクニン</t>
    </rPh>
    <rPh sb="2" eb="3">
      <t>ビ</t>
    </rPh>
    <phoneticPr fontId="1"/>
  </si>
  <si>
    <t>備考
(手入力)</t>
    <rPh sb="0" eb="2">
      <t>ビコウ</t>
    </rPh>
    <phoneticPr fontId="1"/>
  </si>
  <si>
    <t>精算状況
(選択)</t>
    <rPh sb="0" eb="2">
      <t>セイサン</t>
    </rPh>
    <rPh sb="2" eb="4">
      <t>ジョウキョウ</t>
    </rPh>
    <phoneticPr fontId="1"/>
  </si>
  <si>
    <t>精算期限
(手入力)</t>
    <rPh sb="0" eb="2">
      <t>セイサン</t>
    </rPh>
    <phoneticPr fontId="1"/>
  </si>
  <si>
    <t>課税・非課税
(選択)</t>
    <rPh sb="0" eb="2">
      <t>カゼイ</t>
    </rPh>
    <rPh sb="3" eb="6">
      <t>ヒカゼイ</t>
    </rPh>
    <phoneticPr fontId="1"/>
  </si>
  <si>
    <t>支出方法</t>
    <phoneticPr fontId="6"/>
  </si>
  <si>
    <t>領収書・請求書</t>
  </si>
  <si>
    <t>〇</t>
    <phoneticPr fontId="6"/>
  </si>
  <si>
    <t>×</t>
    <phoneticPr fontId="6"/>
  </si>
  <si>
    <t>領収書・請求書
(手入力)</t>
    <phoneticPr fontId="1"/>
  </si>
  <si>
    <t>精算状況</t>
    <rPh sb="0" eb="2">
      <t>セイサン</t>
    </rPh>
    <rPh sb="2" eb="4">
      <t>ジョウキョウ</t>
    </rPh>
    <phoneticPr fontId="1"/>
  </si>
  <si>
    <t>精算済</t>
    <rPh sb="0" eb="2">
      <t>セイサン</t>
    </rPh>
    <rPh sb="2" eb="3">
      <t>ズ</t>
    </rPh>
    <phoneticPr fontId="6"/>
  </si>
  <si>
    <t>未精算</t>
    <rPh sb="0" eb="1">
      <t>ミ</t>
    </rPh>
    <rPh sb="1" eb="3">
      <t>セイサン</t>
    </rPh>
    <phoneticPr fontId="6"/>
  </si>
  <si>
    <t>精算金額
(手入力)</t>
    <rPh sb="0" eb="2">
      <t>セイサン</t>
    </rPh>
    <rPh sb="2" eb="4">
      <t>キンガク</t>
    </rPh>
    <rPh sb="6" eb="9">
      <t>テニュウリョク</t>
    </rPh>
    <phoneticPr fontId="1"/>
  </si>
  <si>
    <t>税抜金額
（自動計算）</t>
    <rPh sb="0" eb="2">
      <t>ゼイヌ</t>
    </rPh>
    <rPh sb="2" eb="3">
      <t>ゼイ</t>
    </rPh>
    <rPh sb="3" eb="4">
      <t>ヌ</t>
    </rPh>
    <rPh sb="4" eb="6">
      <t>キンガク</t>
    </rPh>
    <rPh sb="8" eb="10">
      <t>ジドウケイサン</t>
    </rPh>
    <phoneticPr fontId="6"/>
  </si>
  <si>
    <t>消費税</t>
    <rPh sb="0" eb="3">
      <t>ショウヒゼイ</t>
    </rPh>
    <phoneticPr fontId="1"/>
  </si>
  <si>
    <t>精算金額の合計
(税込)</t>
    <rPh sb="0" eb="4">
      <t>セイサンキンガク</t>
    </rPh>
    <rPh sb="5" eb="7">
      <t>ゴウケイ</t>
    </rPh>
    <rPh sb="9" eb="11">
      <t>ゼイコミ</t>
    </rPh>
    <phoneticPr fontId="6"/>
  </si>
  <si>
    <t>消費税
合計</t>
    <rPh sb="0" eb="3">
      <t>ショウヒゼイ</t>
    </rPh>
    <rPh sb="4" eb="6">
      <t>ゴウケイ</t>
    </rPh>
    <phoneticPr fontId="6"/>
  </si>
  <si>
    <t>豊島五丁目団地10-1223</t>
    <rPh sb="0" eb="7">
      <t>トシマゴチョウメダンチ</t>
    </rPh>
    <phoneticPr fontId="6"/>
  </si>
  <si>
    <t>豊島五丁目5－5-11-1322</t>
    <phoneticPr fontId="6"/>
  </si>
  <si>
    <t>第4期</t>
    <rPh sb="0" eb="1">
      <t>ダイ</t>
    </rPh>
    <rPh sb="2" eb="3">
      <t>キ</t>
    </rPh>
    <phoneticPr fontId="6"/>
  </si>
  <si>
    <t>陳倩</t>
    <rPh sb="0" eb="2">
      <t>チンセイ</t>
    </rPh>
    <phoneticPr fontId="6"/>
  </si>
  <si>
    <t>給料</t>
    <phoneticPr fontId="6"/>
  </si>
  <si>
    <t>豊島五丁目団地6-1426</t>
    <rPh sb="0" eb="7">
      <t>トシマゴチョウメダンチ</t>
    </rPh>
    <phoneticPr fontId="6"/>
  </si>
  <si>
    <t>豊島五丁目団地1-1014</t>
    <rPh sb="0" eb="7">
      <t>トシマゴチョウメダンチ</t>
    </rPh>
    <phoneticPr fontId="6"/>
  </si>
  <si>
    <t>源泉徴収税</t>
    <rPh sb="0" eb="4">
      <t>ゲンセンチョウシュウ</t>
    </rPh>
    <rPh sb="4" eb="5">
      <t>ゼイ</t>
    </rPh>
    <phoneticPr fontId="6"/>
  </si>
  <si>
    <t>支払済消費税</t>
    <rPh sb="0" eb="2">
      <t>シハライ</t>
    </rPh>
    <rPh sb="2" eb="3">
      <t>ズ</t>
    </rPh>
    <rPh sb="3" eb="6">
      <t>ショウヒゼイ</t>
    </rPh>
    <phoneticPr fontId="1"/>
  </si>
  <si>
    <t>各シートからのデータ</t>
    <rPh sb="0" eb="1">
      <t>カク</t>
    </rPh>
    <phoneticPr fontId="1"/>
  </si>
  <si>
    <t>給料</t>
    <rPh sb="0" eb="2">
      <t>キュウリョウ</t>
    </rPh>
    <phoneticPr fontId="6"/>
  </si>
  <si>
    <r>
      <t>全て</t>
    </r>
    <r>
      <rPr>
        <sz val="11"/>
        <color rgb="FFFF0000"/>
        <rFont val="ＭＳ Ｐゴシック"/>
        <family val="3"/>
        <charset val="128"/>
        <scheme val="minor"/>
      </rPr>
      <t>ゼロ</t>
    </r>
    <r>
      <rPr>
        <sz val="11"/>
        <color theme="1"/>
        <rFont val="ＭＳ Ｐゴシック"/>
        <family val="3"/>
        <charset val="128"/>
        <scheme val="minor"/>
      </rPr>
      <t>のはず</t>
    </r>
    <rPh sb="0" eb="1">
      <t>スベ</t>
    </rPh>
    <phoneticPr fontId="1"/>
  </si>
  <si>
    <t>コピー用</t>
    <rPh sb="3" eb="4">
      <t>ヨウ</t>
    </rPh>
    <phoneticPr fontId="6"/>
  </si>
  <si>
    <t>日本支社</t>
    <rPh sb="0" eb="2">
      <t>ニホン</t>
    </rPh>
    <rPh sb="2" eb="4">
      <t>シシャ</t>
    </rPh>
    <phoneticPr fontId="6"/>
  </si>
  <si>
    <t>日本支社</t>
    <phoneticPr fontId="6"/>
  </si>
  <si>
    <t>豊島五丁目団地1-329</t>
    <rPh sb="0" eb="7">
      <t>トシマゴチョウメダンチ</t>
    </rPh>
    <phoneticPr fontId="6"/>
  </si>
  <si>
    <t>豊島五丁目団地11-516</t>
    <phoneticPr fontId="6"/>
  </si>
  <si>
    <t>豊島五丁目団地10-1317　</t>
    <phoneticPr fontId="6"/>
  </si>
  <si>
    <t>豊島五丁目団地10-1223　敷金の還付</t>
    <rPh sb="15" eb="17">
      <t>シキキン</t>
    </rPh>
    <rPh sb="18" eb="20">
      <t>カンプ</t>
    </rPh>
    <phoneticPr fontId="6"/>
  </si>
  <si>
    <t>敷金の還付</t>
    <phoneticPr fontId="6"/>
  </si>
  <si>
    <t>解約</t>
    <rPh sb="0" eb="2">
      <t>カイヤク</t>
    </rPh>
    <phoneticPr fontId="6"/>
  </si>
  <si>
    <t>豊島五丁目団地11-1322</t>
    <phoneticPr fontId="6"/>
  </si>
  <si>
    <t>社会保険</t>
  </si>
  <si>
    <t>中期消費税</t>
    <rPh sb="0" eb="2">
      <t>チュウキ</t>
    </rPh>
    <phoneticPr fontId="6"/>
  </si>
  <si>
    <t>中期消費税</t>
    <rPh sb="0" eb="2">
      <t>チュウキ</t>
    </rPh>
    <rPh sb="2" eb="5">
      <t>ショウヒゼイ</t>
    </rPh>
    <phoneticPr fontId="6"/>
  </si>
  <si>
    <t>その他</t>
    <phoneticPr fontId="6"/>
  </si>
  <si>
    <t>現金支払</t>
    <rPh sb="0" eb="2">
      <t>ゲンキン</t>
    </rPh>
    <rPh sb="2" eb="4">
      <t>シハライ</t>
    </rPh>
    <phoneticPr fontId="6"/>
  </si>
  <si>
    <t>現金支払</t>
    <phoneticPr fontId="6"/>
  </si>
  <si>
    <t>202007</t>
    <phoneticPr fontId="1"/>
  </si>
  <si>
    <t>202008</t>
    <phoneticPr fontId="1"/>
  </si>
  <si>
    <t>202009</t>
  </si>
  <si>
    <t>202010</t>
  </si>
  <si>
    <t>202011</t>
  </si>
  <si>
    <t>202012</t>
  </si>
  <si>
    <t>202101</t>
    <phoneticPr fontId="1"/>
  </si>
  <si>
    <t>202102</t>
    <phoneticPr fontId="1"/>
  </si>
  <si>
    <t>202103</t>
  </si>
  <si>
    <t>202104</t>
  </si>
  <si>
    <t>202105</t>
  </si>
  <si>
    <t>202106</t>
  </si>
  <si>
    <t>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</si>
</sst>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</numFmts>
  <fonts count="1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5" fontId="0" fillId="0" borderId="0" xfId="0" applyNumberFormat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3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6" fontId="7" fillId="0" borderId="1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5" borderId="1" xfId="0" applyNumberFormat="1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>
      <alignment vertical="center"/>
    </xf>
    <xf numFmtId="0" fontId="5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6" fontId="5" fillId="2" borderId="1" xfId="0" applyNumberFormat="1" applyFont="1" applyFill="1" applyBorder="1" applyAlignment="1">
      <alignment horizontal="center" vertical="center" wrapText="1"/>
    </xf>
    <xf numFmtId="0" fontId="5" fillId="3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left" vertical="center"/>
    </xf>
    <xf numFmtId="6" fontId="5" fillId="3" borderId="1" xfId="0" applyNumberFormat="1" applyFont="1" applyFill="1" applyBorder="1">
      <alignment vertical="center"/>
    </xf>
    <xf numFmtId="14" fontId="5" fillId="0" borderId="1" xfId="0" applyNumberFormat="1" applyFont="1" applyBorder="1" applyAlignment="1">
      <alignment horizontal="center" vertical="center"/>
    </xf>
    <xf numFmtId="6" fontId="5" fillId="0" borderId="1" xfId="0" applyNumberFormat="1" applyFont="1" applyBorder="1">
      <alignment vertical="center"/>
    </xf>
    <xf numFmtId="14" fontId="5" fillId="0" borderId="1" xfId="0" applyNumberFormat="1" applyFont="1" applyBorder="1" applyAlignment="1">
      <alignment horizontal="left" vertical="center"/>
    </xf>
    <xf numFmtId="0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6" fontId="5" fillId="0" borderId="0" xfId="0" applyNumberFormat="1" applyFont="1">
      <alignment vertical="center"/>
    </xf>
    <xf numFmtId="0" fontId="5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0" fontId="0" fillId="5" borderId="1" xfId="0" applyNumberFormat="1" applyFont="1" applyFill="1" applyBorder="1" applyAlignment="1">
      <alignment horizontal="center" vertical="center"/>
    </xf>
    <xf numFmtId="14" fontId="5" fillId="5" borderId="1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6" fontId="5" fillId="5" borderId="1" xfId="0" applyNumberFormat="1" applyFont="1" applyFill="1" applyBorder="1">
      <alignment vertical="center"/>
    </xf>
    <xf numFmtId="0" fontId="5" fillId="5" borderId="1" xfId="0" applyFont="1" applyFill="1" applyBorder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0" fontId="0" fillId="4" borderId="1" xfId="0" applyFill="1" applyBorder="1">
      <alignment vertical="center"/>
    </xf>
    <xf numFmtId="0" fontId="9" fillId="3" borderId="3" xfId="0" applyFont="1" applyFill="1" applyBorder="1">
      <alignment vertical="center"/>
    </xf>
    <xf numFmtId="0" fontId="8" fillId="3" borderId="6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0" fillId="3" borderId="6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7" borderId="1" xfId="0" applyFill="1" applyBorder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6" fontId="0" fillId="3" borderId="1" xfId="0" applyNumberFormat="1" applyFill="1" applyBorder="1" applyAlignment="1">
      <alignment horizontal="right" vertical="center"/>
    </xf>
    <xf numFmtId="6" fontId="0" fillId="3" borderId="1" xfId="0" applyNumberFormat="1" applyFont="1" applyFill="1" applyBorder="1" applyAlignment="1">
      <alignment horizontal="right" vertical="center"/>
    </xf>
    <xf numFmtId="0" fontId="8" fillId="3" borderId="7" xfId="0" applyFont="1" applyFill="1" applyBorder="1">
      <alignment vertical="center"/>
    </xf>
    <xf numFmtId="0" fontId="5" fillId="3" borderId="1" xfId="0" applyFont="1" applyFill="1" applyBorder="1" applyAlignment="1">
      <alignment horizontal="left" vertical="center" wrapText="1"/>
    </xf>
    <xf numFmtId="0" fontId="0" fillId="3" borderId="1" xfId="0" applyFont="1" applyFill="1" applyBorder="1" applyAlignment="1">
      <alignment horizontal="left" vertical="center" wrapText="1"/>
    </xf>
    <xf numFmtId="6" fontId="0" fillId="4" borderId="1" xfId="0" applyNumberFormat="1" applyFont="1" applyFill="1" applyBorder="1" applyAlignment="1">
      <alignment horizontal="center" vertical="center" wrapText="1"/>
    </xf>
    <xf numFmtId="6" fontId="5" fillId="4" borderId="1" xfId="0" applyNumberFormat="1" applyFont="1" applyFill="1" applyBorder="1">
      <alignment vertical="center"/>
    </xf>
    <xf numFmtId="6" fontId="10" fillId="0" borderId="8" xfId="0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left" vertical="center"/>
    </xf>
    <xf numFmtId="0" fontId="5" fillId="0" borderId="8" xfId="0" applyNumberFormat="1" applyFont="1" applyFill="1" applyBorder="1" applyAlignment="1">
      <alignment vertical="center"/>
    </xf>
    <xf numFmtId="0" fontId="0" fillId="5" borderId="1" xfId="0" applyFont="1" applyFill="1" applyBorder="1" applyAlignment="1">
      <alignment vertical="center"/>
    </xf>
    <xf numFmtId="6" fontId="5" fillId="5" borderId="1" xfId="0" applyNumberFormat="1" applyFont="1" applyFill="1" applyBorder="1" applyAlignment="1">
      <alignment horizontal="right" vertical="center"/>
    </xf>
    <xf numFmtId="0" fontId="0" fillId="5" borderId="1" xfId="0" applyFont="1" applyFill="1" applyBorder="1" applyAlignment="1">
      <alignment horizontal="left" vertical="center"/>
    </xf>
    <xf numFmtId="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6" fontId="0" fillId="8" borderId="1" xfId="0" applyNumberFormat="1" applyFill="1" applyBorder="1" applyAlignment="1">
      <alignment vertical="center"/>
    </xf>
    <xf numFmtId="0" fontId="0" fillId="9" borderId="1" xfId="0" applyFont="1" applyFill="1" applyBorder="1">
      <alignment vertical="center"/>
    </xf>
    <xf numFmtId="0" fontId="7" fillId="9" borderId="1" xfId="0" applyFont="1" applyFill="1" applyBorder="1">
      <alignment vertical="center"/>
    </xf>
    <xf numFmtId="0" fontId="0" fillId="9" borderId="1" xfId="0" applyFont="1" applyFill="1" applyBorder="1" applyAlignment="1">
      <alignment horizontal="center" vertical="center" wrapText="1"/>
    </xf>
    <xf numFmtId="0" fontId="0" fillId="10" borderId="1" xfId="0" applyFill="1" applyBorder="1">
      <alignment vertical="center"/>
    </xf>
    <xf numFmtId="0" fontId="0" fillId="10" borderId="1" xfId="0" applyFont="1" applyFill="1" applyBorder="1">
      <alignment vertical="center"/>
    </xf>
    <xf numFmtId="0" fontId="0" fillId="10" borderId="1" xfId="0" applyFont="1" applyFill="1" applyBorder="1" applyAlignment="1">
      <alignment vertical="center"/>
    </xf>
    <xf numFmtId="0" fontId="0" fillId="10" borderId="1" xfId="0" applyFont="1" applyFill="1" applyBorder="1" applyAlignment="1">
      <alignment horizontal="left" vertical="center" wrapText="1"/>
    </xf>
    <xf numFmtId="14" fontId="5" fillId="0" borderId="1" xfId="0" applyNumberFormat="1" applyFont="1" applyFill="1" applyBorder="1" applyAlignment="1" applyProtection="1">
      <alignment horizontal="center" vertical="center"/>
      <protection locked="0"/>
    </xf>
    <xf numFmtId="14" fontId="0" fillId="6" borderId="1" xfId="0" applyNumberFormat="1" applyFill="1" applyBorder="1" applyAlignment="1" applyProtection="1">
      <alignment horizontal="center" vertical="center"/>
      <protection locked="0"/>
    </xf>
    <xf numFmtId="14" fontId="0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center"/>
      <protection locked="0"/>
    </xf>
    <xf numFmtId="14" fontId="5" fillId="0" borderId="1" xfId="0" applyNumberFormat="1" applyFont="1" applyFill="1" applyBorder="1" applyAlignment="1" applyProtection="1">
      <alignment horizontal="left" vertical="center"/>
      <protection locked="0"/>
    </xf>
    <xf numFmtId="14" fontId="5" fillId="6" borderId="1" xfId="0" applyNumberFormat="1" applyFont="1" applyFill="1" applyBorder="1" applyAlignment="1" applyProtection="1">
      <alignment horizontal="center" vertical="center"/>
      <protection locked="0"/>
    </xf>
    <xf numFmtId="6" fontId="5" fillId="0" borderId="1" xfId="0" applyNumberFormat="1" applyFont="1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6" fontId="10" fillId="0" borderId="8" xfId="0" applyNumberFormat="1" applyFont="1" applyBorder="1" applyAlignment="1" applyProtection="1">
      <alignment horizontal="right" vertical="center"/>
    </xf>
    <xf numFmtId="6" fontId="10" fillId="0" borderId="1" xfId="0" applyNumberFormat="1" applyFont="1" applyBorder="1" applyAlignment="1" applyProtection="1">
      <alignment vertical="center"/>
    </xf>
    <xf numFmtId="6" fontId="10" fillId="0" borderId="8" xfId="0" applyNumberFormat="1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14" fontId="10" fillId="0" borderId="8" xfId="0" applyNumberFormat="1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left" vertical="center"/>
    </xf>
    <xf numFmtId="0" fontId="0" fillId="2" borderId="3" xfId="0" applyNumberFormat="1" applyFont="1" applyFill="1" applyBorder="1" applyAlignment="1" applyProtection="1">
      <alignment horizontal="center" vertical="center"/>
    </xf>
    <xf numFmtId="14" fontId="0" fillId="2" borderId="3" xfId="0" applyNumberFormat="1" applyFont="1" applyFill="1" applyBorder="1" applyAlignment="1" applyProtection="1">
      <alignment horizontal="center" vertical="center" wrapText="1"/>
    </xf>
    <xf numFmtId="14" fontId="0" fillId="9" borderId="3" xfId="0" applyNumberFormat="1" applyFont="1" applyFill="1" applyBorder="1" applyAlignment="1" applyProtection="1">
      <alignment horizontal="center" vertical="center" wrapText="1"/>
    </xf>
    <xf numFmtId="0" fontId="0" fillId="9" borderId="3" xfId="0" applyFont="1" applyFill="1" applyBorder="1" applyAlignment="1" applyProtection="1">
      <alignment horizontal="center" vertical="center" wrapText="1"/>
    </xf>
    <xf numFmtId="0" fontId="0" fillId="2" borderId="3" xfId="0" applyFont="1" applyFill="1" applyBorder="1" applyAlignment="1" applyProtection="1">
      <alignment horizontal="center" vertical="center" wrapText="1"/>
    </xf>
    <xf numFmtId="6" fontId="0" fillId="2" borderId="4" xfId="0" applyNumberFormat="1" applyFont="1" applyFill="1" applyBorder="1" applyAlignment="1" applyProtection="1">
      <alignment horizontal="center" vertical="center" wrapText="1"/>
    </xf>
    <xf numFmtId="14" fontId="0" fillId="4" borderId="3" xfId="0" applyNumberFormat="1" applyFont="1" applyFill="1" applyBorder="1" applyAlignment="1" applyProtection="1">
      <alignment horizontal="center" vertical="center" wrapText="1"/>
    </xf>
    <xf numFmtId="5" fontId="0" fillId="2" borderId="3" xfId="0" applyNumberFormat="1" applyFont="1" applyFill="1" applyBorder="1" applyAlignment="1" applyProtection="1">
      <alignment horizontal="center" vertical="center" wrapText="1"/>
    </xf>
    <xf numFmtId="5" fontId="0" fillId="9" borderId="3" xfId="0" applyNumberFormat="1" applyFont="1" applyFill="1" applyBorder="1" applyAlignment="1" applyProtection="1">
      <alignment horizontal="center" vertical="center" wrapText="1"/>
    </xf>
    <xf numFmtId="0" fontId="10" fillId="3" borderId="8" xfId="0" applyNumberFormat="1" applyFont="1" applyFill="1" applyBorder="1" applyAlignment="1" applyProtection="1">
      <alignment vertical="center"/>
    </xf>
    <xf numFmtId="0" fontId="0" fillId="2" borderId="7" xfId="0" applyFill="1" applyBorder="1" applyAlignment="1">
      <alignment vertical="center"/>
    </xf>
    <xf numFmtId="0" fontId="10" fillId="0" borderId="0" xfId="0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6" fontId="5" fillId="0" borderId="5" xfId="0" applyNumberFormat="1" applyFont="1" applyBorder="1" applyAlignment="1">
      <alignment vertical="center"/>
    </xf>
    <xf numFmtId="0" fontId="0" fillId="4" borderId="1" xfId="0" applyFont="1" applyFill="1" applyBorder="1" applyAlignment="1">
      <alignment horizontal="center" vertical="center" wrapText="1"/>
    </xf>
    <xf numFmtId="0" fontId="0" fillId="3" borderId="7" xfId="0" applyFont="1" applyFill="1" applyBorder="1" applyAlignment="1">
      <alignment vertical="center"/>
    </xf>
    <xf numFmtId="6" fontId="7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6" fontId="7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6" fontId="7" fillId="0" borderId="1" xfId="0" applyNumberFormat="1" applyFont="1" applyFill="1" applyBorder="1">
      <alignment vertical="center"/>
    </xf>
    <xf numFmtId="14" fontId="0" fillId="3" borderId="1" xfId="0" applyNumberForma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2" borderId="1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12" borderId="1" xfId="0" applyFill="1" applyBorder="1">
      <alignment vertical="center"/>
    </xf>
    <xf numFmtId="14" fontId="0" fillId="0" borderId="1" xfId="0" applyNumberFormat="1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6" fontId="0" fillId="0" borderId="1" xfId="0" applyNumberFormat="1" applyFont="1" applyFill="1" applyBorder="1" applyAlignment="1" applyProtection="1">
      <alignment vertical="center"/>
      <protection locked="0"/>
    </xf>
    <xf numFmtId="0" fontId="8" fillId="0" borderId="7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</cellXfs>
  <cellStyles count="9">
    <cellStyle name="ハイパーリンク 2" xfId="1" xr:uid="{00000000-0005-0000-0000-000000000000}"/>
    <cellStyle name="桁区切り[0]" xfId="2" xr:uid="{00000000-0005-0000-0000-000002000000}"/>
    <cellStyle name="通貨[0]" xfId="3" xr:uid="{00000000-0005-0000-0000-000003000000}"/>
    <cellStyle name="標準" xfId="0" builtinId="0"/>
    <cellStyle name="標準 2" xfId="4" xr:uid="{00000000-0005-0000-0000-000005000000}"/>
    <cellStyle name="標準 3" xfId="5" xr:uid="{00000000-0005-0000-0000-000006000000}"/>
    <cellStyle name="標準 4" xfId="6" xr:uid="{00000000-0005-0000-0000-000007000000}"/>
    <cellStyle name="標準 5" xfId="7" xr:uid="{00000000-0005-0000-0000-000008000000}"/>
    <cellStyle name="標準 6" xfId="8" xr:uid="{00000000-0005-0000-0000-000009000000}"/>
  </cellStyles>
  <dxfs count="4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76200</xdr:rowOff>
        </xdr:from>
        <xdr:to>
          <xdr:col>2</xdr:col>
          <xdr:colOff>904875</xdr:colOff>
          <xdr:row>1</xdr:row>
          <xdr:rowOff>390525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合計データ取り込み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1038225</xdr:colOff>
          <xdr:row>1</xdr:row>
          <xdr:rowOff>66675</xdr:rowOff>
        </xdr:from>
        <xdr:to>
          <xdr:col>3</xdr:col>
          <xdr:colOff>904875</xdr:colOff>
          <xdr:row>1</xdr:row>
          <xdr:rowOff>381000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85725</xdr:rowOff>
        </xdr:from>
        <xdr:to>
          <xdr:col>2</xdr:col>
          <xdr:colOff>914400</xdr:colOff>
          <xdr:row>1</xdr:row>
          <xdr:rowOff>409575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2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消費税データ取り込み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1133475</xdr:colOff>
          <xdr:row>1</xdr:row>
          <xdr:rowOff>104775</xdr:rowOff>
        </xdr:from>
        <xdr:to>
          <xdr:col>3</xdr:col>
          <xdr:colOff>990600</xdr:colOff>
          <xdr:row>1</xdr:row>
          <xdr:rowOff>409575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2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70"/>
  <sheetViews>
    <sheetView showGridLines="0" zoomScale="130" zoomScaleNormal="130" workbookViewId="0">
      <selection activeCell="B19" sqref="B19"/>
    </sheetView>
  </sheetViews>
  <sheetFormatPr defaultColWidth="4.125" defaultRowHeight="13.5" x14ac:dyDescent="0.15"/>
  <cols>
    <col min="1" max="1" width="1.625" style="10" customWidth="1"/>
    <col min="2" max="2" width="3.5" style="13" bestFit="1" customWidth="1"/>
    <col min="3" max="3" width="7.5" style="13" bestFit="1" customWidth="1"/>
    <col min="4" max="4" width="13.75" style="10" bestFit="1" customWidth="1"/>
    <col min="5" max="5" width="11.5" style="10" bestFit="1" customWidth="1"/>
    <col min="6" max="6" width="13.75" style="10" bestFit="1" customWidth="1"/>
    <col min="7" max="7" width="0.75" style="10" customWidth="1"/>
    <col min="8" max="8" width="11.5" style="10" bestFit="1" customWidth="1"/>
    <col min="9" max="9" width="15.5" style="10" customWidth="1"/>
    <col min="10" max="10" width="0.875" style="10" customWidth="1"/>
    <col min="11" max="11" width="10.375" style="10" bestFit="1" customWidth="1"/>
    <col min="12" max="12" width="13" style="10" bestFit="1" customWidth="1"/>
    <col min="13" max="13" width="14.5" style="10" customWidth="1"/>
    <col min="14" max="16384" width="4.125" style="10"/>
  </cols>
  <sheetData>
    <row r="2" spans="2:13" x14ac:dyDescent="0.15">
      <c r="L2" s="127" t="s">
        <v>137</v>
      </c>
      <c r="M2" s="16" t="s">
        <v>140</v>
      </c>
    </row>
    <row r="3" spans="2:13" x14ac:dyDescent="0.15">
      <c r="D3" s="143" t="s">
        <v>138</v>
      </c>
      <c r="E3" s="144"/>
      <c r="F3" s="145"/>
      <c r="H3" s="133" t="s">
        <v>4</v>
      </c>
      <c r="I3" s="134"/>
      <c r="K3" s="133" t="s">
        <v>126</v>
      </c>
      <c r="L3" s="135" t="s">
        <v>141</v>
      </c>
      <c r="M3" s="134"/>
    </row>
    <row r="4" spans="2:13" ht="27" x14ac:dyDescent="0.15">
      <c r="B4" s="9" t="s">
        <v>5</v>
      </c>
      <c r="C4" s="9" t="s">
        <v>6</v>
      </c>
      <c r="D4" s="113" t="s">
        <v>124</v>
      </c>
      <c r="E4" s="109" t="s">
        <v>99</v>
      </c>
      <c r="F4" s="109" t="s">
        <v>125</v>
      </c>
      <c r="H4" s="72" t="s">
        <v>94</v>
      </c>
      <c r="I4" s="72" t="s">
        <v>92</v>
      </c>
      <c r="K4" s="72" t="s">
        <v>94</v>
      </c>
      <c r="L4" s="72" t="s">
        <v>4</v>
      </c>
      <c r="M4" s="72" t="s">
        <v>93</v>
      </c>
    </row>
    <row r="5" spans="2:13" x14ac:dyDescent="0.15">
      <c r="B5" s="128">
        <v>1</v>
      </c>
      <c r="C5" s="129" t="s">
        <v>157</v>
      </c>
      <c r="D5" s="130">
        <f ca="1">INDIRECT(C5&amp;"!K2")</f>
        <v>-652026</v>
      </c>
      <c r="E5" s="130">
        <f ca="1">INDIRECT(C5&amp;"!L2")</f>
        <v>0</v>
      </c>
      <c r="F5" s="130">
        <f ca="1">INDIRECT(C5&amp;"!M2")</f>
        <v>-652026</v>
      </c>
      <c r="H5" s="124">
        <f ca="1">IF(ROUND(I5-D5,0)=0, "●",I5-D5)</f>
        <v>25104</v>
      </c>
      <c r="I5" s="36">
        <f ca="1">INDIRECT($H$3&amp;"!G2")</f>
        <v>-626922</v>
      </c>
      <c r="K5" s="124" t="str">
        <f t="shared" ref="K5:K17" ca="1" si="0">IF(ROUND(L5-E5,0)=0,"●",L5-E5)</f>
        <v>●</v>
      </c>
      <c r="L5" s="73">
        <f t="shared" ref="L5:L16" ca="1" si="1">SUM(M5:M5)</f>
        <v>0</v>
      </c>
      <c r="M5" s="36">
        <f ca="1">INDIRECT($K$3&amp;"!G2")</f>
        <v>0</v>
      </c>
    </row>
    <row r="6" spans="2:13" x14ac:dyDescent="0.15">
      <c r="B6" s="128">
        <v>2</v>
      </c>
      <c r="C6" s="129" t="s">
        <v>158</v>
      </c>
      <c r="D6" s="130" t="e">
        <f t="shared" ref="D6:D16" ca="1" si="2">INDIRECT(C6&amp;"!K2")</f>
        <v>#REF!</v>
      </c>
      <c r="E6" s="130" t="e">
        <f t="shared" ref="E6:E16" ca="1" si="3">INDIRECT(C6&amp;"!L2")</f>
        <v>#REF!</v>
      </c>
      <c r="F6" s="130" t="e">
        <f t="shared" ref="F6:F16" ca="1" si="4">INDIRECT(C6&amp;"!M2")</f>
        <v>#REF!</v>
      </c>
      <c r="H6" s="126" t="e">
        <f t="shared" ref="H6:H17" ca="1" si="5">IF(ROUND(I6-D6,0)=0, "●",I6-D6)</f>
        <v>#REF!</v>
      </c>
      <c r="I6" s="36">
        <f ca="1">INDIRECT($H$3&amp;"!H2")</f>
        <v>0</v>
      </c>
      <c r="K6" s="126" t="e">
        <f t="shared" ca="1" si="0"/>
        <v>#REF!</v>
      </c>
      <c r="L6" s="73">
        <f t="shared" ca="1" si="1"/>
        <v>0</v>
      </c>
      <c r="M6" s="36">
        <f ca="1">INDIRECT($K$3&amp;"!H2")</f>
        <v>0</v>
      </c>
    </row>
    <row r="7" spans="2:13" x14ac:dyDescent="0.15">
      <c r="B7" s="128">
        <v>3</v>
      </c>
      <c r="C7" s="129" t="s">
        <v>159</v>
      </c>
      <c r="D7" s="130" t="e">
        <f t="shared" ca="1" si="2"/>
        <v>#REF!</v>
      </c>
      <c r="E7" s="130" t="e">
        <f t="shared" ca="1" si="3"/>
        <v>#REF!</v>
      </c>
      <c r="F7" s="130" t="e">
        <f t="shared" ca="1" si="4"/>
        <v>#REF!</v>
      </c>
      <c r="H7" s="126" t="e">
        <f t="shared" ca="1" si="5"/>
        <v>#REF!</v>
      </c>
      <c r="I7" s="36">
        <f ca="1">INDIRECT($H$3&amp;"!I2")</f>
        <v>0</v>
      </c>
      <c r="K7" s="126" t="e">
        <f t="shared" ca="1" si="0"/>
        <v>#REF!</v>
      </c>
      <c r="L7" s="73">
        <f t="shared" ca="1" si="1"/>
        <v>0</v>
      </c>
      <c r="M7" s="36">
        <f ca="1">INDIRECT($K$3&amp;"!I2")</f>
        <v>0</v>
      </c>
    </row>
    <row r="8" spans="2:13" x14ac:dyDescent="0.15">
      <c r="B8" s="128">
        <v>4</v>
      </c>
      <c r="C8" s="129" t="s">
        <v>160</v>
      </c>
      <c r="D8" s="130" t="e">
        <f t="shared" ca="1" si="2"/>
        <v>#REF!</v>
      </c>
      <c r="E8" s="130" t="e">
        <f t="shared" ca="1" si="3"/>
        <v>#REF!</v>
      </c>
      <c r="F8" s="130" t="e">
        <f t="shared" ca="1" si="4"/>
        <v>#REF!</v>
      </c>
      <c r="H8" s="126" t="e">
        <f t="shared" ca="1" si="5"/>
        <v>#REF!</v>
      </c>
      <c r="I8" s="36">
        <f ca="1">INDIRECT($H$3&amp;"!J2")</f>
        <v>0</v>
      </c>
      <c r="K8" s="126" t="e">
        <f t="shared" ca="1" si="0"/>
        <v>#REF!</v>
      </c>
      <c r="L8" s="73">
        <f t="shared" ca="1" si="1"/>
        <v>0</v>
      </c>
      <c r="M8" s="36">
        <f ca="1">INDIRECT($K$3&amp;"!J2")</f>
        <v>0</v>
      </c>
    </row>
    <row r="9" spans="2:13" x14ac:dyDescent="0.15">
      <c r="B9" s="128">
        <v>5</v>
      </c>
      <c r="C9" s="129" t="s">
        <v>161</v>
      </c>
      <c r="D9" s="130" t="e">
        <f t="shared" ca="1" si="2"/>
        <v>#REF!</v>
      </c>
      <c r="E9" s="130" t="e">
        <f t="shared" ca="1" si="3"/>
        <v>#REF!</v>
      </c>
      <c r="F9" s="130" t="e">
        <f t="shared" ca="1" si="4"/>
        <v>#REF!</v>
      </c>
      <c r="H9" s="126" t="e">
        <f t="shared" ca="1" si="5"/>
        <v>#REF!</v>
      </c>
      <c r="I9" s="36">
        <f ca="1">INDIRECT($H$3&amp;"!K2")</f>
        <v>0</v>
      </c>
      <c r="K9" s="126" t="e">
        <f t="shared" ca="1" si="0"/>
        <v>#REF!</v>
      </c>
      <c r="L9" s="73">
        <f t="shared" ca="1" si="1"/>
        <v>0</v>
      </c>
      <c r="M9" s="36">
        <f ca="1">INDIRECT($K$3&amp;"!K2")</f>
        <v>0</v>
      </c>
    </row>
    <row r="10" spans="2:13" x14ac:dyDescent="0.15">
      <c r="B10" s="128">
        <v>6</v>
      </c>
      <c r="C10" s="129" t="s">
        <v>162</v>
      </c>
      <c r="D10" s="130" t="e">
        <f t="shared" ca="1" si="2"/>
        <v>#REF!</v>
      </c>
      <c r="E10" s="130" t="e">
        <f t="shared" ca="1" si="3"/>
        <v>#REF!</v>
      </c>
      <c r="F10" s="130" t="e">
        <f t="shared" ca="1" si="4"/>
        <v>#REF!</v>
      </c>
      <c r="H10" s="126" t="e">
        <f t="shared" ca="1" si="5"/>
        <v>#REF!</v>
      </c>
      <c r="I10" s="36">
        <f ca="1">INDIRECT($H$3&amp;"!L2")</f>
        <v>0</v>
      </c>
      <c r="K10" s="126" t="e">
        <f t="shared" ca="1" si="0"/>
        <v>#REF!</v>
      </c>
      <c r="L10" s="73">
        <f t="shared" ca="1" si="1"/>
        <v>0</v>
      </c>
      <c r="M10" s="36">
        <f ca="1">INDIRECT($K$3&amp;"!L2")</f>
        <v>0</v>
      </c>
    </row>
    <row r="11" spans="2:13" x14ac:dyDescent="0.15">
      <c r="B11" s="128">
        <v>7</v>
      </c>
      <c r="C11" s="129" t="s">
        <v>163</v>
      </c>
      <c r="D11" s="130" t="e">
        <f t="shared" ca="1" si="2"/>
        <v>#REF!</v>
      </c>
      <c r="E11" s="130" t="e">
        <f t="shared" ca="1" si="3"/>
        <v>#REF!</v>
      </c>
      <c r="F11" s="130" t="e">
        <f t="shared" ca="1" si="4"/>
        <v>#REF!</v>
      </c>
      <c r="H11" s="126" t="e">
        <f t="shared" ca="1" si="5"/>
        <v>#REF!</v>
      </c>
      <c r="I11" s="36">
        <f ca="1">INDIRECT($H$3&amp;"!M2")</f>
        <v>0</v>
      </c>
      <c r="K11" s="126" t="e">
        <f t="shared" ca="1" si="0"/>
        <v>#REF!</v>
      </c>
      <c r="L11" s="73">
        <f t="shared" ca="1" si="1"/>
        <v>0</v>
      </c>
      <c r="M11" s="36">
        <f ca="1">INDIRECT($K$3&amp;"!M2")</f>
        <v>0</v>
      </c>
    </row>
    <row r="12" spans="2:13" x14ac:dyDescent="0.15">
      <c r="B12" s="128">
        <v>8</v>
      </c>
      <c r="C12" s="129" t="s">
        <v>164</v>
      </c>
      <c r="D12" s="130" t="e">
        <f t="shared" ca="1" si="2"/>
        <v>#REF!</v>
      </c>
      <c r="E12" s="130" t="e">
        <f t="shared" ca="1" si="3"/>
        <v>#REF!</v>
      </c>
      <c r="F12" s="130" t="e">
        <f t="shared" ca="1" si="4"/>
        <v>#REF!</v>
      </c>
      <c r="H12" s="126" t="e">
        <f t="shared" ca="1" si="5"/>
        <v>#REF!</v>
      </c>
      <c r="I12" s="36">
        <f ca="1">INDIRECT($H$3&amp;"!N2")</f>
        <v>0</v>
      </c>
      <c r="K12" s="126" t="e">
        <f t="shared" ca="1" si="0"/>
        <v>#REF!</v>
      </c>
      <c r="L12" s="73">
        <f t="shared" ca="1" si="1"/>
        <v>0</v>
      </c>
      <c r="M12" s="36">
        <f ca="1">INDIRECT($K$3&amp;"!N2")</f>
        <v>0</v>
      </c>
    </row>
    <row r="13" spans="2:13" x14ac:dyDescent="0.15">
      <c r="B13" s="128">
        <v>9</v>
      </c>
      <c r="C13" s="129" t="s">
        <v>165</v>
      </c>
      <c r="D13" s="130" t="e">
        <f t="shared" ca="1" si="2"/>
        <v>#REF!</v>
      </c>
      <c r="E13" s="130" t="e">
        <f t="shared" ca="1" si="3"/>
        <v>#REF!</v>
      </c>
      <c r="F13" s="130" t="e">
        <f t="shared" ca="1" si="4"/>
        <v>#REF!</v>
      </c>
      <c r="H13" s="126" t="e">
        <f t="shared" ca="1" si="5"/>
        <v>#REF!</v>
      </c>
      <c r="I13" s="36">
        <f ca="1">INDIRECT($H$3&amp;"!O2")</f>
        <v>0</v>
      </c>
      <c r="K13" s="126" t="e">
        <f t="shared" ca="1" si="0"/>
        <v>#REF!</v>
      </c>
      <c r="L13" s="73">
        <f t="shared" ca="1" si="1"/>
        <v>0</v>
      </c>
      <c r="M13" s="36">
        <f ca="1">INDIRECT($K$3&amp;"!O2")</f>
        <v>0</v>
      </c>
    </row>
    <row r="14" spans="2:13" x14ac:dyDescent="0.15">
      <c r="B14" s="128">
        <v>10</v>
      </c>
      <c r="C14" s="129" t="s">
        <v>166</v>
      </c>
      <c r="D14" s="130" t="e">
        <f t="shared" ca="1" si="2"/>
        <v>#REF!</v>
      </c>
      <c r="E14" s="130" t="e">
        <f t="shared" ca="1" si="3"/>
        <v>#REF!</v>
      </c>
      <c r="F14" s="130" t="e">
        <f t="shared" ca="1" si="4"/>
        <v>#REF!</v>
      </c>
      <c r="H14" s="126" t="e">
        <f t="shared" ca="1" si="5"/>
        <v>#REF!</v>
      </c>
      <c r="I14" s="36">
        <f ca="1">INDIRECT($H$3&amp;"!P2")</f>
        <v>0</v>
      </c>
      <c r="K14" s="126" t="e">
        <f t="shared" ca="1" si="0"/>
        <v>#REF!</v>
      </c>
      <c r="L14" s="73">
        <f t="shared" ca="1" si="1"/>
        <v>0</v>
      </c>
      <c r="M14" s="36">
        <f ca="1">INDIRECT($K$3&amp;"!P2")</f>
        <v>0</v>
      </c>
    </row>
    <row r="15" spans="2:13" x14ac:dyDescent="0.15">
      <c r="B15" s="128">
        <v>11</v>
      </c>
      <c r="C15" s="129" t="s">
        <v>167</v>
      </c>
      <c r="D15" s="130" t="e">
        <f t="shared" ca="1" si="2"/>
        <v>#REF!</v>
      </c>
      <c r="E15" s="130" t="e">
        <f t="shared" ca="1" si="3"/>
        <v>#REF!</v>
      </c>
      <c r="F15" s="130" t="e">
        <f t="shared" ca="1" si="4"/>
        <v>#REF!</v>
      </c>
      <c r="H15" s="126" t="e">
        <f t="shared" ca="1" si="5"/>
        <v>#REF!</v>
      </c>
      <c r="I15" s="36">
        <f ca="1">INDIRECT($H$3&amp;"!Q2")</f>
        <v>0</v>
      </c>
      <c r="K15" s="126" t="e">
        <f t="shared" ca="1" si="0"/>
        <v>#REF!</v>
      </c>
      <c r="L15" s="73">
        <f t="shared" ca="1" si="1"/>
        <v>0</v>
      </c>
      <c r="M15" s="36">
        <f ca="1">INDIRECT($K$3&amp;"!Q2")</f>
        <v>0</v>
      </c>
    </row>
    <row r="16" spans="2:13" x14ac:dyDescent="0.15">
      <c r="B16" s="128">
        <v>12</v>
      </c>
      <c r="C16" s="129" t="s">
        <v>168</v>
      </c>
      <c r="D16" s="130" t="e">
        <f t="shared" ca="1" si="2"/>
        <v>#REF!</v>
      </c>
      <c r="E16" s="130" t="e">
        <f t="shared" ca="1" si="3"/>
        <v>#REF!</v>
      </c>
      <c r="F16" s="130" t="e">
        <f t="shared" ca="1" si="4"/>
        <v>#REF!</v>
      </c>
      <c r="H16" s="126" t="e">
        <f t="shared" ca="1" si="5"/>
        <v>#REF!</v>
      </c>
      <c r="I16" s="36">
        <f ca="1">INDIRECT($H$3&amp;"!R2")</f>
        <v>0</v>
      </c>
      <c r="K16" s="126" t="e">
        <f t="shared" ca="1" si="0"/>
        <v>#REF!</v>
      </c>
      <c r="L16" s="73">
        <f t="shared" ca="1" si="1"/>
        <v>0</v>
      </c>
      <c r="M16" s="36">
        <f ca="1">INDIRECT($K$3&amp;"!R2")</f>
        <v>0</v>
      </c>
    </row>
    <row r="17" spans="1:13" x14ac:dyDescent="0.15">
      <c r="B17" s="146" t="s">
        <v>7</v>
      </c>
      <c r="C17" s="147"/>
      <c r="D17" s="12" t="e">
        <f ca="1">SUM(D5:D16)</f>
        <v>#REF!</v>
      </c>
      <c r="E17" s="12" t="e">
        <f ca="1">SUM(E5:E16)</f>
        <v>#REF!</v>
      </c>
      <c r="F17" s="12" t="e">
        <f ca="1">SUM(F5:F16)</f>
        <v>#REF!</v>
      </c>
      <c r="H17" s="126" t="e">
        <f t="shared" ca="1" si="5"/>
        <v>#REF!</v>
      </c>
      <c r="I17" s="36">
        <f t="shared" ref="I17" ca="1" si="6">SUM(I5:I16)</f>
        <v>-626922</v>
      </c>
      <c r="K17" s="126" t="e">
        <f t="shared" ca="1" si="0"/>
        <v>#REF!</v>
      </c>
      <c r="L17" s="73">
        <f ca="1">SUM(L5:L16)</f>
        <v>0</v>
      </c>
      <c r="M17" s="34">
        <f t="shared" ref="M17" ca="1" si="7">SUM(M5:M16)</f>
        <v>0</v>
      </c>
    </row>
    <row r="18" spans="1:13" x14ac:dyDescent="0.15">
      <c r="B18" s="10"/>
      <c r="C18" s="10"/>
    </row>
    <row r="23" spans="1:13" x14ac:dyDescent="0.15">
      <c r="A23" s="16"/>
    </row>
    <row r="24" spans="1:13" ht="14.1" customHeight="1" x14ac:dyDescent="0.15"/>
    <row r="25" spans="1:13" ht="14.1" customHeight="1" x14ac:dyDescent="0.15"/>
    <row r="26" spans="1:13" ht="14.1" customHeight="1" x14ac:dyDescent="0.15"/>
    <row r="34" spans="2:6" x14ac:dyDescent="0.15">
      <c r="B34" s="40"/>
      <c r="C34" s="40"/>
      <c r="D34" s="40"/>
      <c r="E34" s="40"/>
      <c r="F34" s="40"/>
    </row>
    <row r="52" spans="2:3" x14ac:dyDescent="0.15">
      <c r="B52" s="10"/>
      <c r="C52" s="10"/>
    </row>
    <row r="53" spans="2:3" x14ac:dyDescent="0.15">
      <c r="B53" s="10"/>
      <c r="C53" s="10"/>
    </row>
    <row r="54" spans="2:3" x14ac:dyDescent="0.15">
      <c r="B54" s="10"/>
      <c r="C54" s="10"/>
    </row>
    <row r="55" spans="2:3" x14ac:dyDescent="0.15">
      <c r="B55" s="10"/>
      <c r="C55" s="10"/>
    </row>
    <row r="56" spans="2:3" x14ac:dyDescent="0.15">
      <c r="B56" s="10"/>
      <c r="C56" s="10"/>
    </row>
    <row r="57" spans="2:3" x14ac:dyDescent="0.15">
      <c r="B57" s="10"/>
      <c r="C57" s="10"/>
    </row>
    <row r="58" spans="2:3" x14ac:dyDescent="0.15">
      <c r="B58" s="10"/>
      <c r="C58" s="10"/>
    </row>
    <row r="59" spans="2:3" x14ac:dyDescent="0.15">
      <c r="B59" s="10"/>
      <c r="C59" s="10"/>
    </row>
    <row r="60" spans="2:3" x14ac:dyDescent="0.15">
      <c r="B60" s="10"/>
      <c r="C60" s="10"/>
    </row>
    <row r="61" spans="2:3" x14ac:dyDescent="0.15">
      <c r="B61" s="10"/>
      <c r="C61" s="10"/>
    </row>
    <row r="62" spans="2:3" x14ac:dyDescent="0.15">
      <c r="B62" s="10"/>
      <c r="C62" s="10"/>
    </row>
    <row r="63" spans="2:3" x14ac:dyDescent="0.15">
      <c r="B63" s="10"/>
      <c r="C63" s="10"/>
    </row>
    <row r="64" spans="2:3" x14ac:dyDescent="0.15">
      <c r="B64" s="10"/>
      <c r="C64" s="10"/>
    </row>
    <row r="65" spans="2:3" x14ac:dyDescent="0.15">
      <c r="B65" s="10"/>
      <c r="C65" s="10"/>
    </row>
    <row r="66" spans="2:3" x14ac:dyDescent="0.15">
      <c r="B66" s="10"/>
      <c r="C66" s="10"/>
    </row>
    <row r="67" spans="2:3" x14ac:dyDescent="0.15">
      <c r="B67" s="10"/>
      <c r="C67" s="10"/>
    </row>
    <row r="68" spans="2:3" x14ac:dyDescent="0.15">
      <c r="B68" s="10"/>
      <c r="C68" s="10"/>
    </row>
    <row r="69" spans="2:3" x14ac:dyDescent="0.15">
      <c r="B69" s="10"/>
      <c r="C69" s="10"/>
    </row>
    <row r="70" spans="2:3" x14ac:dyDescent="0.15">
      <c r="B70" s="10"/>
      <c r="C70" s="10"/>
    </row>
  </sheetData>
  <mergeCells count="2">
    <mergeCell ref="D3:F3"/>
    <mergeCell ref="B17:C17"/>
  </mergeCells>
  <phoneticPr fontId="1"/>
  <pageMargins left="0.51181102362204722" right="0.51181102362204722" top="0.74803149606299213" bottom="0.74803149606299213" header="0.31496062992125984" footer="0.31496062992125984"/>
  <pageSetup paperSize="9" scale="87" orientation="landscape" horizontalDpi="180" verticalDpi="180" r:id="rId1"/>
  <headerFooter>
    <oddHeader>&amp;A</oddHeader>
    <oddFooter>&amp;L&amp;B 機密&amp;B&amp;C&amp;D&amp;R&amp;P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5D021-FD3B-447F-B54E-1094981D98B5}">
  <sheetPr codeName="Sheet25">
    <tabColor rgb="FFFF0000"/>
  </sheetPr>
  <dimension ref="B2:S29"/>
  <sheetViews>
    <sheetView showGridLines="0" zoomScaleNormal="100" workbookViewId="0">
      <selection activeCell="H12" sqref="H12"/>
    </sheetView>
  </sheetViews>
  <sheetFormatPr defaultColWidth="4.125" defaultRowHeight="13.5" x14ac:dyDescent="0.15"/>
  <cols>
    <col min="1" max="1" width="2.125" style="20" customWidth="1"/>
    <col min="2" max="2" width="6.625" style="20" customWidth="1"/>
    <col min="3" max="3" width="19.625" style="20" bestFit="1" customWidth="1"/>
    <col min="4" max="4" width="17.25" style="20" bestFit="1" customWidth="1"/>
    <col min="5" max="5" width="22" style="62" bestFit="1" customWidth="1"/>
    <col min="6" max="6" width="13.75" style="62" bestFit="1" customWidth="1"/>
    <col min="7" max="7" width="12.625" style="62" bestFit="1" customWidth="1"/>
    <col min="8" max="10" width="11.5" style="62" bestFit="1" customWidth="1"/>
    <col min="11" max="11" width="12.625" style="62" bestFit="1" customWidth="1"/>
    <col min="12" max="17" width="11.5" style="62" bestFit="1" customWidth="1"/>
    <col min="18" max="18" width="12.625" style="62" bestFit="1" customWidth="1"/>
    <col min="19" max="19" width="57.375" style="20" customWidth="1"/>
    <col min="20" max="16384" width="4.125" style="20"/>
  </cols>
  <sheetData>
    <row r="2" spans="2:19" ht="44.25" customHeight="1" x14ac:dyDescent="0.15">
      <c r="E2" s="122" t="s">
        <v>127</v>
      </c>
      <c r="F2" s="121">
        <f>SUM(F4:F29)</f>
        <v>-626922</v>
      </c>
      <c r="G2" s="121">
        <f t="shared" ref="G2:R2" si="0">SUM(G4:G29)</f>
        <v>-626922</v>
      </c>
      <c r="H2" s="121">
        <f t="shared" si="0"/>
        <v>0</v>
      </c>
      <c r="I2" s="121">
        <f t="shared" si="0"/>
        <v>0</v>
      </c>
      <c r="J2" s="121">
        <f t="shared" si="0"/>
        <v>0</v>
      </c>
      <c r="K2" s="121">
        <f t="shared" si="0"/>
        <v>0</v>
      </c>
      <c r="L2" s="121">
        <f t="shared" si="0"/>
        <v>0</v>
      </c>
      <c r="M2" s="121">
        <f t="shared" si="0"/>
        <v>0</v>
      </c>
      <c r="N2" s="121">
        <f t="shared" si="0"/>
        <v>0</v>
      </c>
      <c r="O2" s="121">
        <f t="shared" si="0"/>
        <v>0</v>
      </c>
      <c r="P2" s="121">
        <f t="shared" si="0"/>
        <v>0</v>
      </c>
      <c r="Q2" s="121">
        <f t="shared" si="0"/>
        <v>0</v>
      </c>
      <c r="R2" s="121">
        <f t="shared" si="0"/>
        <v>0</v>
      </c>
    </row>
    <row r="3" spans="2:19" ht="35.25" customHeight="1" x14ac:dyDescent="0.15">
      <c r="B3" s="63" t="s">
        <v>88</v>
      </c>
      <c r="C3" s="63" t="s">
        <v>39</v>
      </c>
      <c r="D3" s="63" t="s">
        <v>40</v>
      </c>
      <c r="E3" s="118" t="s">
        <v>41</v>
      </c>
      <c r="F3" s="64" t="s">
        <v>90</v>
      </c>
      <c r="G3" s="65">
        <v>202007</v>
      </c>
      <c r="H3" s="65">
        <v>202008</v>
      </c>
      <c r="I3" s="65">
        <v>202009</v>
      </c>
      <c r="J3" s="65">
        <v>202010</v>
      </c>
      <c r="K3" s="65">
        <v>202011</v>
      </c>
      <c r="L3" s="65">
        <v>202012</v>
      </c>
      <c r="M3" s="65">
        <v>202101</v>
      </c>
      <c r="N3" s="65">
        <v>202102</v>
      </c>
      <c r="O3" s="65">
        <v>202103</v>
      </c>
      <c r="P3" s="65">
        <v>202104</v>
      </c>
      <c r="Q3" s="65">
        <v>202105</v>
      </c>
      <c r="R3" s="65">
        <v>202106</v>
      </c>
      <c r="S3" s="66" t="s">
        <v>51</v>
      </c>
    </row>
    <row r="4" spans="2:19" x14ac:dyDescent="0.15">
      <c r="B4" s="57" t="s">
        <v>89</v>
      </c>
      <c r="C4" s="54" t="s">
        <v>37</v>
      </c>
      <c r="D4" s="57" t="s">
        <v>22</v>
      </c>
      <c r="E4" s="31" t="s">
        <v>60</v>
      </c>
      <c r="F4" s="68">
        <f t="shared" ref="F4:F25" si="1">SUM(G4:R4)</f>
        <v>0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0</v>
      </c>
      <c r="O4" s="68">
        <v>0</v>
      </c>
      <c r="P4" s="68">
        <v>0</v>
      </c>
      <c r="Q4" s="68">
        <v>0</v>
      </c>
      <c r="R4" s="68">
        <v>0</v>
      </c>
      <c r="S4" s="70"/>
    </row>
    <row r="5" spans="2:19" x14ac:dyDescent="0.15">
      <c r="B5" s="55"/>
      <c r="C5" s="55" t="s">
        <v>37</v>
      </c>
      <c r="D5" s="55" t="s">
        <v>22</v>
      </c>
      <c r="E5" s="31" t="s">
        <v>61</v>
      </c>
      <c r="F5" s="68">
        <f t="shared" si="1"/>
        <v>0</v>
      </c>
      <c r="G5" s="68">
        <v>0</v>
      </c>
      <c r="H5" s="68">
        <v>0</v>
      </c>
      <c r="I5" s="68">
        <v>0</v>
      </c>
      <c r="J5" s="68">
        <v>0</v>
      </c>
      <c r="K5" s="68">
        <v>0</v>
      </c>
      <c r="L5" s="68">
        <v>0</v>
      </c>
      <c r="M5" s="68">
        <v>0</v>
      </c>
      <c r="N5" s="68">
        <v>0</v>
      </c>
      <c r="O5" s="68">
        <v>0</v>
      </c>
      <c r="P5" s="68">
        <v>0</v>
      </c>
      <c r="Q5" s="68">
        <v>0</v>
      </c>
      <c r="R5" s="68">
        <v>0</v>
      </c>
      <c r="S5" s="70"/>
    </row>
    <row r="6" spans="2:19" x14ac:dyDescent="0.15">
      <c r="B6" s="55"/>
      <c r="C6" s="55" t="s">
        <v>37</v>
      </c>
      <c r="D6" s="69" t="s">
        <v>22</v>
      </c>
      <c r="E6" s="31"/>
      <c r="F6" s="68">
        <f t="shared" si="1"/>
        <v>0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0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70"/>
    </row>
    <row r="7" spans="2:19" x14ac:dyDescent="0.15">
      <c r="B7" s="55"/>
      <c r="C7" s="55" t="s">
        <v>37</v>
      </c>
      <c r="D7" s="57" t="s">
        <v>62</v>
      </c>
      <c r="E7" s="31" t="s">
        <v>56</v>
      </c>
      <c r="F7" s="68">
        <f t="shared" si="1"/>
        <v>0</v>
      </c>
      <c r="G7" s="68">
        <v>0</v>
      </c>
      <c r="H7" s="68">
        <v>0</v>
      </c>
      <c r="I7" s="68">
        <v>0</v>
      </c>
      <c r="J7" s="68">
        <v>0</v>
      </c>
      <c r="K7" s="68">
        <v>0</v>
      </c>
      <c r="L7" s="68">
        <v>0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  <c r="R7" s="68">
        <v>0</v>
      </c>
      <c r="S7" s="70"/>
    </row>
    <row r="8" spans="2:19" x14ac:dyDescent="0.15">
      <c r="B8" s="55"/>
      <c r="C8" s="55" t="s">
        <v>37</v>
      </c>
      <c r="D8" s="55" t="s">
        <v>84</v>
      </c>
      <c r="E8" s="31" t="s">
        <v>57</v>
      </c>
      <c r="F8" s="68">
        <f t="shared" si="1"/>
        <v>0</v>
      </c>
      <c r="G8" s="68">
        <v>0</v>
      </c>
      <c r="H8" s="68">
        <v>0</v>
      </c>
      <c r="I8" s="68">
        <v>0</v>
      </c>
      <c r="J8" s="68">
        <v>0</v>
      </c>
      <c r="K8" s="68">
        <v>0</v>
      </c>
      <c r="L8" s="68">
        <v>0</v>
      </c>
      <c r="M8" s="68">
        <v>0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70"/>
    </row>
    <row r="9" spans="2:19" x14ac:dyDescent="0.15">
      <c r="B9" s="55"/>
      <c r="C9" s="55" t="s">
        <v>37</v>
      </c>
      <c r="D9" s="55" t="s">
        <v>84</v>
      </c>
      <c r="E9" s="31" t="s">
        <v>143</v>
      </c>
      <c r="F9" s="68">
        <f t="shared" si="1"/>
        <v>0</v>
      </c>
      <c r="G9" s="68">
        <v>0</v>
      </c>
      <c r="H9" s="68">
        <v>0</v>
      </c>
      <c r="I9" s="68">
        <v>0</v>
      </c>
      <c r="J9" s="68">
        <v>0</v>
      </c>
      <c r="K9" s="68">
        <v>0</v>
      </c>
      <c r="L9" s="68">
        <v>0</v>
      </c>
      <c r="M9" s="68">
        <v>0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70"/>
    </row>
    <row r="10" spans="2:19" x14ac:dyDescent="0.15">
      <c r="B10" s="55"/>
      <c r="C10" s="55" t="s">
        <v>37</v>
      </c>
      <c r="D10" s="69" t="s">
        <v>84</v>
      </c>
      <c r="E10" s="31"/>
      <c r="F10" s="68">
        <f t="shared" si="1"/>
        <v>0</v>
      </c>
      <c r="G10" s="68">
        <v>0</v>
      </c>
      <c r="H10" s="68">
        <v>0</v>
      </c>
      <c r="I10" s="68">
        <v>0</v>
      </c>
      <c r="J10" s="68">
        <v>0</v>
      </c>
      <c r="K10" s="68">
        <v>0</v>
      </c>
      <c r="L10" s="68">
        <v>0</v>
      </c>
      <c r="M10" s="68">
        <v>0</v>
      </c>
      <c r="N10" s="68">
        <v>0</v>
      </c>
      <c r="O10" s="68">
        <v>0</v>
      </c>
      <c r="P10" s="68">
        <v>0</v>
      </c>
      <c r="Q10" s="68">
        <v>0</v>
      </c>
      <c r="R10" s="68">
        <v>0</v>
      </c>
      <c r="S10" s="70"/>
    </row>
    <row r="11" spans="2:19" x14ac:dyDescent="0.15">
      <c r="B11" s="55"/>
      <c r="C11" s="55" t="s">
        <v>37</v>
      </c>
      <c r="D11" s="57" t="s">
        <v>49</v>
      </c>
      <c r="E11" s="56" t="s">
        <v>67</v>
      </c>
      <c r="F11" s="68">
        <f t="shared" si="1"/>
        <v>0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0</v>
      </c>
      <c r="S11" s="70"/>
    </row>
    <row r="12" spans="2:19" x14ac:dyDescent="0.15">
      <c r="B12" s="55"/>
      <c r="C12" s="55" t="s">
        <v>37</v>
      </c>
      <c r="D12" s="55" t="s">
        <v>86</v>
      </c>
      <c r="E12" s="56" t="s">
        <v>55</v>
      </c>
      <c r="F12" s="68">
        <f t="shared" si="1"/>
        <v>0</v>
      </c>
      <c r="G12" s="68">
        <v>0</v>
      </c>
      <c r="H12" s="68">
        <v>0</v>
      </c>
      <c r="I12" s="68">
        <v>0</v>
      </c>
      <c r="J12" s="68">
        <v>0</v>
      </c>
      <c r="K12" s="68">
        <v>0</v>
      </c>
      <c r="L12" s="68">
        <v>0</v>
      </c>
      <c r="M12" s="68">
        <v>0</v>
      </c>
      <c r="N12" s="68">
        <v>0</v>
      </c>
      <c r="O12" s="68">
        <v>0</v>
      </c>
      <c r="P12" s="68">
        <v>0</v>
      </c>
      <c r="Q12" s="68">
        <v>0</v>
      </c>
      <c r="R12" s="68">
        <v>0</v>
      </c>
      <c r="S12" s="70"/>
    </row>
    <row r="13" spans="2:19" x14ac:dyDescent="0.15">
      <c r="B13" s="55"/>
      <c r="C13" s="55" t="s">
        <v>37</v>
      </c>
      <c r="D13" s="69" t="s">
        <v>86</v>
      </c>
      <c r="E13" s="56"/>
      <c r="F13" s="68">
        <f t="shared" si="1"/>
        <v>0</v>
      </c>
      <c r="G13" s="68">
        <v>0</v>
      </c>
      <c r="H13" s="68">
        <v>0</v>
      </c>
      <c r="I13" s="68">
        <v>0</v>
      </c>
      <c r="J13" s="68">
        <v>0</v>
      </c>
      <c r="K13" s="68">
        <v>0</v>
      </c>
      <c r="L13" s="68">
        <v>0</v>
      </c>
      <c r="M13" s="68">
        <v>0</v>
      </c>
      <c r="N13" s="68">
        <v>0</v>
      </c>
      <c r="O13" s="68">
        <v>0</v>
      </c>
      <c r="P13" s="68">
        <v>0</v>
      </c>
      <c r="Q13" s="68">
        <v>0</v>
      </c>
      <c r="R13" s="68">
        <v>0</v>
      </c>
      <c r="S13" s="70"/>
    </row>
    <row r="14" spans="2:19" x14ac:dyDescent="0.15">
      <c r="B14" s="55"/>
      <c r="C14" s="55" t="s">
        <v>37</v>
      </c>
      <c r="D14" s="57" t="s">
        <v>66</v>
      </c>
      <c r="E14" s="31" t="s">
        <v>68</v>
      </c>
      <c r="F14" s="68">
        <f t="shared" si="1"/>
        <v>0</v>
      </c>
      <c r="G14" s="68">
        <v>0</v>
      </c>
      <c r="H14" s="68">
        <v>0</v>
      </c>
      <c r="I14" s="68">
        <v>0</v>
      </c>
      <c r="J14" s="68">
        <v>0</v>
      </c>
      <c r="K14" s="68">
        <v>0</v>
      </c>
      <c r="L14" s="68">
        <v>0</v>
      </c>
      <c r="M14" s="68">
        <v>0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70"/>
    </row>
    <row r="15" spans="2:19" x14ac:dyDescent="0.15">
      <c r="B15" s="55"/>
      <c r="C15" s="55" t="s">
        <v>37</v>
      </c>
      <c r="D15" s="69" t="s">
        <v>91</v>
      </c>
      <c r="E15" s="31"/>
      <c r="F15" s="68">
        <f t="shared" si="1"/>
        <v>0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70"/>
    </row>
    <row r="16" spans="2:19" x14ac:dyDescent="0.15">
      <c r="B16" s="55"/>
      <c r="C16" s="55" t="s">
        <v>37</v>
      </c>
      <c r="D16" s="57" t="s">
        <v>43</v>
      </c>
      <c r="E16" s="56" t="s">
        <v>64</v>
      </c>
      <c r="F16" s="68">
        <f t="shared" si="1"/>
        <v>0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0</v>
      </c>
      <c r="O16" s="68">
        <v>0</v>
      </c>
      <c r="P16" s="68">
        <v>0</v>
      </c>
      <c r="Q16" s="68">
        <v>0</v>
      </c>
      <c r="R16" s="68">
        <v>0</v>
      </c>
      <c r="S16" s="70"/>
    </row>
    <row r="17" spans="2:19" x14ac:dyDescent="0.15">
      <c r="B17" s="55"/>
      <c r="C17" s="55" t="s">
        <v>37</v>
      </c>
      <c r="D17" s="55" t="s">
        <v>85</v>
      </c>
      <c r="E17" s="56" t="s">
        <v>65</v>
      </c>
      <c r="F17" s="68">
        <f t="shared" si="1"/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70"/>
    </row>
    <row r="18" spans="2:19" x14ac:dyDescent="0.15">
      <c r="B18" s="55"/>
      <c r="C18" s="55" t="s">
        <v>37</v>
      </c>
      <c r="D18" s="69" t="s">
        <v>85</v>
      </c>
      <c r="E18" s="56"/>
      <c r="F18" s="68">
        <f t="shared" si="1"/>
        <v>0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0</v>
      </c>
      <c r="M18" s="68">
        <v>0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70"/>
    </row>
    <row r="19" spans="2:19" x14ac:dyDescent="0.15">
      <c r="B19" s="55"/>
      <c r="C19" s="54" t="s">
        <v>50</v>
      </c>
      <c r="D19" s="57" t="s">
        <v>44</v>
      </c>
      <c r="E19" s="31" t="s">
        <v>42</v>
      </c>
      <c r="F19" s="68">
        <f t="shared" si="1"/>
        <v>0</v>
      </c>
      <c r="G19" s="68">
        <v>0</v>
      </c>
      <c r="H19" s="68">
        <v>0</v>
      </c>
      <c r="I19" s="68">
        <v>0</v>
      </c>
      <c r="J19" s="68">
        <v>0</v>
      </c>
      <c r="K19" s="68">
        <v>0</v>
      </c>
      <c r="L19" s="68">
        <v>0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70"/>
    </row>
    <row r="20" spans="2:19" x14ac:dyDescent="0.15">
      <c r="B20" s="55"/>
      <c r="C20" s="55" t="s">
        <v>50</v>
      </c>
      <c r="D20" s="55" t="s">
        <v>83</v>
      </c>
      <c r="E20" s="31" t="s">
        <v>52</v>
      </c>
      <c r="F20" s="68">
        <f t="shared" si="1"/>
        <v>0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70"/>
    </row>
    <row r="21" spans="2:19" x14ac:dyDescent="0.15">
      <c r="B21" s="55"/>
      <c r="C21" s="55" t="s">
        <v>50</v>
      </c>
      <c r="D21" s="69" t="s">
        <v>83</v>
      </c>
      <c r="E21" s="31" t="s">
        <v>55</v>
      </c>
      <c r="F21" s="68">
        <f t="shared" si="1"/>
        <v>0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70"/>
    </row>
    <row r="22" spans="2:19" x14ac:dyDescent="0.15">
      <c r="B22" s="55"/>
      <c r="C22" s="55" t="s">
        <v>50</v>
      </c>
      <c r="D22" s="57" t="s">
        <v>48</v>
      </c>
      <c r="E22" s="31" t="s">
        <v>45</v>
      </c>
      <c r="F22" s="68">
        <f t="shared" si="1"/>
        <v>-626922</v>
      </c>
      <c r="G22" s="68">
        <v>-626922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70"/>
    </row>
    <row r="23" spans="2:19" x14ac:dyDescent="0.15">
      <c r="B23" s="55"/>
      <c r="C23" s="55" t="s">
        <v>50</v>
      </c>
      <c r="D23" s="55" t="s">
        <v>48</v>
      </c>
      <c r="E23" s="31" t="s">
        <v>46</v>
      </c>
      <c r="F23" s="68">
        <f t="shared" si="1"/>
        <v>0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70"/>
    </row>
    <row r="24" spans="2:19" x14ac:dyDescent="0.15">
      <c r="B24" s="55"/>
      <c r="C24" s="55" t="s">
        <v>50</v>
      </c>
      <c r="D24" s="55" t="s">
        <v>48</v>
      </c>
      <c r="E24" s="31" t="s">
        <v>47</v>
      </c>
      <c r="F24" s="68">
        <f t="shared" si="1"/>
        <v>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71" t="s">
        <v>69</v>
      </c>
    </row>
    <row r="25" spans="2:19" x14ac:dyDescent="0.15">
      <c r="B25" s="55"/>
      <c r="C25" s="69" t="s">
        <v>50</v>
      </c>
      <c r="D25" s="69" t="s">
        <v>48</v>
      </c>
      <c r="E25" s="31"/>
      <c r="F25" s="68">
        <f t="shared" si="1"/>
        <v>0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0</v>
      </c>
      <c r="P25" s="68">
        <v>0</v>
      </c>
      <c r="Q25" s="68">
        <v>0</v>
      </c>
      <c r="R25" s="68">
        <v>0</v>
      </c>
      <c r="S25" s="70"/>
    </row>
    <row r="26" spans="2:19" x14ac:dyDescent="0.15">
      <c r="B26" s="55"/>
      <c r="C26" s="57" t="s">
        <v>55</v>
      </c>
      <c r="D26" s="58" t="s">
        <v>70</v>
      </c>
      <c r="E26" s="123" t="s">
        <v>152</v>
      </c>
      <c r="F26" s="67">
        <f>SUM(G26:R26)</f>
        <v>0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1"/>
    </row>
    <row r="27" spans="2:19" x14ac:dyDescent="0.15">
      <c r="B27" s="55"/>
      <c r="C27" s="55" t="s">
        <v>154</v>
      </c>
      <c r="D27" s="142" t="s">
        <v>70</v>
      </c>
      <c r="E27" s="31"/>
      <c r="F27" s="67">
        <f>SUM(G27:R27)</f>
        <v>0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0</v>
      </c>
      <c r="M27" s="68">
        <v>0</v>
      </c>
      <c r="N27" s="68">
        <v>0</v>
      </c>
      <c r="O27" s="68">
        <v>0</v>
      </c>
      <c r="P27" s="68">
        <v>0</v>
      </c>
      <c r="Q27" s="68">
        <v>0</v>
      </c>
      <c r="R27" s="68">
        <v>0</v>
      </c>
      <c r="S27" s="61"/>
    </row>
    <row r="28" spans="2:19" x14ac:dyDescent="0.15">
      <c r="B28" s="55"/>
      <c r="C28" s="55" t="s">
        <v>154</v>
      </c>
      <c r="D28" s="58" t="s">
        <v>133</v>
      </c>
      <c r="E28" s="123" t="s">
        <v>155</v>
      </c>
      <c r="F28" s="67">
        <f>SUM(G28:R28)</f>
        <v>0</v>
      </c>
      <c r="G28" s="68">
        <v>0</v>
      </c>
      <c r="H28" s="68">
        <v>0</v>
      </c>
      <c r="I28" s="68">
        <v>0</v>
      </c>
      <c r="J28" s="68">
        <v>0</v>
      </c>
      <c r="K28" s="68">
        <v>0</v>
      </c>
      <c r="L28" s="68">
        <v>0</v>
      </c>
      <c r="M28" s="68">
        <v>0</v>
      </c>
      <c r="N28" s="68">
        <v>0</v>
      </c>
      <c r="O28" s="68">
        <v>0</v>
      </c>
      <c r="P28" s="68">
        <v>0</v>
      </c>
      <c r="Q28" s="68">
        <v>0</v>
      </c>
      <c r="R28" s="68">
        <v>0</v>
      </c>
      <c r="S28" s="61"/>
    </row>
    <row r="29" spans="2:19" x14ac:dyDescent="0.15">
      <c r="B29" s="69"/>
      <c r="C29" s="69" t="s">
        <v>154</v>
      </c>
      <c r="D29" s="142" t="s">
        <v>133</v>
      </c>
      <c r="E29" s="31"/>
      <c r="F29" s="67">
        <f>SUM(G29:R29)</f>
        <v>0</v>
      </c>
      <c r="G29" s="68">
        <v>0</v>
      </c>
      <c r="H29" s="68">
        <v>0</v>
      </c>
      <c r="I29" s="68">
        <v>0</v>
      </c>
      <c r="J29" s="68">
        <v>0</v>
      </c>
      <c r="K29" s="68">
        <v>0</v>
      </c>
      <c r="L29" s="68">
        <v>0</v>
      </c>
      <c r="M29" s="68">
        <v>0</v>
      </c>
      <c r="N29" s="68">
        <v>0</v>
      </c>
      <c r="O29" s="68">
        <v>0</v>
      </c>
      <c r="P29" s="68">
        <v>0</v>
      </c>
      <c r="Q29" s="68">
        <v>0</v>
      </c>
      <c r="R29" s="68">
        <v>0</v>
      </c>
      <c r="S29" s="61"/>
    </row>
  </sheetData>
  <phoneticPr fontId="6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odule1.合計データ読み取り">
                <anchor moveWithCells="1" sizeWithCells="1">
                  <from>
                    <xdr:col>1</xdr:col>
                    <xdr:colOff>47625</xdr:colOff>
                    <xdr:row>1</xdr:row>
                    <xdr:rowOff>76200</xdr:rowOff>
                  </from>
                  <to>
                    <xdr:col>2</xdr:col>
                    <xdr:colOff>904875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データクリア">
                <anchor moveWithCells="1" sizeWithCells="1">
                  <from>
                    <xdr:col>2</xdr:col>
                    <xdr:colOff>1038225</xdr:colOff>
                    <xdr:row>1</xdr:row>
                    <xdr:rowOff>66675</xdr:rowOff>
                  </from>
                  <to>
                    <xdr:col>3</xdr:col>
                    <xdr:colOff>904875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AFEC2-853E-4B69-AE46-3B76AEA0AB30}">
  <sheetPr codeName="Sheet26">
    <tabColor rgb="FFFF0000"/>
  </sheetPr>
  <dimension ref="B2:S29"/>
  <sheetViews>
    <sheetView showGridLines="0" zoomScaleNormal="100" workbookViewId="0">
      <selection activeCell="E22" sqref="E22"/>
    </sheetView>
  </sheetViews>
  <sheetFormatPr defaultColWidth="4.125" defaultRowHeight="13.5" x14ac:dyDescent="0.15"/>
  <cols>
    <col min="1" max="1" width="2.125" style="20" customWidth="1"/>
    <col min="2" max="2" width="6.625" style="20" customWidth="1"/>
    <col min="3" max="3" width="19.625" style="20" bestFit="1" customWidth="1"/>
    <col min="4" max="4" width="17.25" style="20" bestFit="1" customWidth="1"/>
    <col min="5" max="5" width="22" style="62" bestFit="1" customWidth="1"/>
    <col min="6" max="6" width="13.75" style="62" bestFit="1" customWidth="1"/>
    <col min="7" max="10" width="11.5" style="62" bestFit="1" customWidth="1"/>
    <col min="11" max="11" width="12.625" style="62" bestFit="1" customWidth="1"/>
    <col min="12" max="17" width="11.5" style="62" bestFit="1" customWidth="1"/>
    <col min="18" max="18" width="12.625" style="62" bestFit="1" customWidth="1"/>
    <col min="19" max="19" width="51.375" style="20" customWidth="1"/>
    <col min="20" max="16384" width="4.125" style="20"/>
  </cols>
  <sheetData>
    <row r="2" spans="2:19" ht="44.25" customHeight="1" x14ac:dyDescent="0.15">
      <c r="E2" s="122" t="s">
        <v>128</v>
      </c>
      <c r="F2" s="121">
        <f>SUM(F4:F29)</f>
        <v>0</v>
      </c>
      <c r="G2" s="121">
        <f t="shared" ref="G2:R2" si="0">SUM(G4:G29)</f>
        <v>0</v>
      </c>
      <c r="H2" s="121">
        <f t="shared" si="0"/>
        <v>0</v>
      </c>
      <c r="I2" s="121">
        <f t="shared" si="0"/>
        <v>0</v>
      </c>
      <c r="J2" s="121">
        <f t="shared" si="0"/>
        <v>0</v>
      </c>
      <c r="K2" s="121">
        <f t="shared" si="0"/>
        <v>0</v>
      </c>
      <c r="L2" s="121">
        <f t="shared" si="0"/>
        <v>0</v>
      </c>
      <c r="M2" s="121">
        <f t="shared" si="0"/>
        <v>0</v>
      </c>
      <c r="N2" s="121">
        <f t="shared" si="0"/>
        <v>0</v>
      </c>
      <c r="O2" s="121">
        <f t="shared" si="0"/>
        <v>0</v>
      </c>
      <c r="P2" s="121">
        <f t="shared" si="0"/>
        <v>0</v>
      </c>
      <c r="Q2" s="121">
        <f t="shared" si="0"/>
        <v>0</v>
      </c>
      <c r="R2" s="121">
        <f t="shared" si="0"/>
        <v>0</v>
      </c>
    </row>
    <row r="3" spans="2:19" ht="35.25" customHeight="1" x14ac:dyDescent="0.15">
      <c r="B3" s="63" t="s">
        <v>88</v>
      </c>
      <c r="C3" s="63" t="s">
        <v>39</v>
      </c>
      <c r="D3" s="63" t="s">
        <v>40</v>
      </c>
      <c r="E3" s="118" t="s">
        <v>41</v>
      </c>
      <c r="F3" s="64" t="s">
        <v>90</v>
      </c>
      <c r="G3" s="65">
        <v>202007</v>
      </c>
      <c r="H3" s="65">
        <v>202008</v>
      </c>
      <c r="I3" s="65">
        <v>202009</v>
      </c>
      <c r="J3" s="65">
        <v>202010</v>
      </c>
      <c r="K3" s="65">
        <v>202011</v>
      </c>
      <c r="L3" s="65">
        <v>202012</v>
      </c>
      <c r="M3" s="65">
        <v>202101</v>
      </c>
      <c r="N3" s="65">
        <v>202102</v>
      </c>
      <c r="O3" s="65">
        <v>202103</v>
      </c>
      <c r="P3" s="65">
        <v>202104</v>
      </c>
      <c r="Q3" s="65">
        <v>202105</v>
      </c>
      <c r="R3" s="65">
        <v>202106</v>
      </c>
      <c r="S3" s="66" t="s">
        <v>51</v>
      </c>
    </row>
    <row r="4" spans="2:19" x14ac:dyDescent="0.15">
      <c r="B4" s="57" t="s">
        <v>89</v>
      </c>
      <c r="C4" s="54" t="s">
        <v>37</v>
      </c>
      <c r="D4" s="57" t="s">
        <v>22</v>
      </c>
      <c r="E4" s="31" t="s">
        <v>60</v>
      </c>
      <c r="F4" s="68">
        <f t="shared" ref="F4:F25" si="1">SUM(G4:R4)</f>
        <v>0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0</v>
      </c>
      <c r="O4" s="68">
        <v>0</v>
      </c>
      <c r="P4" s="68">
        <v>0</v>
      </c>
      <c r="Q4" s="68">
        <v>0</v>
      </c>
      <c r="R4" s="68">
        <v>0</v>
      </c>
      <c r="S4" s="70"/>
    </row>
    <row r="5" spans="2:19" x14ac:dyDescent="0.15">
      <c r="B5" s="55"/>
      <c r="C5" s="55" t="s">
        <v>37</v>
      </c>
      <c r="D5" s="55" t="s">
        <v>22</v>
      </c>
      <c r="E5" s="31" t="s">
        <v>61</v>
      </c>
      <c r="F5" s="68">
        <f t="shared" si="1"/>
        <v>0</v>
      </c>
      <c r="G5" s="68">
        <v>0</v>
      </c>
      <c r="H5" s="68">
        <v>0</v>
      </c>
      <c r="I5" s="68">
        <v>0</v>
      </c>
      <c r="J5" s="68">
        <v>0</v>
      </c>
      <c r="K5" s="68">
        <v>0</v>
      </c>
      <c r="L5" s="68">
        <v>0</v>
      </c>
      <c r="M5" s="68">
        <v>0</v>
      </c>
      <c r="N5" s="68">
        <v>0</v>
      </c>
      <c r="O5" s="68">
        <v>0</v>
      </c>
      <c r="P5" s="68">
        <v>0</v>
      </c>
      <c r="Q5" s="68">
        <v>0</v>
      </c>
      <c r="R5" s="68">
        <v>0</v>
      </c>
      <c r="S5" s="70"/>
    </row>
    <row r="6" spans="2:19" x14ac:dyDescent="0.15">
      <c r="B6" s="55"/>
      <c r="C6" s="55" t="s">
        <v>37</v>
      </c>
      <c r="D6" s="69" t="s">
        <v>22</v>
      </c>
      <c r="E6" s="31"/>
      <c r="F6" s="68">
        <f t="shared" si="1"/>
        <v>0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0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70"/>
    </row>
    <row r="7" spans="2:19" x14ac:dyDescent="0.15">
      <c r="B7" s="55"/>
      <c r="C7" s="55" t="s">
        <v>37</v>
      </c>
      <c r="D7" s="57" t="s">
        <v>62</v>
      </c>
      <c r="E7" s="31" t="s">
        <v>56</v>
      </c>
      <c r="F7" s="68">
        <f t="shared" si="1"/>
        <v>0</v>
      </c>
      <c r="G7" s="68">
        <v>0</v>
      </c>
      <c r="H7" s="68">
        <v>0</v>
      </c>
      <c r="I7" s="68">
        <v>0</v>
      </c>
      <c r="J7" s="68">
        <v>0</v>
      </c>
      <c r="K7" s="68">
        <v>0</v>
      </c>
      <c r="L7" s="68">
        <v>0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  <c r="R7" s="68">
        <v>0</v>
      </c>
      <c r="S7" s="70"/>
    </row>
    <row r="8" spans="2:19" x14ac:dyDescent="0.15">
      <c r="B8" s="55"/>
      <c r="C8" s="55" t="s">
        <v>37</v>
      </c>
      <c r="D8" s="55" t="s">
        <v>84</v>
      </c>
      <c r="E8" s="31" t="s">
        <v>57</v>
      </c>
      <c r="F8" s="68">
        <f t="shared" si="1"/>
        <v>0</v>
      </c>
      <c r="G8" s="68">
        <v>0</v>
      </c>
      <c r="H8" s="68">
        <v>0</v>
      </c>
      <c r="I8" s="68">
        <v>0</v>
      </c>
      <c r="J8" s="68">
        <v>0</v>
      </c>
      <c r="K8" s="68">
        <v>0</v>
      </c>
      <c r="L8" s="68">
        <v>0</v>
      </c>
      <c r="M8" s="68">
        <v>0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70"/>
    </row>
    <row r="9" spans="2:19" x14ac:dyDescent="0.15">
      <c r="B9" s="55"/>
      <c r="C9" s="55" t="s">
        <v>37</v>
      </c>
      <c r="D9" s="55" t="s">
        <v>84</v>
      </c>
      <c r="E9" s="31" t="s">
        <v>143</v>
      </c>
      <c r="F9" s="68">
        <f t="shared" si="1"/>
        <v>0</v>
      </c>
      <c r="G9" s="68">
        <v>0</v>
      </c>
      <c r="H9" s="68">
        <v>0</v>
      </c>
      <c r="I9" s="68">
        <v>0</v>
      </c>
      <c r="J9" s="68">
        <v>0</v>
      </c>
      <c r="K9" s="68">
        <v>0</v>
      </c>
      <c r="L9" s="68">
        <v>0</v>
      </c>
      <c r="M9" s="68">
        <v>0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70"/>
    </row>
    <row r="10" spans="2:19" x14ac:dyDescent="0.15">
      <c r="B10" s="55"/>
      <c r="C10" s="55" t="s">
        <v>37</v>
      </c>
      <c r="D10" s="69" t="s">
        <v>84</v>
      </c>
      <c r="E10" s="31"/>
      <c r="F10" s="68">
        <f t="shared" si="1"/>
        <v>0</v>
      </c>
      <c r="G10" s="68">
        <v>0</v>
      </c>
      <c r="H10" s="68">
        <v>0</v>
      </c>
      <c r="I10" s="68">
        <v>0</v>
      </c>
      <c r="J10" s="68">
        <v>0</v>
      </c>
      <c r="K10" s="68">
        <v>0</v>
      </c>
      <c r="L10" s="68">
        <v>0</v>
      </c>
      <c r="M10" s="68">
        <v>0</v>
      </c>
      <c r="N10" s="68">
        <v>0</v>
      </c>
      <c r="O10" s="68">
        <v>0</v>
      </c>
      <c r="P10" s="68">
        <v>0</v>
      </c>
      <c r="Q10" s="68">
        <v>0</v>
      </c>
      <c r="R10" s="68">
        <v>0</v>
      </c>
      <c r="S10" s="70"/>
    </row>
    <row r="11" spans="2:19" x14ac:dyDescent="0.15">
      <c r="B11" s="55"/>
      <c r="C11" s="55" t="s">
        <v>37</v>
      </c>
      <c r="D11" s="57" t="s">
        <v>49</v>
      </c>
      <c r="E11" s="56" t="s">
        <v>67</v>
      </c>
      <c r="F11" s="68">
        <f t="shared" si="1"/>
        <v>0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0</v>
      </c>
      <c r="S11" s="70"/>
    </row>
    <row r="12" spans="2:19" x14ac:dyDescent="0.15">
      <c r="B12" s="55"/>
      <c r="C12" s="55" t="s">
        <v>37</v>
      </c>
      <c r="D12" s="55" t="s">
        <v>86</v>
      </c>
      <c r="E12" s="56" t="s">
        <v>55</v>
      </c>
      <c r="F12" s="68">
        <f t="shared" si="1"/>
        <v>0</v>
      </c>
      <c r="G12" s="68">
        <v>0</v>
      </c>
      <c r="H12" s="68">
        <v>0</v>
      </c>
      <c r="I12" s="68">
        <v>0</v>
      </c>
      <c r="J12" s="68">
        <v>0</v>
      </c>
      <c r="K12" s="68">
        <v>0</v>
      </c>
      <c r="L12" s="68">
        <v>0</v>
      </c>
      <c r="M12" s="68">
        <v>0</v>
      </c>
      <c r="N12" s="68">
        <v>0</v>
      </c>
      <c r="O12" s="68">
        <v>0</v>
      </c>
      <c r="P12" s="68">
        <v>0</v>
      </c>
      <c r="Q12" s="68">
        <v>0</v>
      </c>
      <c r="R12" s="68">
        <v>0</v>
      </c>
      <c r="S12" s="70"/>
    </row>
    <row r="13" spans="2:19" x14ac:dyDescent="0.15">
      <c r="B13" s="55"/>
      <c r="C13" s="55" t="s">
        <v>37</v>
      </c>
      <c r="D13" s="69" t="s">
        <v>86</v>
      </c>
      <c r="E13" s="56"/>
      <c r="F13" s="68">
        <f t="shared" si="1"/>
        <v>0</v>
      </c>
      <c r="G13" s="68">
        <v>0</v>
      </c>
      <c r="H13" s="68">
        <v>0</v>
      </c>
      <c r="I13" s="68">
        <v>0</v>
      </c>
      <c r="J13" s="68">
        <v>0</v>
      </c>
      <c r="K13" s="68">
        <v>0</v>
      </c>
      <c r="L13" s="68">
        <v>0</v>
      </c>
      <c r="M13" s="68">
        <v>0</v>
      </c>
      <c r="N13" s="68">
        <v>0</v>
      </c>
      <c r="O13" s="68">
        <v>0</v>
      </c>
      <c r="P13" s="68">
        <v>0</v>
      </c>
      <c r="Q13" s="68">
        <v>0</v>
      </c>
      <c r="R13" s="68">
        <v>0</v>
      </c>
      <c r="S13" s="70"/>
    </row>
    <row r="14" spans="2:19" x14ac:dyDescent="0.15">
      <c r="B14" s="55"/>
      <c r="C14" s="55" t="s">
        <v>37</v>
      </c>
      <c r="D14" s="57" t="s">
        <v>66</v>
      </c>
      <c r="E14" s="31" t="s">
        <v>68</v>
      </c>
      <c r="F14" s="68">
        <f t="shared" si="1"/>
        <v>0</v>
      </c>
      <c r="G14" s="68">
        <v>0</v>
      </c>
      <c r="H14" s="68">
        <v>0</v>
      </c>
      <c r="I14" s="68">
        <v>0</v>
      </c>
      <c r="J14" s="68">
        <v>0</v>
      </c>
      <c r="K14" s="68">
        <v>0</v>
      </c>
      <c r="L14" s="68">
        <v>0</v>
      </c>
      <c r="M14" s="68">
        <v>0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70"/>
    </row>
    <row r="15" spans="2:19" x14ac:dyDescent="0.15">
      <c r="B15" s="55"/>
      <c r="C15" s="55" t="s">
        <v>37</v>
      </c>
      <c r="D15" s="69" t="s">
        <v>91</v>
      </c>
      <c r="E15" s="31"/>
      <c r="F15" s="68">
        <f t="shared" si="1"/>
        <v>0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70"/>
    </row>
    <row r="16" spans="2:19" x14ac:dyDescent="0.15">
      <c r="B16" s="55"/>
      <c r="C16" s="55" t="s">
        <v>37</v>
      </c>
      <c r="D16" s="57" t="s">
        <v>43</v>
      </c>
      <c r="E16" s="56" t="s">
        <v>64</v>
      </c>
      <c r="F16" s="68">
        <f t="shared" si="1"/>
        <v>0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0</v>
      </c>
      <c r="O16" s="68">
        <v>0</v>
      </c>
      <c r="P16" s="68">
        <v>0</v>
      </c>
      <c r="Q16" s="68">
        <v>0</v>
      </c>
      <c r="R16" s="68">
        <v>0</v>
      </c>
      <c r="S16" s="70"/>
    </row>
    <row r="17" spans="2:19" x14ac:dyDescent="0.15">
      <c r="B17" s="55"/>
      <c r="C17" s="55" t="s">
        <v>37</v>
      </c>
      <c r="D17" s="55" t="s">
        <v>85</v>
      </c>
      <c r="E17" s="56" t="s">
        <v>65</v>
      </c>
      <c r="F17" s="68">
        <f t="shared" si="1"/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70"/>
    </row>
    <row r="18" spans="2:19" x14ac:dyDescent="0.15">
      <c r="B18" s="55"/>
      <c r="C18" s="55" t="s">
        <v>37</v>
      </c>
      <c r="D18" s="69" t="s">
        <v>85</v>
      </c>
      <c r="E18" s="56"/>
      <c r="F18" s="68">
        <f t="shared" si="1"/>
        <v>0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0</v>
      </c>
      <c r="M18" s="68">
        <v>0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70"/>
    </row>
    <row r="19" spans="2:19" x14ac:dyDescent="0.15">
      <c r="B19" s="55"/>
      <c r="C19" s="54" t="s">
        <v>50</v>
      </c>
      <c r="D19" s="57" t="s">
        <v>44</v>
      </c>
      <c r="E19" s="31" t="s">
        <v>42</v>
      </c>
      <c r="F19" s="68">
        <f t="shared" si="1"/>
        <v>0</v>
      </c>
      <c r="G19" s="68">
        <v>0</v>
      </c>
      <c r="H19" s="68">
        <v>0</v>
      </c>
      <c r="I19" s="68">
        <v>0</v>
      </c>
      <c r="J19" s="68">
        <v>0</v>
      </c>
      <c r="K19" s="68">
        <v>0</v>
      </c>
      <c r="L19" s="68">
        <v>0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70"/>
    </row>
    <row r="20" spans="2:19" x14ac:dyDescent="0.15">
      <c r="B20" s="55"/>
      <c r="C20" s="55" t="s">
        <v>50</v>
      </c>
      <c r="D20" s="55" t="s">
        <v>83</v>
      </c>
      <c r="E20" s="31" t="s">
        <v>52</v>
      </c>
      <c r="F20" s="68">
        <f t="shared" si="1"/>
        <v>0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70"/>
    </row>
    <row r="21" spans="2:19" x14ac:dyDescent="0.15">
      <c r="B21" s="55"/>
      <c r="C21" s="55" t="s">
        <v>50</v>
      </c>
      <c r="D21" s="69" t="s">
        <v>83</v>
      </c>
      <c r="E21" s="31" t="s">
        <v>55</v>
      </c>
      <c r="F21" s="68">
        <f t="shared" si="1"/>
        <v>0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70"/>
    </row>
    <row r="22" spans="2:19" x14ac:dyDescent="0.15">
      <c r="B22" s="55"/>
      <c r="C22" s="55" t="s">
        <v>50</v>
      </c>
      <c r="D22" s="57" t="s">
        <v>48</v>
      </c>
      <c r="E22" s="31" t="s">
        <v>45</v>
      </c>
      <c r="F22" s="68">
        <f t="shared" si="1"/>
        <v>0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70"/>
    </row>
    <row r="23" spans="2:19" x14ac:dyDescent="0.15">
      <c r="B23" s="55"/>
      <c r="C23" s="55" t="s">
        <v>50</v>
      </c>
      <c r="D23" s="55" t="s">
        <v>48</v>
      </c>
      <c r="E23" s="31" t="s">
        <v>46</v>
      </c>
      <c r="F23" s="68">
        <f t="shared" si="1"/>
        <v>0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70"/>
    </row>
    <row r="24" spans="2:19" x14ac:dyDescent="0.15">
      <c r="B24" s="55"/>
      <c r="C24" s="55" t="s">
        <v>50</v>
      </c>
      <c r="D24" s="55" t="s">
        <v>48</v>
      </c>
      <c r="E24" s="31" t="s">
        <v>47</v>
      </c>
      <c r="F24" s="68">
        <f t="shared" si="1"/>
        <v>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71" t="s">
        <v>69</v>
      </c>
    </row>
    <row r="25" spans="2:19" x14ac:dyDescent="0.15">
      <c r="B25" s="55"/>
      <c r="C25" s="69" t="s">
        <v>50</v>
      </c>
      <c r="D25" s="69" t="s">
        <v>48</v>
      </c>
      <c r="E25" s="31"/>
      <c r="F25" s="68">
        <f t="shared" si="1"/>
        <v>0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0</v>
      </c>
      <c r="P25" s="68">
        <v>0</v>
      </c>
      <c r="Q25" s="68">
        <v>0</v>
      </c>
      <c r="R25" s="68">
        <v>0</v>
      </c>
      <c r="S25" s="70"/>
    </row>
    <row r="26" spans="2:19" x14ac:dyDescent="0.15">
      <c r="B26" s="55"/>
      <c r="C26" s="57" t="s">
        <v>55</v>
      </c>
      <c r="D26" s="58" t="s">
        <v>70</v>
      </c>
      <c r="E26" s="123" t="s">
        <v>152</v>
      </c>
      <c r="F26" s="67">
        <f>SUM(G26:R26)</f>
        <v>0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1"/>
    </row>
    <row r="27" spans="2:19" x14ac:dyDescent="0.15">
      <c r="B27" s="55"/>
      <c r="C27" s="55" t="s">
        <v>154</v>
      </c>
      <c r="D27" s="142" t="s">
        <v>70</v>
      </c>
      <c r="E27" s="31"/>
      <c r="F27" s="67">
        <f>SUM(G27:R27)</f>
        <v>0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0</v>
      </c>
      <c r="M27" s="68">
        <v>0</v>
      </c>
      <c r="N27" s="68">
        <v>0</v>
      </c>
      <c r="O27" s="68">
        <v>0</v>
      </c>
      <c r="P27" s="68">
        <v>0</v>
      </c>
      <c r="Q27" s="68">
        <v>0</v>
      </c>
      <c r="R27" s="68">
        <v>0</v>
      </c>
      <c r="S27" s="61"/>
    </row>
    <row r="28" spans="2:19" x14ac:dyDescent="0.15">
      <c r="B28" s="55"/>
      <c r="C28" s="55" t="s">
        <v>154</v>
      </c>
      <c r="D28" s="58" t="s">
        <v>133</v>
      </c>
      <c r="E28" s="123" t="s">
        <v>155</v>
      </c>
      <c r="F28" s="67">
        <f>SUM(G28:R28)</f>
        <v>0</v>
      </c>
      <c r="G28" s="68">
        <v>0</v>
      </c>
      <c r="H28" s="68">
        <v>0</v>
      </c>
      <c r="I28" s="68">
        <v>0</v>
      </c>
      <c r="J28" s="68">
        <v>0</v>
      </c>
      <c r="K28" s="68">
        <v>0</v>
      </c>
      <c r="L28" s="68">
        <v>0</v>
      </c>
      <c r="M28" s="68">
        <v>0</v>
      </c>
      <c r="N28" s="68">
        <v>0</v>
      </c>
      <c r="O28" s="68">
        <v>0</v>
      </c>
      <c r="P28" s="68">
        <v>0</v>
      </c>
      <c r="Q28" s="68">
        <v>0</v>
      </c>
      <c r="R28" s="68">
        <v>0</v>
      </c>
      <c r="S28" s="61"/>
    </row>
    <row r="29" spans="2:19" x14ac:dyDescent="0.15">
      <c r="B29" s="69"/>
      <c r="C29" s="69" t="s">
        <v>154</v>
      </c>
      <c r="D29" s="142" t="s">
        <v>133</v>
      </c>
      <c r="E29" s="31"/>
      <c r="F29" s="67">
        <f>SUM(G29:R29)</f>
        <v>0</v>
      </c>
      <c r="G29" s="68">
        <v>0</v>
      </c>
      <c r="H29" s="68">
        <v>0</v>
      </c>
      <c r="I29" s="68">
        <v>0</v>
      </c>
      <c r="J29" s="68">
        <v>0</v>
      </c>
      <c r="K29" s="68">
        <v>0</v>
      </c>
      <c r="L29" s="68">
        <v>0</v>
      </c>
      <c r="M29" s="68">
        <v>0</v>
      </c>
      <c r="N29" s="68">
        <v>0</v>
      </c>
      <c r="O29" s="68">
        <v>0</v>
      </c>
      <c r="P29" s="68">
        <v>0</v>
      </c>
      <c r="Q29" s="68">
        <v>0</v>
      </c>
      <c r="R29" s="68">
        <v>0</v>
      </c>
      <c r="S29" s="61"/>
    </row>
  </sheetData>
  <phoneticPr fontId="6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Module2.消費税データ読み取り">
                <anchor moveWithCells="1" sizeWithCells="1">
                  <from>
                    <xdr:col>1</xdr:col>
                    <xdr:colOff>66675</xdr:colOff>
                    <xdr:row>1</xdr:row>
                    <xdr:rowOff>85725</xdr:rowOff>
                  </from>
                  <to>
                    <xdr:col>2</xdr:col>
                    <xdr:colOff>914400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Module1.データクリア">
                <anchor moveWithCells="1" sizeWithCells="1">
                  <from>
                    <xdr:col>2</xdr:col>
                    <xdr:colOff>1133475</xdr:colOff>
                    <xdr:row>1</xdr:row>
                    <xdr:rowOff>104775</xdr:rowOff>
                  </from>
                  <to>
                    <xdr:col>3</xdr:col>
                    <xdr:colOff>990600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916-595F-45C2-AFAA-ADDD2CE5B86F}">
  <sheetPr codeName="Sheet18"/>
  <dimension ref="A1:T17"/>
  <sheetViews>
    <sheetView showGridLines="0" zoomScaleNormal="100" workbookViewId="0">
      <selection activeCell="N6" sqref="N6"/>
    </sheetView>
  </sheetViews>
  <sheetFormatPr defaultColWidth="4.125" defaultRowHeight="13.5" x14ac:dyDescent="0.15"/>
  <cols>
    <col min="1" max="1" width="2.125" style="10" customWidth="1"/>
    <col min="2" max="2" width="9" style="10" bestFit="1" customWidth="1"/>
    <col min="3" max="3" width="7.125" bestFit="1" customWidth="1"/>
    <col min="4" max="4" width="11" bestFit="1" customWidth="1"/>
    <col min="5" max="5" width="15.125" bestFit="1" customWidth="1"/>
    <col min="6" max="6" width="11" bestFit="1" customWidth="1"/>
    <col min="7" max="8" width="11" customWidth="1"/>
    <col min="9" max="9" width="13.125" bestFit="1" customWidth="1"/>
    <col min="10" max="10" width="9" style="10" bestFit="1" customWidth="1"/>
    <col min="11" max="11" width="12.25" style="10" bestFit="1" customWidth="1"/>
    <col min="12" max="12" width="7.125" style="10" bestFit="1" customWidth="1"/>
    <col min="13" max="13" width="11" style="10" bestFit="1" customWidth="1"/>
    <col min="14" max="14" width="15.125" style="10" bestFit="1" customWidth="1"/>
    <col min="15" max="15" width="14.125" style="10" bestFit="1" customWidth="1"/>
    <col min="16" max="16" width="11.625" style="10" bestFit="1" customWidth="1"/>
    <col min="17" max="17" width="14.125" style="10" bestFit="1" customWidth="1"/>
    <col min="18" max="19" width="7.75" style="10" bestFit="1" customWidth="1"/>
    <col min="20" max="20" width="8.625" style="10" customWidth="1"/>
    <col min="21" max="16384" width="4.125" style="10"/>
  </cols>
  <sheetData>
    <row r="1" spans="1:20" x14ac:dyDescent="0.15">
      <c r="C1" s="10"/>
      <c r="D1" s="10"/>
      <c r="E1" s="10"/>
      <c r="F1" s="10"/>
      <c r="G1" s="10"/>
      <c r="H1" s="10"/>
      <c r="I1" s="10"/>
    </row>
    <row r="2" spans="1:20" x14ac:dyDescent="0.15">
      <c r="B2" s="84" t="s">
        <v>116</v>
      </c>
      <c r="C2" s="53" t="s">
        <v>39</v>
      </c>
      <c r="D2" s="63" t="s">
        <v>53</v>
      </c>
      <c r="E2" s="60" t="s">
        <v>73</v>
      </c>
      <c r="F2" s="138" t="s">
        <v>55</v>
      </c>
      <c r="G2" s="138" t="s">
        <v>70</v>
      </c>
      <c r="H2" s="138" t="s">
        <v>139</v>
      </c>
      <c r="I2" s="63" t="s">
        <v>74</v>
      </c>
      <c r="J2" s="63" t="s">
        <v>62</v>
      </c>
      <c r="K2" s="63" t="s">
        <v>75</v>
      </c>
      <c r="L2" s="63" t="s">
        <v>66</v>
      </c>
      <c r="M2" s="63" t="s">
        <v>63</v>
      </c>
      <c r="N2" s="60" t="s">
        <v>77</v>
      </c>
      <c r="O2" s="60" t="s">
        <v>76</v>
      </c>
      <c r="P2" s="7" t="s">
        <v>82</v>
      </c>
      <c r="Q2" s="85" t="s">
        <v>117</v>
      </c>
      <c r="R2" s="86" t="s">
        <v>0</v>
      </c>
      <c r="S2" s="86" t="s">
        <v>81</v>
      </c>
      <c r="T2" s="86" t="s">
        <v>121</v>
      </c>
    </row>
    <row r="3" spans="1:20" x14ac:dyDescent="0.15">
      <c r="B3" s="131" t="s">
        <v>98</v>
      </c>
      <c r="C3" s="63" t="s">
        <v>72</v>
      </c>
      <c r="D3" s="136" t="s">
        <v>22</v>
      </c>
      <c r="E3" s="137" t="s">
        <v>44</v>
      </c>
      <c r="F3" s="138" t="s">
        <v>70</v>
      </c>
      <c r="G3" s="138" t="s">
        <v>153</v>
      </c>
      <c r="H3" s="138" t="s">
        <v>156</v>
      </c>
      <c r="I3" s="89" t="s">
        <v>60</v>
      </c>
      <c r="J3" s="89" t="s">
        <v>59</v>
      </c>
      <c r="K3" s="88" t="s">
        <v>67</v>
      </c>
      <c r="L3" s="89" t="s">
        <v>68</v>
      </c>
      <c r="M3" s="88" t="s">
        <v>64</v>
      </c>
      <c r="N3" s="89" t="s">
        <v>42</v>
      </c>
      <c r="O3" s="89" t="s">
        <v>45</v>
      </c>
      <c r="P3" s="59" t="s">
        <v>38</v>
      </c>
      <c r="Q3" s="59" t="s">
        <v>118</v>
      </c>
      <c r="R3" s="31" t="s">
        <v>78</v>
      </c>
      <c r="S3" s="31" t="s">
        <v>78</v>
      </c>
      <c r="T3" s="59" t="s">
        <v>122</v>
      </c>
    </row>
    <row r="4" spans="1:20" x14ac:dyDescent="0.15">
      <c r="B4" s="131" t="s">
        <v>95</v>
      </c>
      <c r="C4" s="60" t="s">
        <v>54</v>
      </c>
      <c r="D4" s="136" t="s">
        <v>62</v>
      </c>
      <c r="E4" s="137" t="s">
        <v>48</v>
      </c>
      <c r="F4" s="90" t="s">
        <v>139</v>
      </c>
      <c r="G4" s="90"/>
      <c r="H4" s="90"/>
      <c r="I4" s="89" t="s">
        <v>61</v>
      </c>
      <c r="J4" s="89" t="s">
        <v>58</v>
      </c>
      <c r="K4" s="88" t="s">
        <v>55</v>
      </c>
      <c r="L4" s="89"/>
      <c r="M4" s="88" t="s">
        <v>65</v>
      </c>
      <c r="N4" s="89" t="s">
        <v>52</v>
      </c>
      <c r="O4" s="89" t="s">
        <v>46</v>
      </c>
      <c r="P4" s="59" t="s">
        <v>71</v>
      </c>
      <c r="Q4" s="59" t="s">
        <v>119</v>
      </c>
      <c r="R4" s="59" t="s">
        <v>80</v>
      </c>
      <c r="S4" s="59" t="s">
        <v>80</v>
      </c>
      <c r="T4" s="59" t="s">
        <v>123</v>
      </c>
    </row>
    <row r="5" spans="1:20" x14ac:dyDescent="0.15">
      <c r="B5" s="33"/>
      <c r="C5" s="138" t="s">
        <v>55</v>
      </c>
      <c r="D5" s="136" t="s">
        <v>49</v>
      </c>
      <c r="E5" s="90"/>
      <c r="F5" s="87"/>
      <c r="G5" s="87"/>
      <c r="H5" s="87"/>
      <c r="I5" s="89"/>
      <c r="J5" s="87" t="s">
        <v>142</v>
      </c>
      <c r="K5" s="88"/>
      <c r="L5" s="87"/>
      <c r="M5" s="88"/>
      <c r="N5" s="89" t="s">
        <v>55</v>
      </c>
      <c r="O5" s="89" t="s">
        <v>47</v>
      </c>
      <c r="P5" s="11"/>
      <c r="Q5" s="11"/>
      <c r="R5" s="11"/>
      <c r="S5" s="11"/>
      <c r="T5" s="11"/>
    </row>
    <row r="6" spans="1:20" x14ac:dyDescent="0.15">
      <c r="B6" s="132"/>
      <c r="C6" s="87"/>
      <c r="D6" s="136" t="s">
        <v>66</v>
      </c>
      <c r="E6" s="87"/>
      <c r="F6" s="87"/>
      <c r="G6" s="87"/>
      <c r="H6" s="87"/>
      <c r="I6" s="87"/>
      <c r="J6" s="87"/>
      <c r="K6" s="87"/>
      <c r="L6" s="87"/>
      <c r="M6" s="87"/>
      <c r="N6" s="87"/>
      <c r="O6" s="89"/>
      <c r="P6" s="11"/>
      <c r="Q6" s="11"/>
      <c r="R6" s="11"/>
      <c r="S6" s="11"/>
      <c r="T6" s="11"/>
    </row>
    <row r="7" spans="1:20" x14ac:dyDescent="0.15">
      <c r="B7" s="132"/>
      <c r="C7" s="87"/>
      <c r="D7" s="136" t="s">
        <v>43</v>
      </c>
      <c r="E7" s="87"/>
      <c r="F7" s="87"/>
      <c r="G7" s="87"/>
      <c r="H7" s="87"/>
      <c r="I7" s="87"/>
      <c r="J7" s="87"/>
      <c r="K7" s="87"/>
      <c r="L7" s="87"/>
      <c r="M7" s="87"/>
      <c r="N7" s="87"/>
      <c r="O7" s="89"/>
      <c r="P7" s="11"/>
      <c r="Q7" s="11"/>
      <c r="R7" s="11"/>
      <c r="S7" s="11"/>
      <c r="T7" s="11"/>
    </row>
    <row r="8" spans="1:20" x14ac:dyDescent="0.15">
      <c r="B8" s="132"/>
      <c r="C8" s="90"/>
      <c r="D8" s="90"/>
      <c r="E8" s="87"/>
      <c r="F8" s="87"/>
      <c r="G8" s="87"/>
      <c r="H8" s="87"/>
      <c r="I8" s="87"/>
      <c r="J8" s="87"/>
      <c r="K8" s="87"/>
      <c r="L8" s="87"/>
      <c r="M8" s="87"/>
      <c r="N8" s="87"/>
      <c r="O8" s="89"/>
      <c r="P8" s="11"/>
      <c r="Q8" s="11"/>
      <c r="R8" s="11"/>
      <c r="S8" s="11"/>
      <c r="T8" s="11"/>
    </row>
    <row r="9" spans="1:20" x14ac:dyDescent="0.15">
      <c r="A9" s="10" t="str">
        <f t="array" ref="A9">IFERROR(INDEX(#REF!,SMALL(IF(#REF!&lt;&gt;"",ROW(#REF!)),ROW(#REF!))),"")</f>
        <v/>
      </c>
    </row>
    <row r="10" spans="1:20" x14ac:dyDescent="0.15">
      <c r="A10" s="10" t="str">
        <f t="array" ref="A10">IFERROR(INDEX(#REF!,SMALL(IF(#REF!&lt;&gt;"",ROW(#REF!)),ROW(#REF!))),"")</f>
        <v/>
      </c>
    </row>
    <row r="11" spans="1:20" x14ac:dyDescent="0.15">
      <c r="A11" s="10" t="str">
        <f t="array" ref="A11">IFERROR(INDEX(#REF!,SMALL(IF(#REF!&lt;&gt;"",ROW(#REF!)),ROW(#REF!))),"")</f>
        <v/>
      </c>
    </row>
    <row r="12" spans="1:20" x14ac:dyDescent="0.15">
      <c r="A12" s="10" t="str">
        <f t="array" ref="A12">IFERROR(INDEX(#REF!,SMALL(IF(#REF!&lt;&gt;"",ROW(#REF!)),ROW(#REF!))),"")</f>
        <v/>
      </c>
    </row>
    <row r="13" spans="1:20" x14ac:dyDescent="0.15">
      <c r="A13" s="10" t="str">
        <f t="array" ref="A13">IFERROR(INDEX(#REF!,SMALL(IF(#REF!&lt;&gt;"",ROW(#REF!)),ROW(#REF!))),"")</f>
        <v/>
      </c>
    </row>
    <row r="14" spans="1:20" x14ac:dyDescent="0.15">
      <c r="A14" s="10" t="str">
        <f t="array" ref="A14">IFERROR(INDEX(#REF!,SMALL(IF(#REF!&lt;&gt;"",ROW(#REF!)),ROW(#REF!))),"")</f>
        <v/>
      </c>
    </row>
    <row r="15" spans="1:20" x14ac:dyDescent="0.15">
      <c r="A15" s="10" t="str">
        <f t="array" ref="A15">IFERROR(INDEX(#REF!,SMALL(IF(#REF!&lt;&gt;"",ROW(#REF!)),ROW(#REF!))),"")</f>
        <v/>
      </c>
    </row>
    <row r="16" spans="1:20" x14ac:dyDescent="0.15">
      <c r="A16" s="10" t="str">
        <f t="array" ref="A16">IFERROR(INDEX(#REF!,SMALL(IF(#REF!&lt;&gt;"",ROW(#REF!)),ROW(#REF!))),"")</f>
        <v/>
      </c>
    </row>
    <row r="17" spans="1:1" x14ac:dyDescent="0.15">
      <c r="A17" s="10" t="str">
        <f t="array" ref="A17">IFERROR(INDEX(#REF!,SMALL(IF(#REF!&lt;&gt;"",ROW(#REF!)),ROW(#REF!))),"")</f>
        <v/>
      </c>
    </row>
  </sheetData>
  <phoneticPr fontId="6"/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50EA-4627-4E91-BC42-3017CC70DA2D}">
  <sheetPr codeName="Sheet36">
    <pageSetUpPr fitToPage="1"/>
  </sheetPr>
  <dimension ref="A2:V58"/>
  <sheetViews>
    <sheetView showGridLines="0" tabSelected="1" view="pageBreakPreview" zoomScaleNormal="100" zoomScaleSheetLayoutView="100" workbookViewId="0">
      <pane xSplit="9" ySplit="3" topLeftCell="J4" activePane="bottomRight" state="frozen"/>
      <selection activeCell="I32" sqref="I32"/>
      <selection pane="topRight" activeCell="I32" sqref="I32"/>
      <selection pane="bottomLeft" activeCell="I32" sqref="I32"/>
      <selection pane="bottomRight" activeCell="H6" sqref="H6"/>
    </sheetView>
  </sheetViews>
  <sheetFormatPr defaultColWidth="10.5" defaultRowHeight="13.5" x14ac:dyDescent="0.15"/>
  <cols>
    <col min="1" max="1" width="1.625" style="120" customWidth="1"/>
    <col min="2" max="2" width="4.875" style="5" bestFit="1" customWidth="1"/>
    <col min="3" max="3" width="12.375" style="2" bestFit="1" customWidth="1"/>
    <col min="4" max="4" width="13" style="2" bestFit="1" customWidth="1"/>
    <col min="5" max="5" width="11.125" style="2" bestFit="1" customWidth="1"/>
    <col min="6" max="6" width="14.125" style="2" bestFit="1" customWidth="1"/>
    <col min="7" max="7" width="11.125" style="1" bestFit="1" customWidth="1"/>
    <col min="8" max="8" width="18.375" style="1" bestFit="1" customWidth="1"/>
    <col min="9" max="9" width="28" style="4" bestFit="1" customWidth="1"/>
    <col min="10" max="10" width="12.125" style="52" customWidth="1"/>
    <col min="11" max="11" width="13" style="81" bestFit="1" customWidth="1"/>
    <col min="12" max="13" width="15.125" style="82" bestFit="1" customWidth="1"/>
    <col min="14" max="14" width="13" style="2" bestFit="1" customWidth="1"/>
    <col min="15" max="15" width="18.125" style="6" bestFit="1" customWidth="1"/>
    <col min="16" max="16" width="11.125" style="1" bestFit="1" customWidth="1"/>
    <col min="17" max="17" width="13" style="1" bestFit="1" customWidth="1"/>
    <col min="18" max="18" width="12.375" style="2" bestFit="1" customWidth="1"/>
    <col min="19" max="19" width="12.375" style="1" bestFit="1" customWidth="1"/>
    <col min="20" max="20" width="12.375" style="2" bestFit="1" customWidth="1"/>
    <col min="21" max="21" width="12.375" style="1" bestFit="1" customWidth="1"/>
    <col min="22" max="22" width="34.375" style="3" bestFit="1" customWidth="1"/>
    <col min="23" max="23" width="1.5" customWidth="1"/>
  </cols>
  <sheetData>
    <row r="2" spans="1:22" s="14" customFormat="1" x14ac:dyDescent="0.15">
      <c r="A2" s="119"/>
      <c r="B2" s="117"/>
      <c r="C2" s="117"/>
      <c r="D2" s="117"/>
      <c r="E2" s="117"/>
      <c r="F2" s="117"/>
      <c r="G2" s="117"/>
      <c r="H2" s="117"/>
      <c r="I2" s="117"/>
      <c r="J2" s="102"/>
      <c r="K2" s="103">
        <f>SUM(K4:K58)</f>
        <v>-652026</v>
      </c>
      <c r="L2" s="103">
        <f>SUM(L4:L58)</f>
        <v>0</v>
      </c>
      <c r="M2" s="103">
        <f>SUM(M4:M58)</f>
        <v>-652026</v>
      </c>
      <c r="N2" s="104"/>
      <c r="O2" s="102"/>
      <c r="P2" s="105"/>
      <c r="Q2" s="105"/>
      <c r="R2" s="106"/>
      <c r="S2" s="105"/>
      <c r="T2" s="106"/>
      <c r="U2" s="105"/>
      <c r="V2" s="107"/>
    </row>
    <row r="3" spans="1:22" ht="27" x14ac:dyDescent="0.15">
      <c r="B3" s="108" t="s">
        <v>1</v>
      </c>
      <c r="C3" s="109" t="s">
        <v>106</v>
      </c>
      <c r="D3" s="110" t="s">
        <v>105</v>
      </c>
      <c r="E3" s="110" t="s">
        <v>104</v>
      </c>
      <c r="F3" s="110" t="s">
        <v>103</v>
      </c>
      <c r="G3" s="111" t="s">
        <v>102</v>
      </c>
      <c r="H3" s="112" t="s">
        <v>101</v>
      </c>
      <c r="I3" s="109" t="s">
        <v>100</v>
      </c>
      <c r="J3" s="111" t="s">
        <v>115</v>
      </c>
      <c r="K3" s="113" t="s">
        <v>124</v>
      </c>
      <c r="L3" s="114" t="s">
        <v>99</v>
      </c>
      <c r="M3" s="114" t="s">
        <v>125</v>
      </c>
      <c r="N3" s="113" t="s">
        <v>114</v>
      </c>
      <c r="O3" s="115" t="s">
        <v>120</v>
      </c>
      <c r="P3" s="111" t="s">
        <v>107</v>
      </c>
      <c r="Q3" s="111" t="s">
        <v>113</v>
      </c>
      <c r="R3" s="109" t="s">
        <v>110</v>
      </c>
      <c r="S3" s="116" t="s">
        <v>109</v>
      </c>
      <c r="T3" s="109" t="s">
        <v>111</v>
      </c>
      <c r="U3" s="116" t="s">
        <v>108</v>
      </c>
      <c r="V3" s="112" t="s">
        <v>112</v>
      </c>
    </row>
    <row r="4" spans="1:22" ht="20.100000000000001" customHeight="1" x14ac:dyDescent="0.15">
      <c r="B4" s="15">
        <f t="shared" ref="B4:B58" si="0">ROW()-3</f>
        <v>1</v>
      </c>
      <c r="C4" s="91">
        <v>44013</v>
      </c>
      <c r="D4" s="92" t="s">
        <v>98</v>
      </c>
      <c r="E4" s="93" t="s">
        <v>54</v>
      </c>
      <c r="F4" s="93" t="s">
        <v>48</v>
      </c>
      <c r="G4" s="93" t="s">
        <v>151</v>
      </c>
      <c r="H4" s="94" t="s">
        <v>97</v>
      </c>
      <c r="I4" s="95" t="s">
        <v>96</v>
      </c>
      <c r="J4" s="96" t="s">
        <v>87</v>
      </c>
      <c r="K4" s="97"/>
      <c r="L4" s="83">
        <f t="shared" ref="L4:L31" si="1">IF(J4="課税", ROUND(K4-K4/1.1, 0), 0)</f>
        <v>0</v>
      </c>
      <c r="M4" s="83">
        <f t="shared" ref="M4:M58" si="2">K4-L4</f>
        <v>0</v>
      </c>
      <c r="N4" s="91"/>
      <c r="O4" s="101"/>
      <c r="P4" s="98" t="s">
        <v>79</v>
      </c>
      <c r="Q4" s="98" t="s">
        <v>123</v>
      </c>
      <c r="R4" s="91"/>
      <c r="S4" s="99" t="s">
        <v>79</v>
      </c>
      <c r="T4" s="91"/>
      <c r="U4" s="99" t="s">
        <v>78</v>
      </c>
      <c r="V4" s="94"/>
    </row>
    <row r="5" spans="1:22" ht="20.100000000000001" customHeight="1" x14ac:dyDescent="0.15">
      <c r="B5" s="15">
        <f t="shared" si="0"/>
        <v>2</v>
      </c>
      <c r="C5" s="91">
        <v>44013</v>
      </c>
      <c r="D5" s="92" t="s">
        <v>95</v>
      </c>
      <c r="E5" s="93" t="s">
        <v>54</v>
      </c>
      <c r="F5" s="93" t="s">
        <v>48</v>
      </c>
      <c r="G5" s="93" t="s">
        <v>45</v>
      </c>
      <c r="H5" s="94" t="s">
        <v>132</v>
      </c>
      <c r="I5" s="95" t="s">
        <v>136</v>
      </c>
      <c r="J5" s="96" t="s">
        <v>87</v>
      </c>
      <c r="K5" s="97">
        <v>-652026</v>
      </c>
      <c r="L5" s="83">
        <f>IF(J5="課税", ROUND(K5-K5/1.1, 0), 0)</f>
        <v>0</v>
      </c>
      <c r="M5" s="83">
        <f>K5-L5</f>
        <v>-652026</v>
      </c>
      <c r="N5" s="91">
        <v>44043</v>
      </c>
      <c r="O5" s="101" t="s">
        <v>169</v>
      </c>
      <c r="P5" s="98" t="s">
        <v>79</v>
      </c>
      <c r="Q5" s="98" t="s">
        <v>122</v>
      </c>
      <c r="R5" s="91">
        <v>44043</v>
      </c>
      <c r="S5" s="99" t="s">
        <v>79</v>
      </c>
      <c r="T5" s="91"/>
      <c r="U5" s="99" t="s">
        <v>78</v>
      </c>
      <c r="V5" s="94"/>
    </row>
    <row r="6" spans="1:22" ht="20.100000000000001" customHeight="1" x14ac:dyDescent="0.15">
      <c r="B6" s="15">
        <f t="shared" si="0"/>
        <v>3</v>
      </c>
      <c r="C6" s="91"/>
      <c r="D6" s="92"/>
      <c r="E6" s="93"/>
      <c r="F6" s="93"/>
      <c r="G6" s="93"/>
      <c r="H6" s="94"/>
      <c r="I6" s="100"/>
      <c r="J6" s="96"/>
      <c r="K6" s="97"/>
      <c r="L6" s="83">
        <f t="shared" si="1"/>
        <v>0</v>
      </c>
      <c r="M6" s="83">
        <f t="shared" si="2"/>
        <v>0</v>
      </c>
      <c r="N6" s="91"/>
      <c r="O6" s="101"/>
      <c r="P6" s="98"/>
      <c r="Q6" s="98"/>
      <c r="R6" s="91"/>
      <c r="S6" s="99"/>
      <c r="T6" s="91"/>
      <c r="U6" s="99"/>
      <c r="V6" s="94"/>
    </row>
    <row r="7" spans="1:22" ht="20.100000000000001" customHeight="1" x14ac:dyDescent="0.15">
      <c r="B7" s="15">
        <f t="shared" si="0"/>
        <v>4</v>
      </c>
      <c r="C7" s="91"/>
      <c r="D7" s="92"/>
      <c r="E7" s="93"/>
      <c r="F7" s="93"/>
      <c r="G7" s="93"/>
      <c r="H7" s="94"/>
      <c r="I7" s="100"/>
      <c r="J7" s="96"/>
      <c r="K7" s="97"/>
      <c r="L7" s="83">
        <f t="shared" si="1"/>
        <v>0</v>
      </c>
      <c r="M7" s="83">
        <f t="shared" si="2"/>
        <v>0</v>
      </c>
      <c r="N7" s="91"/>
      <c r="O7" s="101"/>
      <c r="P7" s="98"/>
      <c r="Q7" s="98"/>
      <c r="R7" s="91"/>
      <c r="S7" s="99"/>
      <c r="T7" s="91"/>
      <c r="U7" s="99"/>
      <c r="V7" s="94"/>
    </row>
    <row r="8" spans="1:22" ht="20.100000000000001" customHeight="1" x14ac:dyDescent="0.15">
      <c r="B8" s="15">
        <f t="shared" si="0"/>
        <v>5</v>
      </c>
      <c r="C8" s="91"/>
      <c r="D8" s="92"/>
      <c r="E8" s="93"/>
      <c r="F8" s="93"/>
      <c r="G8" s="93"/>
      <c r="H8" s="94"/>
      <c r="I8" s="100"/>
      <c r="J8" s="96"/>
      <c r="K8" s="141"/>
      <c r="L8" s="83">
        <f>IF(J8="課税", ROUND(K8-K8/1.1, 0), 0)</f>
        <v>0</v>
      </c>
      <c r="M8" s="83">
        <f>K8-L8</f>
        <v>0</v>
      </c>
      <c r="N8" s="91"/>
      <c r="O8" s="101"/>
      <c r="P8" s="98"/>
      <c r="Q8" s="98"/>
      <c r="R8" s="91"/>
      <c r="S8" s="99"/>
      <c r="T8" s="91"/>
      <c r="U8" s="99"/>
      <c r="V8" s="94"/>
    </row>
    <row r="9" spans="1:22" ht="20.100000000000001" customHeight="1" x14ac:dyDescent="0.15">
      <c r="B9" s="15">
        <f t="shared" si="0"/>
        <v>6</v>
      </c>
      <c r="C9" s="91"/>
      <c r="D9" s="92"/>
      <c r="E9" s="93"/>
      <c r="F9" s="93"/>
      <c r="G9" s="93"/>
      <c r="H9" s="94"/>
      <c r="I9" s="100"/>
      <c r="J9" s="96"/>
      <c r="K9" s="97"/>
      <c r="L9" s="83">
        <f t="shared" si="1"/>
        <v>0</v>
      </c>
      <c r="M9" s="83">
        <f t="shared" si="2"/>
        <v>0</v>
      </c>
      <c r="N9" s="91"/>
      <c r="O9" s="101"/>
      <c r="P9" s="98"/>
      <c r="Q9" s="98"/>
      <c r="R9" s="91"/>
      <c r="S9" s="99"/>
      <c r="T9" s="91"/>
      <c r="U9" s="99"/>
      <c r="V9" s="94"/>
    </row>
    <row r="10" spans="1:22" ht="20.100000000000001" customHeight="1" x14ac:dyDescent="0.15">
      <c r="B10" s="15">
        <f t="shared" si="0"/>
        <v>7</v>
      </c>
      <c r="C10" s="91"/>
      <c r="D10" s="92"/>
      <c r="E10" s="93"/>
      <c r="F10" s="93"/>
      <c r="G10" s="93"/>
      <c r="H10" s="94"/>
      <c r="I10" s="95"/>
      <c r="J10" s="96"/>
      <c r="K10" s="97"/>
      <c r="L10" s="83">
        <f t="shared" si="1"/>
        <v>0</v>
      </c>
      <c r="M10" s="83">
        <f t="shared" si="2"/>
        <v>0</v>
      </c>
      <c r="N10" s="91"/>
      <c r="O10" s="101"/>
      <c r="P10" s="98"/>
      <c r="Q10" s="98"/>
      <c r="R10" s="91"/>
      <c r="S10" s="99"/>
      <c r="T10" s="91"/>
      <c r="U10" s="99"/>
      <c r="V10" s="94"/>
    </row>
    <row r="11" spans="1:22" ht="20.100000000000001" customHeight="1" x14ac:dyDescent="0.15">
      <c r="B11" s="15">
        <f t="shared" si="0"/>
        <v>8</v>
      </c>
      <c r="C11" s="91"/>
      <c r="D11" s="92"/>
      <c r="E11" s="93"/>
      <c r="F11" s="93"/>
      <c r="G11" s="93"/>
      <c r="H11" s="94"/>
      <c r="I11" s="95"/>
      <c r="J11" s="96"/>
      <c r="K11" s="97"/>
      <c r="L11" s="83">
        <f t="shared" si="1"/>
        <v>0</v>
      </c>
      <c r="M11" s="83">
        <f t="shared" si="2"/>
        <v>0</v>
      </c>
      <c r="N11" s="91"/>
      <c r="O11" s="101"/>
      <c r="P11" s="98"/>
      <c r="Q11" s="98"/>
      <c r="R11" s="91"/>
      <c r="S11" s="99"/>
      <c r="T11" s="91"/>
      <c r="U11" s="99"/>
      <c r="V11" s="94"/>
    </row>
    <row r="12" spans="1:22" ht="20.100000000000001" customHeight="1" x14ac:dyDescent="0.15">
      <c r="B12" s="15">
        <f t="shared" si="0"/>
        <v>9</v>
      </c>
      <c r="C12" s="91"/>
      <c r="D12" s="92"/>
      <c r="E12" s="93"/>
      <c r="F12" s="93"/>
      <c r="G12" s="93"/>
      <c r="H12" s="94"/>
      <c r="I12" s="95"/>
      <c r="J12" s="96"/>
      <c r="K12" s="97"/>
      <c r="L12" s="83">
        <f t="shared" si="1"/>
        <v>0</v>
      </c>
      <c r="M12" s="83">
        <f t="shared" si="2"/>
        <v>0</v>
      </c>
      <c r="N12" s="91"/>
      <c r="O12" s="101"/>
      <c r="P12" s="98"/>
      <c r="Q12" s="98"/>
      <c r="R12" s="91"/>
      <c r="S12" s="99"/>
      <c r="T12" s="91"/>
      <c r="U12" s="99"/>
      <c r="V12" s="94"/>
    </row>
    <row r="13" spans="1:22" ht="20.100000000000001" customHeight="1" x14ac:dyDescent="0.15">
      <c r="B13" s="15">
        <f t="shared" si="0"/>
        <v>10</v>
      </c>
      <c r="C13" s="91"/>
      <c r="D13" s="92"/>
      <c r="E13" s="93"/>
      <c r="F13" s="93"/>
      <c r="G13" s="93"/>
      <c r="H13" s="94"/>
      <c r="I13" s="95"/>
      <c r="J13" s="96"/>
      <c r="K13" s="97"/>
      <c r="L13" s="83">
        <f t="shared" si="1"/>
        <v>0</v>
      </c>
      <c r="M13" s="83">
        <f t="shared" si="2"/>
        <v>0</v>
      </c>
      <c r="N13" s="91"/>
      <c r="O13" s="101"/>
      <c r="P13" s="98"/>
      <c r="Q13" s="98"/>
      <c r="R13" s="91"/>
      <c r="S13" s="99"/>
      <c r="T13" s="91"/>
      <c r="U13" s="99"/>
      <c r="V13" s="94"/>
    </row>
    <row r="14" spans="1:22" ht="20.100000000000001" customHeight="1" x14ac:dyDescent="0.15">
      <c r="B14" s="15">
        <f t="shared" si="0"/>
        <v>11</v>
      </c>
      <c r="C14" s="91"/>
      <c r="D14" s="92"/>
      <c r="E14" s="93"/>
      <c r="F14" s="93"/>
      <c r="G14" s="93"/>
      <c r="H14" s="94"/>
      <c r="I14" s="95"/>
      <c r="J14" s="96"/>
      <c r="K14" s="97"/>
      <c r="L14" s="83">
        <f t="shared" si="1"/>
        <v>0</v>
      </c>
      <c r="M14" s="83">
        <f t="shared" si="2"/>
        <v>0</v>
      </c>
      <c r="N14" s="91"/>
      <c r="O14" s="101"/>
      <c r="P14" s="98"/>
      <c r="Q14" s="98"/>
      <c r="R14" s="91"/>
      <c r="S14" s="99"/>
      <c r="T14" s="91"/>
      <c r="U14" s="99"/>
      <c r="V14" s="94"/>
    </row>
    <row r="15" spans="1:22" ht="20.100000000000001" customHeight="1" x14ac:dyDescent="0.15">
      <c r="B15" s="15">
        <f t="shared" si="0"/>
        <v>12</v>
      </c>
      <c r="C15" s="91"/>
      <c r="D15" s="92"/>
      <c r="E15" s="93"/>
      <c r="F15" s="93"/>
      <c r="G15" s="93"/>
      <c r="H15" s="94"/>
      <c r="I15" s="95"/>
      <c r="J15" s="96"/>
      <c r="K15" s="97"/>
      <c r="L15" s="83">
        <f t="shared" si="1"/>
        <v>0</v>
      </c>
      <c r="M15" s="83">
        <f t="shared" si="2"/>
        <v>0</v>
      </c>
      <c r="N15" s="91"/>
      <c r="O15" s="101"/>
      <c r="P15" s="98"/>
      <c r="Q15" s="98"/>
      <c r="R15" s="91"/>
      <c r="S15" s="99"/>
      <c r="T15" s="91"/>
      <c r="U15" s="99"/>
      <c r="V15" s="94"/>
    </row>
    <row r="16" spans="1:22" ht="20.100000000000001" customHeight="1" x14ac:dyDescent="0.15">
      <c r="B16" s="15">
        <f t="shared" si="0"/>
        <v>13</v>
      </c>
      <c r="C16" s="91"/>
      <c r="D16" s="92"/>
      <c r="E16" s="93"/>
      <c r="F16" s="93"/>
      <c r="G16" s="93"/>
      <c r="H16" s="94"/>
      <c r="I16" s="95"/>
      <c r="J16" s="96"/>
      <c r="K16" s="97"/>
      <c r="L16" s="83">
        <f t="shared" si="1"/>
        <v>0</v>
      </c>
      <c r="M16" s="83">
        <f t="shared" si="2"/>
        <v>0</v>
      </c>
      <c r="N16" s="91"/>
      <c r="O16" s="101"/>
      <c r="P16" s="98"/>
      <c r="Q16" s="98"/>
      <c r="R16" s="91"/>
      <c r="S16" s="99"/>
      <c r="T16" s="91"/>
      <c r="U16" s="99"/>
      <c r="V16" s="94"/>
    </row>
    <row r="17" spans="2:22" ht="20.100000000000001" customHeight="1" x14ac:dyDescent="0.15">
      <c r="B17" s="15">
        <f t="shared" si="0"/>
        <v>14</v>
      </c>
      <c r="C17" s="91"/>
      <c r="D17" s="92"/>
      <c r="E17" s="93"/>
      <c r="F17" s="93"/>
      <c r="G17" s="93"/>
      <c r="H17" s="94"/>
      <c r="I17" s="95"/>
      <c r="J17" s="96"/>
      <c r="K17" s="97"/>
      <c r="L17" s="83">
        <f t="shared" si="1"/>
        <v>0</v>
      </c>
      <c r="M17" s="83">
        <f t="shared" si="2"/>
        <v>0</v>
      </c>
      <c r="N17" s="91"/>
      <c r="O17" s="101"/>
      <c r="P17" s="98"/>
      <c r="Q17" s="98"/>
      <c r="R17" s="91"/>
      <c r="S17" s="99"/>
      <c r="T17" s="91"/>
      <c r="U17" s="99"/>
      <c r="V17" s="94"/>
    </row>
    <row r="18" spans="2:22" ht="20.100000000000001" customHeight="1" x14ac:dyDescent="0.15">
      <c r="B18" s="15">
        <f t="shared" si="0"/>
        <v>15</v>
      </c>
      <c r="C18" s="91"/>
      <c r="D18" s="92"/>
      <c r="E18" s="93"/>
      <c r="F18" s="93"/>
      <c r="G18" s="93"/>
      <c r="H18" s="94"/>
      <c r="I18" s="95"/>
      <c r="J18" s="96"/>
      <c r="K18" s="97"/>
      <c r="L18" s="83">
        <f t="shared" si="1"/>
        <v>0</v>
      </c>
      <c r="M18" s="83">
        <f t="shared" si="2"/>
        <v>0</v>
      </c>
      <c r="N18" s="91"/>
      <c r="O18" s="101"/>
      <c r="P18" s="98"/>
      <c r="Q18" s="98"/>
      <c r="R18" s="91"/>
      <c r="S18" s="99"/>
      <c r="T18" s="91"/>
      <c r="U18" s="99"/>
      <c r="V18" s="94"/>
    </row>
    <row r="19" spans="2:22" ht="20.100000000000001" customHeight="1" x14ac:dyDescent="0.15">
      <c r="B19" s="15">
        <f t="shared" si="0"/>
        <v>16</v>
      </c>
      <c r="C19" s="91"/>
      <c r="D19" s="92"/>
      <c r="E19" s="93"/>
      <c r="F19" s="93"/>
      <c r="G19" s="93"/>
      <c r="H19" s="94"/>
      <c r="I19" s="95"/>
      <c r="J19" s="96"/>
      <c r="K19" s="97"/>
      <c r="L19" s="83">
        <f t="shared" si="1"/>
        <v>0</v>
      </c>
      <c r="M19" s="83">
        <f t="shared" si="2"/>
        <v>0</v>
      </c>
      <c r="N19" s="91"/>
      <c r="O19" s="101"/>
      <c r="P19" s="98"/>
      <c r="Q19" s="98"/>
      <c r="R19" s="91"/>
      <c r="S19" s="99"/>
      <c r="T19" s="91"/>
      <c r="U19" s="99"/>
      <c r="V19" s="94"/>
    </row>
    <row r="20" spans="2:22" ht="20.100000000000001" customHeight="1" x14ac:dyDescent="0.15">
      <c r="B20" s="15">
        <f t="shared" si="0"/>
        <v>17</v>
      </c>
      <c r="C20" s="91"/>
      <c r="D20" s="92"/>
      <c r="E20" s="93"/>
      <c r="F20" s="93"/>
      <c r="G20" s="93"/>
      <c r="H20" s="94"/>
      <c r="I20" s="95"/>
      <c r="J20" s="96"/>
      <c r="K20" s="97"/>
      <c r="L20" s="83">
        <f t="shared" si="1"/>
        <v>0</v>
      </c>
      <c r="M20" s="83">
        <f t="shared" si="2"/>
        <v>0</v>
      </c>
      <c r="N20" s="91"/>
      <c r="O20" s="101"/>
      <c r="P20" s="98"/>
      <c r="Q20" s="98"/>
      <c r="R20" s="91"/>
      <c r="S20" s="99"/>
      <c r="T20" s="91"/>
      <c r="U20" s="99"/>
      <c r="V20" s="94"/>
    </row>
    <row r="21" spans="2:22" ht="20.100000000000001" customHeight="1" x14ac:dyDescent="0.15">
      <c r="B21" s="15">
        <f t="shared" si="0"/>
        <v>18</v>
      </c>
      <c r="C21" s="91"/>
      <c r="D21" s="92"/>
      <c r="E21" s="93"/>
      <c r="F21" s="93"/>
      <c r="G21" s="93"/>
      <c r="H21" s="94"/>
      <c r="I21" s="95"/>
      <c r="J21" s="96"/>
      <c r="K21" s="97"/>
      <c r="L21" s="83">
        <f t="shared" si="1"/>
        <v>0</v>
      </c>
      <c r="M21" s="83">
        <f t="shared" si="2"/>
        <v>0</v>
      </c>
      <c r="N21" s="91"/>
      <c r="O21" s="101"/>
      <c r="P21" s="98"/>
      <c r="Q21" s="98"/>
      <c r="R21" s="91"/>
      <c r="S21" s="99"/>
      <c r="T21" s="91"/>
      <c r="U21" s="99"/>
      <c r="V21" s="94"/>
    </row>
    <row r="22" spans="2:22" ht="20.100000000000001" customHeight="1" x14ac:dyDescent="0.15">
      <c r="B22" s="15">
        <f t="shared" si="0"/>
        <v>19</v>
      </c>
      <c r="C22" s="91"/>
      <c r="D22" s="92"/>
      <c r="E22" s="93"/>
      <c r="F22" s="93"/>
      <c r="G22" s="93"/>
      <c r="H22" s="94"/>
      <c r="I22" s="95"/>
      <c r="J22" s="96"/>
      <c r="K22" s="97"/>
      <c r="L22" s="83">
        <f t="shared" si="1"/>
        <v>0</v>
      </c>
      <c r="M22" s="83">
        <f t="shared" si="2"/>
        <v>0</v>
      </c>
      <c r="N22" s="91"/>
      <c r="O22" s="101"/>
      <c r="P22" s="98"/>
      <c r="Q22" s="98"/>
      <c r="R22" s="91"/>
      <c r="S22" s="99"/>
      <c r="T22" s="91"/>
      <c r="U22" s="99"/>
      <c r="V22" s="94"/>
    </row>
    <row r="23" spans="2:22" ht="20.100000000000001" customHeight="1" x14ac:dyDescent="0.15">
      <c r="B23" s="15">
        <f t="shared" si="0"/>
        <v>20</v>
      </c>
      <c r="C23" s="91"/>
      <c r="D23" s="92"/>
      <c r="E23" s="93"/>
      <c r="F23" s="93"/>
      <c r="G23" s="93"/>
      <c r="H23" s="94"/>
      <c r="I23" s="95"/>
      <c r="J23" s="96"/>
      <c r="K23" s="97"/>
      <c r="L23" s="83">
        <f t="shared" si="1"/>
        <v>0</v>
      </c>
      <c r="M23" s="83">
        <f t="shared" si="2"/>
        <v>0</v>
      </c>
      <c r="N23" s="91"/>
      <c r="O23" s="101"/>
      <c r="P23" s="98"/>
      <c r="Q23" s="98"/>
      <c r="R23" s="91"/>
      <c r="S23" s="99"/>
      <c r="T23" s="91"/>
      <c r="U23" s="99"/>
      <c r="V23" s="94"/>
    </row>
    <row r="24" spans="2:22" ht="20.100000000000001" customHeight="1" x14ac:dyDescent="0.15">
      <c r="B24" s="15">
        <f t="shared" si="0"/>
        <v>21</v>
      </c>
      <c r="C24" s="91"/>
      <c r="D24" s="92"/>
      <c r="E24" s="93"/>
      <c r="F24" s="93"/>
      <c r="G24" s="93"/>
      <c r="H24" s="94"/>
      <c r="I24" s="95"/>
      <c r="J24" s="96"/>
      <c r="K24" s="97"/>
      <c r="L24" s="83">
        <f t="shared" si="1"/>
        <v>0</v>
      </c>
      <c r="M24" s="83">
        <f t="shared" si="2"/>
        <v>0</v>
      </c>
      <c r="N24" s="91"/>
      <c r="O24" s="101"/>
      <c r="P24" s="98"/>
      <c r="Q24" s="98"/>
      <c r="R24" s="91"/>
      <c r="S24" s="99"/>
      <c r="T24" s="91"/>
      <c r="U24" s="99"/>
      <c r="V24" s="94"/>
    </row>
    <row r="25" spans="2:22" ht="20.100000000000001" customHeight="1" x14ac:dyDescent="0.15">
      <c r="B25" s="15">
        <f t="shared" si="0"/>
        <v>22</v>
      </c>
      <c r="C25" s="91"/>
      <c r="D25" s="92"/>
      <c r="E25" s="93"/>
      <c r="F25" s="93"/>
      <c r="G25" s="93"/>
      <c r="H25" s="94"/>
      <c r="I25" s="95"/>
      <c r="J25" s="96"/>
      <c r="K25" s="97"/>
      <c r="L25" s="83">
        <f t="shared" si="1"/>
        <v>0</v>
      </c>
      <c r="M25" s="83">
        <f t="shared" si="2"/>
        <v>0</v>
      </c>
      <c r="N25" s="91"/>
      <c r="O25" s="101"/>
      <c r="P25" s="98"/>
      <c r="Q25" s="98"/>
      <c r="R25" s="91"/>
      <c r="S25" s="99"/>
      <c r="T25" s="91"/>
      <c r="U25" s="99"/>
      <c r="V25" s="94"/>
    </row>
    <row r="26" spans="2:22" ht="20.100000000000001" customHeight="1" x14ac:dyDescent="0.15">
      <c r="B26" s="15">
        <f t="shared" si="0"/>
        <v>23</v>
      </c>
      <c r="C26" s="91"/>
      <c r="D26" s="92"/>
      <c r="E26" s="93"/>
      <c r="F26" s="93"/>
      <c r="G26" s="93"/>
      <c r="H26" s="94"/>
      <c r="I26" s="95"/>
      <c r="J26" s="96"/>
      <c r="K26" s="97"/>
      <c r="L26" s="83">
        <f t="shared" si="1"/>
        <v>0</v>
      </c>
      <c r="M26" s="83">
        <f t="shared" si="2"/>
        <v>0</v>
      </c>
      <c r="N26" s="91"/>
      <c r="O26" s="101"/>
      <c r="P26" s="98"/>
      <c r="Q26" s="98"/>
      <c r="R26" s="91"/>
      <c r="S26" s="99"/>
      <c r="T26" s="91"/>
      <c r="U26" s="99"/>
      <c r="V26" s="94"/>
    </row>
    <row r="27" spans="2:22" ht="20.100000000000001" customHeight="1" x14ac:dyDescent="0.15">
      <c r="B27" s="15">
        <f t="shared" si="0"/>
        <v>24</v>
      </c>
      <c r="C27" s="91"/>
      <c r="D27" s="92"/>
      <c r="E27" s="93"/>
      <c r="F27" s="93"/>
      <c r="G27" s="93"/>
      <c r="H27" s="94"/>
      <c r="I27" s="95"/>
      <c r="J27" s="96"/>
      <c r="K27" s="97"/>
      <c r="L27" s="83">
        <f t="shared" si="1"/>
        <v>0</v>
      </c>
      <c r="M27" s="83">
        <f t="shared" si="2"/>
        <v>0</v>
      </c>
      <c r="N27" s="91"/>
      <c r="O27" s="101"/>
      <c r="P27" s="98"/>
      <c r="Q27" s="98"/>
      <c r="R27" s="91"/>
      <c r="S27" s="99"/>
      <c r="T27" s="91"/>
      <c r="U27" s="99"/>
      <c r="V27" s="94"/>
    </row>
    <row r="28" spans="2:22" ht="20.100000000000001" customHeight="1" x14ac:dyDescent="0.15">
      <c r="B28" s="15">
        <f t="shared" si="0"/>
        <v>25</v>
      </c>
      <c r="C28" s="91"/>
      <c r="D28" s="92"/>
      <c r="E28" s="93"/>
      <c r="F28" s="93"/>
      <c r="G28" s="93"/>
      <c r="H28" s="94"/>
      <c r="I28" s="95"/>
      <c r="J28" s="96"/>
      <c r="K28" s="97"/>
      <c r="L28" s="83">
        <f t="shared" si="1"/>
        <v>0</v>
      </c>
      <c r="M28" s="83">
        <f t="shared" si="2"/>
        <v>0</v>
      </c>
      <c r="N28" s="91"/>
      <c r="O28" s="101"/>
      <c r="P28" s="98"/>
      <c r="Q28" s="98"/>
      <c r="R28" s="91"/>
      <c r="S28" s="99"/>
      <c r="T28" s="91"/>
      <c r="U28" s="99"/>
      <c r="V28" s="94"/>
    </row>
    <row r="29" spans="2:22" ht="20.100000000000001" customHeight="1" x14ac:dyDescent="0.15">
      <c r="B29" s="15">
        <f t="shared" si="0"/>
        <v>26</v>
      </c>
      <c r="C29" s="91"/>
      <c r="D29" s="92"/>
      <c r="E29" s="93"/>
      <c r="F29" s="93"/>
      <c r="G29" s="93"/>
      <c r="H29" s="94"/>
      <c r="I29" s="95"/>
      <c r="J29" s="96"/>
      <c r="K29" s="97"/>
      <c r="L29" s="83">
        <f t="shared" si="1"/>
        <v>0</v>
      </c>
      <c r="M29" s="83">
        <f t="shared" si="2"/>
        <v>0</v>
      </c>
      <c r="N29" s="91"/>
      <c r="O29" s="101"/>
      <c r="P29" s="98"/>
      <c r="Q29" s="98"/>
      <c r="R29" s="91"/>
      <c r="S29" s="99"/>
      <c r="T29" s="91"/>
      <c r="U29" s="99"/>
      <c r="V29" s="94"/>
    </row>
    <row r="30" spans="2:22" ht="20.100000000000001" customHeight="1" x14ac:dyDescent="0.15">
      <c r="B30" s="15">
        <f t="shared" si="0"/>
        <v>27</v>
      </c>
      <c r="C30" s="91"/>
      <c r="D30" s="92"/>
      <c r="E30" s="93"/>
      <c r="F30" s="93"/>
      <c r="G30" s="93"/>
      <c r="H30" s="94"/>
      <c r="I30" s="95"/>
      <c r="J30" s="96"/>
      <c r="K30" s="97"/>
      <c r="L30" s="83">
        <f t="shared" si="1"/>
        <v>0</v>
      </c>
      <c r="M30" s="83">
        <f t="shared" si="2"/>
        <v>0</v>
      </c>
      <c r="N30" s="91"/>
      <c r="O30" s="101"/>
      <c r="P30" s="98"/>
      <c r="Q30" s="98"/>
      <c r="R30" s="91"/>
      <c r="S30" s="99"/>
      <c r="T30" s="91"/>
      <c r="U30" s="99"/>
      <c r="V30" s="94"/>
    </row>
    <row r="31" spans="2:22" ht="20.100000000000001" customHeight="1" x14ac:dyDescent="0.15">
      <c r="B31" s="15">
        <f t="shared" si="0"/>
        <v>28</v>
      </c>
      <c r="C31" s="91"/>
      <c r="D31" s="92"/>
      <c r="E31" s="93"/>
      <c r="F31" s="93"/>
      <c r="G31" s="93"/>
      <c r="H31" s="94"/>
      <c r="I31" s="95"/>
      <c r="J31" s="96"/>
      <c r="K31" s="97"/>
      <c r="L31" s="83">
        <f t="shared" si="1"/>
        <v>0</v>
      </c>
      <c r="M31" s="83">
        <f t="shared" si="2"/>
        <v>0</v>
      </c>
      <c r="N31" s="91"/>
      <c r="O31" s="101"/>
      <c r="P31" s="98"/>
      <c r="Q31" s="98"/>
      <c r="R31" s="91"/>
      <c r="S31" s="99"/>
      <c r="T31" s="91"/>
      <c r="U31" s="99"/>
      <c r="V31" s="94"/>
    </row>
    <row r="32" spans="2:22" ht="20.100000000000001" customHeight="1" x14ac:dyDescent="0.15">
      <c r="B32" s="15">
        <f t="shared" si="0"/>
        <v>29</v>
      </c>
      <c r="C32" s="91"/>
      <c r="D32" s="92"/>
      <c r="E32" s="93"/>
      <c r="F32" s="93"/>
      <c r="G32" s="93"/>
      <c r="H32" s="94"/>
      <c r="I32" s="95"/>
      <c r="J32" s="96"/>
      <c r="K32" s="97"/>
      <c r="L32" s="83">
        <f t="shared" ref="L32:L58" si="3">IF(J32="課税", ROUND(K32-K32/1.08, 0), 0)</f>
        <v>0</v>
      </c>
      <c r="M32" s="83">
        <f t="shared" si="2"/>
        <v>0</v>
      </c>
      <c r="N32" s="91"/>
      <c r="O32" s="101"/>
      <c r="P32" s="98"/>
      <c r="Q32" s="98"/>
      <c r="R32" s="91"/>
      <c r="S32" s="99"/>
      <c r="T32" s="91"/>
      <c r="U32" s="99"/>
      <c r="V32" s="94"/>
    </row>
    <row r="33" spans="2:22" ht="20.100000000000001" customHeight="1" x14ac:dyDescent="0.15">
      <c r="B33" s="15">
        <f t="shared" si="0"/>
        <v>30</v>
      </c>
      <c r="C33" s="91"/>
      <c r="D33" s="92"/>
      <c r="E33" s="93"/>
      <c r="F33" s="93"/>
      <c r="G33" s="93"/>
      <c r="H33" s="94"/>
      <c r="I33" s="95"/>
      <c r="J33" s="96"/>
      <c r="K33" s="97"/>
      <c r="L33" s="83">
        <f t="shared" si="3"/>
        <v>0</v>
      </c>
      <c r="M33" s="83">
        <f t="shared" si="2"/>
        <v>0</v>
      </c>
      <c r="N33" s="91"/>
      <c r="O33" s="101"/>
      <c r="P33" s="98"/>
      <c r="Q33" s="98"/>
      <c r="R33" s="91"/>
      <c r="S33" s="99"/>
      <c r="T33" s="91"/>
      <c r="U33" s="99"/>
      <c r="V33" s="94"/>
    </row>
    <row r="34" spans="2:22" ht="20.100000000000001" customHeight="1" x14ac:dyDescent="0.15">
      <c r="B34" s="15">
        <f t="shared" si="0"/>
        <v>31</v>
      </c>
      <c r="C34" s="91"/>
      <c r="D34" s="92"/>
      <c r="E34" s="93"/>
      <c r="F34" s="93"/>
      <c r="G34" s="93"/>
      <c r="H34" s="94"/>
      <c r="I34" s="95"/>
      <c r="J34" s="96"/>
      <c r="K34" s="97"/>
      <c r="L34" s="83">
        <f t="shared" si="3"/>
        <v>0</v>
      </c>
      <c r="M34" s="83">
        <f t="shared" si="2"/>
        <v>0</v>
      </c>
      <c r="N34" s="91"/>
      <c r="O34" s="101"/>
      <c r="P34" s="98"/>
      <c r="Q34" s="98"/>
      <c r="R34" s="91"/>
      <c r="S34" s="99"/>
      <c r="T34" s="91"/>
      <c r="U34" s="99"/>
      <c r="V34" s="94"/>
    </row>
    <row r="35" spans="2:22" ht="20.100000000000001" customHeight="1" x14ac:dyDescent="0.15">
      <c r="B35" s="15">
        <f t="shared" si="0"/>
        <v>32</v>
      </c>
      <c r="C35" s="91"/>
      <c r="D35" s="92"/>
      <c r="E35" s="93"/>
      <c r="F35" s="93"/>
      <c r="G35" s="93"/>
      <c r="H35" s="94"/>
      <c r="I35" s="95"/>
      <c r="J35" s="96"/>
      <c r="K35" s="97"/>
      <c r="L35" s="83">
        <f t="shared" si="3"/>
        <v>0</v>
      </c>
      <c r="M35" s="83">
        <f t="shared" si="2"/>
        <v>0</v>
      </c>
      <c r="N35" s="91"/>
      <c r="O35" s="101"/>
      <c r="P35" s="98"/>
      <c r="Q35" s="98"/>
      <c r="R35" s="91"/>
      <c r="S35" s="99"/>
      <c r="T35" s="91"/>
      <c r="U35" s="99"/>
      <c r="V35" s="94"/>
    </row>
    <row r="36" spans="2:22" ht="20.100000000000001" customHeight="1" x14ac:dyDescent="0.15">
      <c r="B36" s="15">
        <f t="shared" si="0"/>
        <v>33</v>
      </c>
      <c r="C36" s="91"/>
      <c r="D36" s="92"/>
      <c r="E36" s="93"/>
      <c r="F36" s="93"/>
      <c r="G36" s="93"/>
      <c r="H36" s="94"/>
      <c r="I36" s="95"/>
      <c r="J36" s="96"/>
      <c r="K36" s="97"/>
      <c r="L36" s="83">
        <f t="shared" si="3"/>
        <v>0</v>
      </c>
      <c r="M36" s="83">
        <f t="shared" si="2"/>
        <v>0</v>
      </c>
      <c r="N36" s="91"/>
      <c r="O36" s="101"/>
      <c r="P36" s="98"/>
      <c r="Q36" s="98"/>
      <c r="R36" s="91"/>
      <c r="S36" s="99"/>
      <c r="T36" s="91"/>
      <c r="U36" s="99"/>
      <c r="V36" s="94"/>
    </row>
    <row r="37" spans="2:22" ht="20.100000000000001" customHeight="1" x14ac:dyDescent="0.15">
      <c r="B37" s="15">
        <f t="shared" si="0"/>
        <v>34</v>
      </c>
      <c r="C37" s="91"/>
      <c r="D37" s="92"/>
      <c r="E37" s="93"/>
      <c r="F37" s="93"/>
      <c r="G37" s="93"/>
      <c r="H37" s="94"/>
      <c r="I37" s="95"/>
      <c r="J37" s="96"/>
      <c r="K37" s="97"/>
      <c r="L37" s="83">
        <f t="shared" si="3"/>
        <v>0</v>
      </c>
      <c r="M37" s="83">
        <f t="shared" si="2"/>
        <v>0</v>
      </c>
      <c r="N37" s="91"/>
      <c r="O37" s="101"/>
      <c r="P37" s="98"/>
      <c r="Q37" s="98"/>
      <c r="R37" s="91"/>
      <c r="S37" s="99"/>
      <c r="T37" s="91"/>
      <c r="U37" s="99"/>
      <c r="V37" s="94"/>
    </row>
    <row r="38" spans="2:22" ht="20.100000000000001" customHeight="1" x14ac:dyDescent="0.15">
      <c r="B38" s="15">
        <f t="shared" si="0"/>
        <v>35</v>
      </c>
      <c r="C38" s="91"/>
      <c r="D38" s="92"/>
      <c r="E38" s="93"/>
      <c r="F38" s="93"/>
      <c r="G38" s="93"/>
      <c r="H38" s="94"/>
      <c r="I38" s="95"/>
      <c r="J38" s="96"/>
      <c r="K38" s="97"/>
      <c r="L38" s="83">
        <f t="shared" si="3"/>
        <v>0</v>
      </c>
      <c r="M38" s="83">
        <f t="shared" si="2"/>
        <v>0</v>
      </c>
      <c r="N38" s="91"/>
      <c r="O38" s="101"/>
      <c r="P38" s="98"/>
      <c r="Q38" s="98"/>
      <c r="R38" s="91"/>
      <c r="S38" s="99"/>
      <c r="T38" s="91"/>
      <c r="U38" s="99"/>
      <c r="V38" s="94"/>
    </row>
    <row r="39" spans="2:22" ht="20.100000000000001" customHeight="1" x14ac:dyDescent="0.15">
      <c r="B39" s="15">
        <f t="shared" si="0"/>
        <v>36</v>
      </c>
      <c r="C39" s="91"/>
      <c r="D39" s="92"/>
      <c r="E39" s="93"/>
      <c r="F39" s="93"/>
      <c r="G39" s="93"/>
      <c r="H39" s="94"/>
      <c r="I39" s="95"/>
      <c r="J39" s="96"/>
      <c r="K39" s="97"/>
      <c r="L39" s="83">
        <f t="shared" si="3"/>
        <v>0</v>
      </c>
      <c r="M39" s="83">
        <f t="shared" si="2"/>
        <v>0</v>
      </c>
      <c r="N39" s="91"/>
      <c r="O39" s="101"/>
      <c r="P39" s="98"/>
      <c r="Q39" s="98"/>
      <c r="R39" s="91"/>
      <c r="S39" s="99"/>
      <c r="T39" s="91"/>
      <c r="U39" s="99"/>
      <c r="V39" s="94"/>
    </row>
    <row r="40" spans="2:22" ht="20.100000000000001" customHeight="1" x14ac:dyDescent="0.15">
      <c r="B40" s="15">
        <f t="shared" si="0"/>
        <v>37</v>
      </c>
      <c r="C40" s="91"/>
      <c r="D40" s="92"/>
      <c r="E40" s="93"/>
      <c r="F40" s="93"/>
      <c r="G40" s="93"/>
      <c r="H40" s="94"/>
      <c r="I40" s="95"/>
      <c r="J40" s="96"/>
      <c r="K40" s="97"/>
      <c r="L40" s="83">
        <f t="shared" si="3"/>
        <v>0</v>
      </c>
      <c r="M40" s="83">
        <f t="shared" si="2"/>
        <v>0</v>
      </c>
      <c r="N40" s="91"/>
      <c r="O40" s="101"/>
      <c r="P40" s="98"/>
      <c r="Q40" s="98"/>
      <c r="R40" s="91"/>
      <c r="S40" s="99"/>
      <c r="T40" s="91"/>
      <c r="U40" s="99"/>
      <c r="V40" s="94"/>
    </row>
    <row r="41" spans="2:22" ht="20.100000000000001" customHeight="1" x14ac:dyDescent="0.15">
      <c r="B41" s="15">
        <f t="shared" si="0"/>
        <v>38</v>
      </c>
      <c r="C41" s="91"/>
      <c r="D41" s="92"/>
      <c r="E41" s="93"/>
      <c r="F41" s="93"/>
      <c r="G41" s="93"/>
      <c r="H41" s="94"/>
      <c r="I41" s="95"/>
      <c r="J41" s="96"/>
      <c r="K41" s="97"/>
      <c r="L41" s="83">
        <f t="shared" si="3"/>
        <v>0</v>
      </c>
      <c r="M41" s="83">
        <f t="shared" si="2"/>
        <v>0</v>
      </c>
      <c r="N41" s="91"/>
      <c r="O41" s="101"/>
      <c r="P41" s="98"/>
      <c r="Q41" s="98"/>
      <c r="R41" s="91"/>
      <c r="S41" s="99"/>
      <c r="T41" s="91"/>
      <c r="U41" s="99"/>
      <c r="V41" s="94"/>
    </row>
    <row r="42" spans="2:22" ht="20.100000000000001" customHeight="1" x14ac:dyDescent="0.15">
      <c r="B42" s="15">
        <f t="shared" si="0"/>
        <v>39</v>
      </c>
      <c r="C42" s="91"/>
      <c r="D42" s="92"/>
      <c r="E42" s="93"/>
      <c r="F42" s="93"/>
      <c r="G42" s="93"/>
      <c r="H42" s="94"/>
      <c r="I42" s="95"/>
      <c r="J42" s="96"/>
      <c r="K42" s="97"/>
      <c r="L42" s="83">
        <f t="shared" si="3"/>
        <v>0</v>
      </c>
      <c r="M42" s="83">
        <f t="shared" si="2"/>
        <v>0</v>
      </c>
      <c r="N42" s="91"/>
      <c r="O42" s="101"/>
      <c r="P42" s="98"/>
      <c r="Q42" s="98"/>
      <c r="R42" s="91"/>
      <c r="S42" s="99"/>
      <c r="T42" s="91"/>
      <c r="U42" s="99"/>
      <c r="V42" s="94"/>
    </row>
    <row r="43" spans="2:22" ht="20.100000000000001" customHeight="1" x14ac:dyDescent="0.15">
      <c r="B43" s="15">
        <f t="shared" si="0"/>
        <v>40</v>
      </c>
      <c r="C43" s="91"/>
      <c r="D43" s="92"/>
      <c r="E43" s="93"/>
      <c r="F43" s="93"/>
      <c r="G43" s="93"/>
      <c r="H43" s="94"/>
      <c r="I43" s="95"/>
      <c r="J43" s="96"/>
      <c r="K43" s="97"/>
      <c r="L43" s="83">
        <f t="shared" si="3"/>
        <v>0</v>
      </c>
      <c r="M43" s="83">
        <f t="shared" si="2"/>
        <v>0</v>
      </c>
      <c r="N43" s="91"/>
      <c r="O43" s="101"/>
      <c r="P43" s="98"/>
      <c r="Q43" s="98"/>
      <c r="R43" s="91"/>
      <c r="S43" s="99"/>
      <c r="T43" s="91"/>
      <c r="U43" s="99"/>
      <c r="V43" s="94"/>
    </row>
    <row r="44" spans="2:22" ht="20.100000000000001" customHeight="1" x14ac:dyDescent="0.15">
      <c r="B44" s="15">
        <f t="shared" si="0"/>
        <v>41</v>
      </c>
      <c r="C44" s="91"/>
      <c r="D44" s="92"/>
      <c r="E44" s="93"/>
      <c r="F44" s="93"/>
      <c r="G44" s="93"/>
      <c r="H44" s="94"/>
      <c r="I44" s="95"/>
      <c r="J44" s="96"/>
      <c r="K44" s="97"/>
      <c r="L44" s="83">
        <f t="shared" si="3"/>
        <v>0</v>
      </c>
      <c r="M44" s="83">
        <f t="shared" si="2"/>
        <v>0</v>
      </c>
      <c r="N44" s="91"/>
      <c r="O44" s="101"/>
      <c r="P44" s="98"/>
      <c r="Q44" s="98"/>
      <c r="R44" s="91"/>
      <c r="S44" s="99"/>
      <c r="T44" s="91"/>
      <c r="U44" s="99"/>
      <c r="V44" s="94"/>
    </row>
    <row r="45" spans="2:22" ht="20.100000000000001" customHeight="1" x14ac:dyDescent="0.15">
      <c r="B45" s="15">
        <f t="shared" si="0"/>
        <v>42</v>
      </c>
      <c r="C45" s="91"/>
      <c r="D45" s="92"/>
      <c r="E45" s="93"/>
      <c r="F45" s="93"/>
      <c r="G45" s="93"/>
      <c r="H45" s="94"/>
      <c r="I45" s="95"/>
      <c r="J45" s="96"/>
      <c r="K45" s="97"/>
      <c r="L45" s="83">
        <f t="shared" si="3"/>
        <v>0</v>
      </c>
      <c r="M45" s="83">
        <f t="shared" si="2"/>
        <v>0</v>
      </c>
      <c r="N45" s="91"/>
      <c r="O45" s="101"/>
      <c r="P45" s="98"/>
      <c r="Q45" s="98"/>
      <c r="R45" s="91"/>
      <c r="S45" s="99"/>
      <c r="T45" s="91"/>
      <c r="U45" s="99"/>
      <c r="V45" s="94"/>
    </row>
    <row r="46" spans="2:22" ht="20.100000000000001" customHeight="1" x14ac:dyDescent="0.15">
      <c r="B46" s="15">
        <f t="shared" si="0"/>
        <v>43</v>
      </c>
      <c r="C46" s="91"/>
      <c r="D46" s="92"/>
      <c r="E46" s="93"/>
      <c r="F46" s="93"/>
      <c r="G46" s="93"/>
      <c r="H46" s="94"/>
      <c r="I46" s="95"/>
      <c r="J46" s="96"/>
      <c r="K46" s="97"/>
      <c r="L46" s="83">
        <f t="shared" si="3"/>
        <v>0</v>
      </c>
      <c r="M46" s="83">
        <f t="shared" si="2"/>
        <v>0</v>
      </c>
      <c r="N46" s="91"/>
      <c r="O46" s="101"/>
      <c r="P46" s="98"/>
      <c r="Q46" s="98"/>
      <c r="R46" s="91"/>
      <c r="S46" s="99"/>
      <c r="T46" s="91"/>
      <c r="U46" s="99"/>
      <c r="V46" s="94"/>
    </row>
    <row r="47" spans="2:22" ht="20.100000000000001" customHeight="1" x14ac:dyDescent="0.15">
      <c r="B47" s="15">
        <f t="shared" si="0"/>
        <v>44</v>
      </c>
      <c r="C47" s="91"/>
      <c r="D47" s="92"/>
      <c r="E47" s="93"/>
      <c r="F47" s="93"/>
      <c r="G47" s="93"/>
      <c r="H47" s="94"/>
      <c r="I47" s="95"/>
      <c r="J47" s="96"/>
      <c r="K47" s="97"/>
      <c r="L47" s="83">
        <f t="shared" si="3"/>
        <v>0</v>
      </c>
      <c r="M47" s="83">
        <f t="shared" si="2"/>
        <v>0</v>
      </c>
      <c r="N47" s="91"/>
      <c r="O47" s="101"/>
      <c r="P47" s="98"/>
      <c r="Q47" s="98"/>
      <c r="R47" s="91"/>
      <c r="S47" s="99"/>
      <c r="T47" s="91"/>
      <c r="U47" s="99"/>
      <c r="V47" s="94"/>
    </row>
    <row r="48" spans="2:22" ht="20.100000000000001" customHeight="1" x14ac:dyDescent="0.15">
      <c r="B48" s="15">
        <f t="shared" si="0"/>
        <v>45</v>
      </c>
      <c r="C48" s="91"/>
      <c r="D48" s="92"/>
      <c r="E48" s="93"/>
      <c r="F48" s="93"/>
      <c r="G48" s="93"/>
      <c r="H48" s="94"/>
      <c r="I48" s="95"/>
      <c r="J48" s="96"/>
      <c r="K48" s="97"/>
      <c r="L48" s="83">
        <f t="shared" si="3"/>
        <v>0</v>
      </c>
      <c r="M48" s="83">
        <f t="shared" si="2"/>
        <v>0</v>
      </c>
      <c r="N48" s="91"/>
      <c r="O48" s="101"/>
      <c r="P48" s="98"/>
      <c r="Q48" s="98"/>
      <c r="R48" s="91"/>
      <c r="S48" s="99"/>
      <c r="T48" s="91"/>
      <c r="U48" s="99"/>
      <c r="V48" s="94"/>
    </row>
    <row r="49" spans="2:22" ht="20.100000000000001" customHeight="1" x14ac:dyDescent="0.15">
      <c r="B49" s="15">
        <f t="shared" si="0"/>
        <v>46</v>
      </c>
      <c r="C49" s="91"/>
      <c r="D49" s="92"/>
      <c r="E49" s="93"/>
      <c r="F49" s="93"/>
      <c r="G49" s="93"/>
      <c r="H49" s="94"/>
      <c r="I49" s="95"/>
      <c r="J49" s="96"/>
      <c r="K49" s="97"/>
      <c r="L49" s="83">
        <f t="shared" si="3"/>
        <v>0</v>
      </c>
      <c r="M49" s="83">
        <f t="shared" si="2"/>
        <v>0</v>
      </c>
      <c r="N49" s="91"/>
      <c r="O49" s="101"/>
      <c r="P49" s="98"/>
      <c r="Q49" s="98"/>
      <c r="R49" s="91"/>
      <c r="S49" s="99"/>
      <c r="T49" s="91"/>
      <c r="U49" s="99"/>
      <c r="V49" s="94"/>
    </row>
    <row r="50" spans="2:22" ht="20.100000000000001" customHeight="1" x14ac:dyDescent="0.15">
      <c r="B50" s="15">
        <f t="shared" si="0"/>
        <v>47</v>
      </c>
      <c r="C50" s="91"/>
      <c r="D50" s="92"/>
      <c r="E50" s="93"/>
      <c r="F50" s="93"/>
      <c r="G50" s="93"/>
      <c r="H50" s="94"/>
      <c r="I50" s="95"/>
      <c r="J50" s="96"/>
      <c r="K50" s="97"/>
      <c r="L50" s="83">
        <f t="shared" si="3"/>
        <v>0</v>
      </c>
      <c r="M50" s="83">
        <f t="shared" si="2"/>
        <v>0</v>
      </c>
      <c r="N50" s="91"/>
      <c r="O50" s="101"/>
      <c r="P50" s="98"/>
      <c r="Q50" s="98"/>
      <c r="R50" s="91"/>
      <c r="S50" s="99"/>
      <c r="T50" s="91"/>
      <c r="U50" s="99"/>
      <c r="V50" s="94"/>
    </row>
    <row r="51" spans="2:22" ht="20.100000000000001" customHeight="1" x14ac:dyDescent="0.15">
      <c r="B51" s="15">
        <f t="shared" si="0"/>
        <v>48</v>
      </c>
      <c r="C51" s="91"/>
      <c r="D51" s="92"/>
      <c r="E51" s="93"/>
      <c r="F51" s="93"/>
      <c r="G51" s="93"/>
      <c r="H51" s="94"/>
      <c r="I51" s="95"/>
      <c r="J51" s="96"/>
      <c r="K51" s="97"/>
      <c r="L51" s="83">
        <f t="shared" si="3"/>
        <v>0</v>
      </c>
      <c r="M51" s="83">
        <f t="shared" si="2"/>
        <v>0</v>
      </c>
      <c r="N51" s="91"/>
      <c r="O51" s="101"/>
      <c r="P51" s="98"/>
      <c r="Q51" s="98"/>
      <c r="R51" s="91"/>
      <c r="S51" s="99"/>
      <c r="T51" s="91"/>
      <c r="U51" s="99"/>
      <c r="V51" s="94"/>
    </row>
    <row r="52" spans="2:22" ht="20.100000000000001" customHeight="1" x14ac:dyDescent="0.15">
      <c r="B52" s="15">
        <f t="shared" si="0"/>
        <v>49</v>
      </c>
      <c r="C52" s="91"/>
      <c r="D52" s="92"/>
      <c r="E52" s="93"/>
      <c r="F52" s="93"/>
      <c r="G52" s="93"/>
      <c r="H52" s="94"/>
      <c r="I52" s="95"/>
      <c r="J52" s="96"/>
      <c r="K52" s="97"/>
      <c r="L52" s="83">
        <f t="shared" si="3"/>
        <v>0</v>
      </c>
      <c r="M52" s="83">
        <f t="shared" si="2"/>
        <v>0</v>
      </c>
      <c r="N52" s="91"/>
      <c r="O52" s="101"/>
      <c r="P52" s="98"/>
      <c r="Q52" s="98"/>
      <c r="R52" s="91"/>
      <c r="S52" s="99"/>
      <c r="T52" s="91"/>
      <c r="U52" s="99"/>
      <c r="V52" s="94"/>
    </row>
    <row r="53" spans="2:22" ht="20.100000000000001" customHeight="1" x14ac:dyDescent="0.15">
      <c r="B53" s="15">
        <f t="shared" si="0"/>
        <v>50</v>
      </c>
      <c r="C53" s="91"/>
      <c r="D53" s="92"/>
      <c r="E53" s="93"/>
      <c r="F53" s="93"/>
      <c r="G53" s="93"/>
      <c r="H53" s="94"/>
      <c r="I53" s="95"/>
      <c r="J53" s="96"/>
      <c r="K53" s="97"/>
      <c r="L53" s="83">
        <f t="shared" si="3"/>
        <v>0</v>
      </c>
      <c r="M53" s="83">
        <f t="shared" si="2"/>
        <v>0</v>
      </c>
      <c r="N53" s="91"/>
      <c r="O53" s="101"/>
      <c r="P53" s="98"/>
      <c r="Q53" s="98"/>
      <c r="R53" s="91"/>
      <c r="S53" s="99"/>
      <c r="T53" s="91"/>
      <c r="U53" s="99"/>
      <c r="V53" s="94"/>
    </row>
    <row r="54" spans="2:22" ht="20.100000000000001" customHeight="1" x14ac:dyDescent="0.15">
      <c r="B54" s="15">
        <f t="shared" si="0"/>
        <v>51</v>
      </c>
      <c r="C54" s="91"/>
      <c r="D54" s="92"/>
      <c r="E54" s="93"/>
      <c r="F54" s="93"/>
      <c r="G54" s="93"/>
      <c r="H54" s="94"/>
      <c r="I54" s="95"/>
      <c r="J54" s="96"/>
      <c r="K54" s="97"/>
      <c r="L54" s="83">
        <f t="shared" si="3"/>
        <v>0</v>
      </c>
      <c r="M54" s="83">
        <f t="shared" si="2"/>
        <v>0</v>
      </c>
      <c r="N54" s="91"/>
      <c r="O54" s="101"/>
      <c r="P54" s="98"/>
      <c r="Q54" s="98"/>
      <c r="R54" s="91"/>
      <c r="S54" s="99"/>
      <c r="T54" s="91"/>
      <c r="U54" s="99"/>
      <c r="V54" s="94"/>
    </row>
    <row r="55" spans="2:22" ht="20.100000000000001" customHeight="1" x14ac:dyDescent="0.15">
      <c r="B55" s="15">
        <f t="shared" si="0"/>
        <v>52</v>
      </c>
      <c r="C55" s="91"/>
      <c r="D55" s="92"/>
      <c r="E55" s="93"/>
      <c r="F55" s="93"/>
      <c r="G55" s="93"/>
      <c r="H55" s="94"/>
      <c r="I55" s="95"/>
      <c r="J55" s="96"/>
      <c r="K55" s="97"/>
      <c r="L55" s="83">
        <f t="shared" si="3"/>
        <v>0</v>
      </c>
      <c r="M55" s="83">
        <f t="shared" si="2"/>
        <v>0</v>
      </c>
      <c r="N55" s="91"/>
      <c r="O55" s="101"/>
      <c r="P55" s="98"/>
      <c r="Q55" s="98"/>
      <c r="R55" s="91"/>
      <c r="S55" s="99"/>
      <c r="T55" s="91"/>
      <c r="U55" s="99"/>
      <c r="V55" s="94"/>
    </row>
    <row r="56" spans="2:22" ht="20.100000000000001" customHeight="1" x14ac:dyDescent="0.15">
      <c r="B56" s="15">
        <f t="shared" si="0"/>
        <v>53</v>
      </c>
      <c r="C56" s="91"/>
      <c r="D56" s="92"/>
      <c r="E56" s="93"/>
      <c r="F56" s="93"/>
      <c r="G56" s="93"/>
      <c r="H56" s="94"/>
      <c r="I56" s="95"/>
      <c r="J56" s="96"/>
      <c r="K56" s="97"/>
      <c r="L56" s="83">
        <f t="shared" si="3"/>
        <v>0</v>
      </c>
      <c r="M56" s="83">
        <f t="shared" si="2"/>
        <v>0</v>
      </c>
      <c r="N56" s="91"/>
      <c r="O56" s="101"/>
      <c r="P56" s="98"/>
      <c r="Q56" s="98"/>
      <c r="R56" s="91"/>
      <c r="S56" s="99"/>
      <c r="T56" s="91"/>
      <c r="U56" s="99"/>
      <c r="V56" s="94"/>
    </row>
    <row r="57" spans="2:22" ht="20.100000000000001" customHeight="1" x14ac:dyDescent="0.15">
      <c r="B57" s="15">
        <f t="shared" si="0"/>
        <v>54</v>
      </c>
      <c r="C57" s="91"/>
      <c r="D57" s="92"/>
      <c r="E57" s="93"/>
      <c r="F57" s="93"/>
      <c r="G57" s="93"/>
      <c r="H57" s="94"/>
      <c r="I57" s="95"/>
      <c r="J57" s="96"/>
      <c r="K57" s="97"/>
      <c r="L57" s="83">
        <f t="shared" si="3"/>
        <v>0</v>
      </c>
      <c r="M57" s="83">
        <f t="shared" si="2"/>
        <v>0</v>
      </c>
      <c r="N57" s="91"/>
      <c r="O57" s="101"/>
      <c r="P57" s="98"/>
      <c r="Q57" s="98"/>
      <c r="R57" s="91"/>
      <c r="S57" s="99"/>
      <c r="T57" s="91"/>
      <c r="U57" s="99"/>
      <c r="V57" s="94"/>
    </row>
    <row r="58" spans="2:22" ht="20.100000000000001" customHeight="1" x14ac:dyDescent="0.15">
      <c r="B58" s="15">
        <f t="shared" si="0"/>
        <v>55</v>
      </c>
      <c r="C58" s="91"/>
      <c r="D58" s="92"/>
      <c r="E58" s="93"/>
      <c r="F58" s="93"/>
      <c r="G58" s="93"/>
      <c r="H58" s="94"/>
      <c r="I58" s="95"/>
      <c r="J58" s="96"/>
      <c r="K58" s="97"/>
      <c r="L58" s="83">
        <f t="shared" si="3"/>
        <v>0</v>
      </c>
      <c r="M58" s="83">
        <f t="shared" si="2"/>
        <v>0</v>
      </c>
      <c r="N58" s="91"/>
      <c r="O58" s="101"/>
      <c r="P58" s="98"/>
      <c r="Q58" s="98"/>
      <c r="R58" s="91"/>
      <c r="S58" s="99"/>
      <c r="T58" s="91"/>
      <c r="U58" s="99"/>
      <c r="V58" s="94"/>
    </row>
  </sheetData>
  <sheetProtection formatCells="0" formatColumns="0" formatRows="0" insertColumns="0" insertRows="0" insertHyperlinks="0" deleteColumns="0" deleteRows="0" selectLockedCells="1" autoFilter="0" pivotTables="0"/>
  <autoFilter ref="B3:V53" xr:uid="{57836E91-9C59-4531-97B9-336B73A3F649}">
    <sortState xmlns:xlrd2="http://schemas.microsoft.com/office/spreadsheetml/2017/richdata2" ref="B5:V7">
      <sortCondition descending="1" ref="D4:D53"/>
      <sortCondition ref="C4:C53"/>
      <sortCondition ref="E4:E53"/>
      <sortCondition ref="F4:F53"/>
      <sortCondition ref="G4:G53"/>
    </sortState>
  </autoFilter>
  <phoneticPr fontId="6"/>
  <dataValidations count="9">
    <dataValidation type="list" allowBlank="1" showInputMessage="1" showErrorMessage="1" sqref="O4:O58" xr:uid="{DCBB2588-EF4B-4606-8A8F-2D29DB0D6BD0}">
      <formula1>領収書・請求書</formula1>
    </dataValidation>
    <dataValidation type="list" allowBlank="1" showInputMessage="1" showErrorMessage="1" sqref="D4:D58" xr:uid="{A7740215-AE80-4C77-A196-EE3ED137AB2D}">
      <formula1>支出方法</formula1>
    </dataValidation>
    <dataValidation type="list" allowBlank="1" showInputMessage="1" showErrorMessage="1" sqref="U4:U58 S4:S58" xr:uid="{F44B3B14-A890-4A9B-A74D-B05A97D5DF39}">
      <formula1>確認者</formula1>
    </dataValidation>
    <dataValidation type="list" allowBlank="1" showInputMessage="1" showErrorMessage="1" sqref="P4:P58" xr:uid="{6D9E6AA5-C196-4D6A-BC66-DCB1B52A3C4A}">
      <formula1>担当者</formula1>
    </dataValidation>
    <dataValidation type="list" allowBlank="1" showInputMessage="1" showErrorMessage="1" sqref="Q4:Q58" xr:uid="{0A0A76D8-6C50-450E-BD03-02173B41BF9E}">
      <formula1>精算状況</formula1>
    </dataValidation>
    <dataValidation type="list" allowBlank="1" showInputMessage="1" showErrorMessage="1" sqref="J4:J58" xr:uid="{16D5395C-6D1B-4450-BE51-3DE43CCDC15B}">
      <formula1>課税_非課税</formula1>
    </dataValidation>
    <dataValidation type="list" allowBlank="1" showInputMessage="1" showErrorMessage="1" sqref="E4:E58" xr:uid="{0DD22C4E-E555-408F-A3FB-8670BB8DE22E}">
      <formula1>大分類</formula1>
    </dataValidation>
    <dataValidation type="list" allowBlank="1" showInputMessage="1" showErrorMessage="1" sqref="Q2 Q59:Q65311" xr:uid="{4D03B64D-2FD1-48B4-94F9-8F9F1B048740}">
      <formula1>"精算済,未精算"</formula1>
    </dataValidation>
    <dataValidation type="list" allowBlank="1" showInputMessage="1" showErrorMessage="1" sqref="F4:G58" xr:uid="{2AA47BC9-3560-4808-985A-B0990D1C4206}">
      <formula1>INDIRECT(E4)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9" scale="46" fitToHeight="0" orientation="landscape" r:id="rId1"/>
  <headerFooter>
    <oddHeader>&amp;C&amp;"-,太字"&amp;12&amp;A 支出明細(決算対象外)&amp;R&amp;"-,太字" 社外秘</oddHeader>
    <oddFooter>&amp;A&amp;R&amp;P ページ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B87544-3402-435F-B452-5A865A8102B0}">
          <x14:formula1>
            <xm:f>目次!#REF!</xm:f>
          </x14:formula1>
          <xm:sqref>J59:J1048576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7B5F1-7F2D-402A-B412-785565315DA7}">
  <sheetPr codeName="Sheet17"/>
  <dimension ref="A1"/>
  <sheetViews>
    <sheetView showGridLines="0" workbookViewId="0">
      <selection activeCell="I46" sqref="I46"/>
    </sheetView>
  </sheetViews>
  <sheetFormatPr defaultRowHeight="13.5" x14ac:dyDescent="0.15"/>
  <sheetData/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9892A-B4F3-4DFB-A8C4-B1E56638DF82}">
  <sheetPr codeName="Sheet21">
    <pageSetUpPr fitToPage="1"/>
  </sheetPr>
  <dimension ref="B1:M22"/>
  <sheetViews>
    <sheetView showGridLines="0" view="pageBreakPreview" zoomScale="115" zoomScaleNormal="100" zoomScaleSheetLayoutView="115" workbookViewId="0">
      <pane xSplit="7" ySplit="2" topLeftCell="H3" activePane="bottomRight" state="frozen"/>
      <selection activeCell="I46" sqref="I46"/>
      <selection pane="topRight" activeCell="I46" sqref="I46"/>
      <selection pane="bottomLeft" activeCell="I46" sqref="I46"/>
      <selection pane="bottomRight" activeCell="G15" sqref="G15"/>
    </sheetView>
  </sheetViews>
  <sheetFormatPr defaultColWidth="10.5" defaultRowHeight="13.5" x14ac:dyDescent="0.15"/>
  <cols>
    <col min="1" max="1" width="1.5" style="20" customWidth="1"/>
    <col min="2" max="2" width="3.5" style="38" bestFit="1" customWidth="1"/>
    <col min="3" max="3" width="6.25" style="38" bestFit="1" customWidth="1"/>
    <col min="4" max="4" width="11.625" style="39" bestFit="1" customWidth="1"/>
    <col min="5" max="5" width="13" style="40" bestFit="1" customWidth="1"/>
    <col min="6" max="6" width="9.5" style="40" bestFit="1" customWidth="1"/>
    <col min="7" max="7" width="26.875" style="41" bestFit="1" customWidth="1"/>
    <col min="8" max="8" width="10.375" style="42" bestFit="1" customWidth="1"/>
    <col min="9" max="9" width="11.625" style="39" bestFit="1" customWidth="1"/>
    <col min="10" max="10" width="8.125" style="40" bestFit="1" customWidth="1"/>
    <col min="11" max="11" width="11.625" style="39" bestFit="1" customWidth="1"/>
    <col min="12" max="12" width="8.125" style="40" bestFit="1" customWidth="1"/>
    <col min="13" max="13" width="29" style="43" customWidth="1"/>
    <col min="14" max="14" width="1.5" style="20" customWidth="1"/>
    <col min="15" max="16384" width="10.5" style="20"/>
  </cols>
  <sheetData>
    <row r="1" spans="2:13" x14ac:dyDescent="0.15">
      <c r="B1" s="77"/>
      <c r="C1" s="77"/>
      <c r="D1" s="77"/>
      <c r="E1" s="77"/>
      <c r="F1" s="77"/>
      <c r="G1" s="77"/>
      <c r="H1" s="74">
        <f>SUM(H3:H22)</f>
        <v>3731600</v>
      </c>
      <c r="I1" s="75"/>
      <c r="J1" s="76"/>
      <c r="K1" s="75"/>
      <c r="L1" s="76"/>
      <c r="M1" s="76"/>
    </row>
    <row r="2" spans="2:13" ht="42" customHeight="1" x14ac:dyDescent="0.15">
      <c r="B2" s="21" t="s">
        <v>1</v>
      </c>
      <c r="C2" s="22" t="s">
        <v>13</v>
      </c>
      <c r="D2" s="23" t="s">
        <v>14</v>
      </c>
      <c r="E2" s="24" t="s">
        <v>15</v>
      </c>
      <c r="F2" s="25" t="s">
        <v>2</v>
      </c>
      <c r="G2" s="23" t="s">
        <v>3</v>
      </c>
      <c r="H2" s="26" t="s">
        <v>16</v>
      </c>
      <c r="I2" s="26" t="s">
        <v>17</v>
      </c>
      <c r="J2" s="26" t="s">
        <v>18</v>
      </c>
      <c r="K2" s="26" t="s">
        <v>19</v>
      </c>
      <c r="L2" s="26" t="s">
        <v>20</v>
      </c>
      <c r="M2" s="26" t="s">
        <v>10</v>
      </c>
    </row>
    <row r="3" spans="2:13" x14ac:dyDescent="0.15">
      <c r="B3" s="45">
        <f t="shared" ref="B3:B22" si="0">ROW()-2</f>
        <v>1</v>
      </c>
      <c r="C3" s="46" t="s">
        <v>11</v>
      </c>
      <c r="D3" s="47">
        <v>43034</v>
      </c>
      <c r="E3" s="17" t="s">
        <v>21</v>
      </c>
      <c r="F3" s="48" t="s">
        <v>22</v>
      </c>
      <c r="G3" s="78" t="s">
        <v>23</v>
      </c>
      <c r="H3" s="79">
        <v>1742000</v>
      </c>
      <c r="I3" s="47">
        <v>43404</v>
      </c>
      <c r="J3" s="48" t="s">
        <v>8</v>
      </c>
      <c r="K3" s="47">
        <v>43404</v>
      </c>
      <c r="L3" s="48" t="s">
        <v>9</v>
      </c>
      <c r="M3" s="49"/>
    </row>
    <row r="4" spans="2:13" x14ac:dyDescent="0.15">
      <c r="B4" s="45">
        <f t="shared" si="0"/>
        <v>2</v>
      </c>
      <c r="C4" s="46" t="s">
        <v>11</v>
      </c>
      <c r="D4" s="47">
        <v>43171</v>
      </c>
      <c r="E4" s="17" t="s">
        <v>24</v>
      </c>
      <c r="F4" s="48" t="s">
        <v>22</v>
      </c>
      <c r="G4" s="78" t="s">
        <v>25</v>
      </c>
      <c r="H4" s="79">
        <v>156400</v>
      </c>
      <c r="I4" s="47">
        <v>43190</v>
      </c>
      <c r="J4" s="48" t="s">
        <v>8</v>
      </c>
      <c r="K4" s="47">
        <v>43190</v>
      </c>
      <c r="L4" s="48" t="s">
        <v>9</v>
      </c>
      <c r="M4" s="80" t="s">
        <v>26</v>
      </c>
    </row>
    <row r="5" spans="2:13" x14ac:dyDescent="0.15">
      <c r="B5" s="45">
        <f t="shared" si="0"/>
        <v>3</v>
      </c>
      <c r="C5" s="46" t="s">
        <v>11</v>
      </c>
      <c r="D5" s="47">
        <v>43215</v>
      </c>
      <c r="E5" s="17" t="s">
        <v>24</v>
      </c>
      <c r="F5" s="48" t="s">
        <v>22</v>
      </c>
      <c r="G5" s="78" t="s">
        <v>27</v>
      </c>
      <c r="H5" s="50">
        <v>145000</v>
      </c>
      <c r="I5" s="47">
        <v>43228</v>
      </c>
      <c r="J5" s="48" t="s">
        <v>8</v>
      </c>
      <c r="K5" s="47">
        <v>43228</v>
      </c>
      <c r="L5" s="48" t="s">
        <v>9</v>
      </c>
      <c r="M5" s="80" t="s">
        <v>28</v>
      </c>
    </row>
    <row r="6" spans="2:13" x14ac:dyDescent="0.15">
      <c r="B6" s="27">
        <f t="shared" si="0"/>
        <v>4</v>
      </c>
      <c r="C6" s="125" t="s">
        <v>131</v>
      </c>
      <c r="D6" s="35">
        <v>43830</v>
      </c>
      <c r="E6" s="29" t="s">
        <v>24</v>
      </c>
      <c r="F6" s="30" t="s">
        <v>22</v>
      </c>
      <c r="G6" s="139" t="s">
        <v>145</v>
      </c>
      <c r="H6" s="36">
        <v>-145000</v>
      </c>
      <c r="I6" s="35">
        <v>43830</v>
      </c>
      <c r="J6" s="44" t="s">
        <v>8</v>
      </c>
      <c r="K6" s="35"/>
      <c r="L6" s="18"/>
      <c r="M6" s="140" t="s">
        <v>149</v>
      </c>
    </row>
    <row r="7" spans="2:13" x14ac:dyDescent="0.15">
      <c r="B7" s="45">
        <f t="shared" si="0"/>
        <v>5</v>
      </c>
      <c r="C7" s="46" t="s">
        <v>11</v>
      </c>
      <c r="D7" s="47">
        <v>43250</v>
      </c>
      <c r="E7" s="17" t="s">
        <v>24</v>
      </c>
      <c r="F7" s="48" t="s">
        <v>22</v>
      </c>
      <c r="G7" s="78" t="s">
        <v>29</v>
      </c>
      <c r="H7" s="50">
        <v>157400</v>
      </c>
      <c r="I7" s="47">
        <v>43250</v>
      </c>
      <c r="J7" s="48" t="s">
        <v>8</v>
      </c>
      <c r="K7" s="47">
        <v>43250</v>
      </c>
      <c r="L7" s="48" t="s">
        <v>9</v>
      </c>
      <c r="M7" s="80" t="s">
        <v>28</v>
      </c>
    </row>
    <row r="8" spans="2:13" ht="15" customHeight="1" x14ac:dyDescent="0.15">
      <c r="B8" s="45">
        <f t="shared" si="0"/>
        <v>6</v>
      </c>
      <c r="C8" s="46" t="s">
        <v>12</v>
      </c>
      <c r="D8" s="47">
        <v>43308</v>
      </c>
      <c r="E8" s="17" t="s">
        <v>30</v>
      </c>
      <c r="F8" s="48" t="s">
        <v>22</v>
      </c>
      <c r="G8" s="80" t="s">
        <v>31</v>
      </c>
      <c r="H8" s="50">
        <v>204000</v>
      </c>
      <c r="I8" s="47">
        <v>43315</v>
      </c>
      <c r="J8" s="48" t="s">
        <v>8</v>
      </c>
      <c r="K8" s="47">
        <v>43315</v>
      </c>
      <c r="L8" s="48" t="s">
        <v>9</v>
      </c>
      <c r="M8" s="80" t="s">
        <v>26</v>
      </c>
    </row>
    <row r="9" spans="2:13" x14ac:dyDescent="0.15">
      <c r="B9" s="45">
        <f t="shared" si="0"/>
        <v>7</v>
      </c>
      <c r="C9" s="46" t="s">
        <v>12</v>
      </c>
      <c r="D9" s="47">
        <v>43368</v>
      </c>
      <c r="E9" s="17" t="s">
        <v>24</v>
      </c>
      <c r="F9" s="48" t="s">
        <v>22</v>
      </c>
      <c r="G9" s="17" t="s">
        <v>32</v>
      </c>
      <c r="H9" s="50">
        <v>235600</v>
      </c>
      <c r="I9" s="47">
        <v>43368</v>
      </c>
      <c r="J9" s="51" t="s">
        <v>8</v>
      </c>
      <c r="K9" s="47">
        <v>43368</v>
      </c>
      <c r="L9" s="48" t="s">
        <v>9</v>
      </c>
      <c r="M9" s="17" t="s">
        <v>33</v>
      </c>
    </row>
    <row r="10" spans="2:13" x14ac:dyDescent="0.15">
      <c r="B10" s="45">
        <f t="shared" si="0"/>
        <v>8</v>
      </c>
      <c r="C10" s="46" t="s">
        <v>12</v>
      </c>
      <c r="D10" s="47">
        <v>43321</v>
      </c>
      <c r="E10" s="17" t="s">
        <v>24</v>
      </c>
      <c r="F10" s="48" t="s">
        <v>22</v>
      </c>
      <c r="G10" s="78" t="s">
        <v>34</v>
      </c>
      <c r="H10" s="50">
        <v>168400</v>
      </c>
      <c r="I10" s="47">
        <v>43321</v>
      </c>
      <c r="J10" s="48" t="s">
        <v>8</v>
      </c>
      <c r="K10" s="47">
        <v>43321</v>
      </c>
      <c r="L10" s="48" t="s">
        <v>9</v>
      </c>
      <c r="M10" s="80" t="s">
        <v>28</v>
      </c>
    </row>
    <row r="11" spans="2:13" x14ac:dyDescent="0.15">
      <c r="B11" s="45">
        <f t="shared" si="0"/>
        <v>9</v>
      </c>
      <c r="C11" s="45" t="s">
        <v>12</v>
      </c>
      <c r="D11" s="47">
        <v>43426</v>
      </c>
      <c r="E11" s="17" t="s">
        <v>24</v>
      </c>
      <c r="F11" s="48" t="s">
        <v>22</v>
      </c>
      <c r="G11" s="17" t="s">
        <v>35</v>
      </c>
      <c r="H11" s="50">
        <v>156200</v>
      </c>
      <c r="I11" s="47">
        <v>43426</v>
      </c>
      <c r="J11" s="51" t="s">
        <v>8</v>
      </c>
      <c r="K11" s="47">
        <v>43426</v>
      </c>
      <c r="L11" s="48" t="s">
        <v>9</v>
      </c>
      <c r="M11" s="80" t="s">
        <v>28</v>
      </c>
    </row>
    <row r="12" spans="2:13" x14ac:dyDescent="0.15">
      <c r="B12" s="45">
        <f t="shared" si="0"/>
        <v>10</v>
      </c>
      <c r="C12" s="45" t="s">
        <v>12</v>
      </c>
      <c r="D12" s="47">
        <v>43603</v>
      </c>
      <c r="E12" s="17" t="s">
        <v>24</v>
      </c>
      <c r="F12" s="48" t="s">
        <v>22</v>
      </c>
      <c r="G12" s="17" t="s">
        <v>36</v>
      </c>
      <c r="H12" s="50">
        <v>158200</v>
      </c>
      <c r="I12" s="47">
        <v>43599</v>
      </c>
      <c r="J12" s="51" t="s">
        <v>8</v>
      </c>
      <c r="K12" s="47">
        <v>43599</v>
      </c>
      <c r="L12" s="48" t="s">
        <v>9</v>
      </c>
      <c r="M12" s="49"/>
    </row>
    <row r="13" spans="2:13" x14ac:dyDescent="0.15">
      <c r="B13" s="45">
        <f t="shared" si="0"/>
        <v>11</v>
      </c>
      <c r="C13" s="45" t="s">
        <v>12</v>
      </c>
      <c r="D13" s="47">
        <v>43600</v>
      </c>
      <c r="E13" s="17" t="s">
        <v>24</v>
      </c>
      <c r="F13" s="48" t="s">
        <v>22</v>
      </c>
      <c r="G13" s="78" t="s">
        <v>129</v>
      </c>
      <c r="H13" s="50">
        <v>148000</v>
      </c>
      <c r="I13" s="47">
        <v>43600</v>
      </c>
      <c r="J13" s="51" t="s">
        <v>8</v>
      </c>
      <c r="K13" s="47">
        <v>43600</v>
      </c>
      <c r="L13" s="48" t="s">
        <v>9</v>
      </c>
      <c r="M13" s="49"/>
    </row>
    <row r="14" spans="2:13" x14ac:dyDescent="0.15">
      <c r="B14" s="45">
        <f t="shared" si="0"/>
        <v>12</v>
      </c>
      <c r="C14" s="45" t="s">
        <v>12</v>
      </c>
      <c r="D14" s="47">
        <v>43605</v>
      </c>
      <c r="E14" s="17" t="s">
        <v>24</v>
      </c>
      <c r="F14" s="48" t="s">
        <v>22</v>
      </c>
      <c r="G14" s="17" t="s">
        <v>130</v>
      </c>
      <c r="H14" s="50">
        <v>149400</v>
      </c>
      <c r="I14" s="47">
        <v>43605</v>
      </c>
      <c r="J14" s="51" t="s">
        <v>8</v>
      </c>
      <c r="K14" s="47">
        <v>43605</v>
      </c>
      <c r="L14" s="48" t="s">
        <v>9</v>
      </c>
      <c r="M14" s="49"/>
    </row>
    <row r="15" spans="2:13" x14ac:dyDescent="0.15">
      <c r="B15" s="27">
        <f t="shared" si="0"/>
        <v>13</v>
      </c>
      <c r="C15" s="125" t="s">
        <v>131</v>
      </c>
      <c r="D15" s="35">
        <v>43982</v>
      </c>
      <c r="E15" s="29" t="s">
        <v>24</v>
      </c>
      <c r="F15" s="30" t="s">
        <v>22</v>
      </c>
      <c r="G15" s="139" t="s">
        <v>150</v>
      </c>
      <c r="H15" s="36">
        <v>-149400</v>
      </c>
      <c r="I15" s="35">
        <v>43982</v>
      </c>
      <c r="J15" s="44" t="s">
        <v>8</v>
      </c>
      <c r="K15" s="35"/>
      <c r="L15" s="18"/>
      <c r="M15" s="140" t="s">
        <v>149</v>
      </c>
    </row>
    <row r="16" spans="2:13" x14ac:dyDescent="0.15">
      <c r="B16" s="27">
        <f t="shared" si="0"/>
        <v>14</v>
      </c>
      <c r="C16" s="125" t="s">
        <v>131</v>
      </c>
      <c r="D16" s="35">
        <v>44013</v>
      </c>
      <c r="E16" s="29" t="s">
        <v>24</v>
      </c>
      <c r="F16" s="30" t="s">
        <v>22</v>
      </c>
      <c r="G16" s="31" t="s">
        <v>144</v>
      </c>
      <c r="H16" s="36">
        <v>148000</v>
      </c>
      <c r="I16" s="28">
        <v>43663</v>
      </c>
      <c r="J16" s="44" t="s">
        <v>8</v>
      </c>
      <c r="K16" s="35"/>
      <c r="L16" s="18"/>
      <c r="M16" s="19"/>
    </row>
    <row r="17" spans="2:13" x14ac:dyDescent="0.15">
      <c r="B17" s="27">
        <f t="shared" si="0"/>
        <v>15</v>
      </c>
      <c r="C17" s="125" t="s">
        <v>131</v>
      </c>
      <c r="D17" s="35">
        <v>44104</v>
      </c>
      <c r="E17" s="29" t="s">
        <v>24</v>
      </c>
      <c r="F17" s="30" t="s">
        <v>22</v>
      </c>
      <c r="G17" s="139" t="s">
        <v>147</v>
      </c>
      <c r="H17" s="36">
        <v>-148000</v>
      </c>
      <c r="I17" s="35">
        <v>43738</v>
      </c>
      <c r="J17" s="44" t="s">
        <v>8</v>
      </c>
      <c r="K17" s="35"/>
      <c r="L17" s="18"/>
      <c r="M17" s="140" t="s">
        <v>148</v>
      </c>
    </row>
    <row r="18" spans="2:13" x14ac:dyDescent="0.15">
      <c r="B18" s="27">
        <f t="shared" si="0"/>
        <v>16</v>
      </c>
      <c r="C18" s="8" t="s">
        <v>131</v>
      </c>
      <c r="D18" s="28">
        <v>43663</v>
      </c>
      <c r="E18" s="29" t="s">
        <v>24</v>
      </c>
      <c r="F18" s="30" t="s">
        <v>22</v>
      </c>
      <c r="G18" s="31" t="s">
        <v>129</v>
      </c>
      <c r="H18" s="34">
        <v>147000</v>
      </c>
      <c r="I18" s="28">
        <v>43663</v>
      </c>
      <c r="J18" s="44" t="s">
        <v>8</v>
      </c>
      <c r="K18" s="28">
        <v>43663</v>
      </c>
      <c r="L18" s="44"/>
      <c r="M18" s="32"/>
    </row>
    <row r="19" spans="2:13" x14ac:dyDescent="0.15">
      <c r="B19" s="27">
        <f t="shared" si="0"/>
        <v>17</v>
      </c>
      <c r="C19" s="125" t="s">
        <v>131</v>
      </c>
      <c r="D19" s="35">
        <v>43717</v>
      </c>
      <c r="E19" s="29" t="s">
        <v>24</v>
      </c>
      <c r="F19" s="30" t="s">
        <v>22</v>
      </c>
      <c r="G19" s="31" t="s">
        <v>134</v>
      </c>
      <c r="H19" s="36">
        <v>150600</v>
      </c>
      <c r="I19" s="35">
        <v>43717</v>
      </c>
      <c r="J19" s="44" t="s">
        <v>8</v>
      </c>
      <c r="K19" s="35"/>
      <c r="L19" s="18"/>
      <c r="M19" s="19"/>
    </row>
    <row r="20" spans="2:13" x14ac:dyDescent="0.15">
      <c r="B20" s="27">
        <f t="shared" si="0"/>
        <v>18</v>
      </c>
      <c r="C20" s="125" t="s">
        <v>131</v>
      </c>
      <c r="D20" s="35">
        <v>43726</v>
      </c>
      <c r="E20" s="29" t="s">
        <v>24</v>
      </c>
      <c r="F20" s="30" t="s">
        <v>22</v>
      </c>
      <c r="G20" s="31" t="s">
        <v>135</v>
      </c>
      <c r="H20" s="36">
        <v>150600</v>
      </c>
      <c r="I20" s="35">
        <v>43695</v>
      </c>
      <c r="J20" s="44" t="s">
        <v>8</v>
      </c>
      <c r="K20" s="35"/>
      <c r="L20" s="18"/>
      <c r="M20" s="19"/>
    </row>
    <row r="21" spans="2:13" x14ac:dyDescent="0.15">
      <c r="B21" s="27">
        <f t="shared" si="0"/>
        <v>19</v>
      </c>
      <c r="C21" s="125" t="s">
        <v>131</v>
      </c>
      <c r="D21" s="35">
        <v>43769</v>
      </c>
      <c r="E21" s="29" t="s">
        <v>24</v>
      </c>
      <c r="F21" s="30" t="s">
        <v>22</v>
      </c>
      <c r="G21" s="139" t="s">
        <v>146</v>
      </c>
      <c r="H21" s="36">
        <v>157200</v>
      </c>
      <c r="I21" s="35">
        <v>43769</v>
      </c>
      <c r="J21" s="44" t="s">
        <v>8</v>
      </c>
      <c r="K21" s="35"/>
      <c r="L21" s="18"/>
      <c r="M21" s="19"/>
    </row>
    <row r="22" spans="2:13" x14ac:dyDescent="0.15">
      <c r="B22" s="27">
        <f t="shared" si="0"/>
        <v>20</v>
      </c>
      <c r="C22" s="125" t="s">
        <v>131</v>
      </c>
      <c r="D22" s="35"/>
      <c r="E22" s="18"/>
      <c r="F22" s="18"/>
      <c r="G22" s="37"/>
      <c r="H22" s="36"/>
      <c r="I22" s="35"/>
      <c r="J22" s="18"/>
      <c r="K22" s="35"/>
      <c r="L22" s="18"/>
      <c r="M22" s="19"/>
    </row>
  </sheetData>
  <phoneticPr fontId="6"/>
  <conditionalFormatting sqref="M1 M5:M8 H3 M3 J3:J9">
    <cfRule type="expression" dxfId="40" priority="40">
      <formula>#REF!="精算済"</formula>
    </cfRule>
  </conditionalFormatting>
  <conditionalFormatting sqref="M1">
    <cfRule type="expression" dxfId="39" priority="41">
      <formula>#REF!="精算済"</formula>
    </cfRule>
  </conditionalFormatting>
  <conditionalFormatting sqref="M9 D8:D10 D3">
    <cfRule type="expression" dxfId="38" priority="38">
      <formula>#REF!="精算済"</formula>
    </cfRule>
  </conditionalFormatting>
  <conditionalFormatting sqref="H8:I8 I3 K3 H4:H7 E4:F6 E8:F8 D3 G3 L3:L17">
    <cfRule type="expression" dxfId="37" priority="39">
      <formula>#REF!="精算済"</formula>
    </cfRule>
  </conditionalFormatting>
  <conditionalFormatting sqref="F9">
    <cfRule type="expression" dxfId="36" priority="37">
      <formula>#REF!="精算済"</formula>
    </cfRule>
  </conditionalFormatting>
  <conditionalFormatting sqref="M4">
    <cfRule type="expression" dxfId="35" priority="36">
      <formula>#REF!="精算済"</formula>
    </cfRule>
  </conditionalFormatting>
  <conditionalFormatting sqref="E3">
    <cfRule type="expression" dxfId="34" priority="35">
      <formula>#REF!="精算済"</formula>
    </cfRule>
  </conditionalFormatting>
  <conditionalFormatting sqref="H9">
    <cfRule type="expression" dxfId="33" priority="33">
      <formula>#REF!="精算済"</formula>
    </cfRule>
  </conditionalFormatting>
  <conditionalFormatting sqref="G8:G9">
    <cfRule type="expression" dxfId="32" priority="34">
      <formula>#REF!="精算済"</formula>
    </cfRule>
  </conditionalFormatting>
  <conditionalFormatting sqref="E9">
    <cfRule type="expression" dxfId="31" priority="32">
      <formula>#REF!="精算済"</formula>
    </cfRule>
  </conditionalFormatting>
  <conditionalFormatting sqref="I9">
    <cfRule type="expression" dxfId="30" priority="31">
      <formula>#REF!="精算済"</formula>
    </cfRule>
  </conditionalFormatting>
  <conditionalFormatting sqref="I9">
    <cfRule type="expression" dxfId="29" priority="30">
      <formula>#REF!="精算済"</formula>
    </cfRule>
  </conditionalFormatting>
  <conditionalFormatting sqref="I9">
    <cfRule type="expression" dxfId="28" priority="28">
      <formula>#REF!="精算済"</formula>
    </cfRule>
  </conditionalFormatting>
  <conditionalFormatting sqref="I9">
    <cfRule type="expression" dxfId="27" priority="29">
      <formula>#REF!="精算済"</formula>
    </cfRule>
  </conditionalFormatting>
  <conditionalFormatting sqref="I9">
    <cfRule type="expression" dxfId="26" priority="27">
      <formula>#REF!="精算済"</formula>
    </cfRule>
  </conditionalFormatting>
  <conditionalFormatting sqref="I9">
    <cfRule type="expression" dxfId="25" priority="26">
      <formula>#REF!="精算済"</formula>
    </cfRule>
  </conditionalFormatting>
  <conditionalFormatting sqref="F3">
    <cfRule type="expression" dxfId="24" priority="25">
      <formula>#REF!="精算済"</formula>
    </cfRule>
  </conditionalFormatting>
  <conditionalFormatting sqref="H4:H7">
    <cfRule type="expression" dxfId="23" priority="24">
      <formula>#REF!="精算済"</formula>
    </cfRule>
  </conditionalFormatting>
  <conditionalFormatting sqref="D5:D6">
    <cfRule type="expression" dxfId="22" priority="23">
      <formula>#REF!="精算済"</formula>
    </cfRule>
  </conditionalFormatting>
  <conditionalFormatting sqref="D4:D6">
    <cfRule type="expression" dxfId="21" priority="22">
      <formula>#REF!="精算済"</formula>
    </cfRule>
  </conditionalFormatting>
  <conditionalFormatting sqref="H5:H7">
    <cfRule type="expression" dxfId="20" priority="21">
      <formula>#REF!="精算済"</formula>
    </cfRule>
  </conditionalFormatting>
  <conditionalFormatting sqref="M3">
    <cfRule type="expression" dxfId="19" priority="20">
      <formula>#REF!="精算済"</formula>
    </cfRule>
  </conditionalFormatting>
  <conditionalFormatting sqref="D4">
    <cfRule type="expression" dxfId="18" priority="19">
      <formula>#REF!="精算済"</formula>
    </cfRule>
  </conditionalFormatting>
  <conditionalFormatting sqref="I5:I7">
    <cfRule type="expression" dxfId="17" priority="18">
      <formula>#REF!="精算済"</formula>
    </cfRule>
  </conditionalFormatting>
  <conditionalFormatting sqref="I4:I7">
    <cfRule type="expression" dxfId="16" priority="17">
      <formula>#REF!="精算済"</formula>
    </cfRule>
  </conditionalFormatting>
  <conditionalFormatting sqref="I4">
    <cfRule type="expression" dxfId="15" priority="16">
      <formula>#REF!="精算済"</formula>
    </cfRule>
  </conditionalFormatting>
  <conditionalFormatting sqref="K5:K7">
    <cfRule type="expression" dxfId="14" priority="15">
      <formula>#REF!="精算済"</formula>
    </cfRule>
  </conditionalFormatting>
  <conditionalFormatting sqref="K4:K7">
    <cfRule type="expression" dxfId="13" priority="14">
      <formula>#REF!="精算済"</formula>
    </cfRule>
  </conditionalFormatting>
  <conditionalFormatting sqref="K4">
    <cfRule type="expression" dxfId="12" priority="13">
      <formula>#REF!="精算済"</formula>
    </cfRule>
  </conditionalFormatting>
  <conditionalFormatting sqref="D7">
    <cfRule type="expression" dxfId="11" priority="12">
      <formula>#REF!="精算済"</formula>
    </cfRule>
  </conditionalFormatting>
  <conditionalFormatting sqref="F7">
    <cfRule type="expression" dxfId="10" priority="11">
      <formula>#REF!="精算済"</formula>
    </cfRule>
  </conditionalFormatting>
  <conditionalFormatting sqref="E7">
    <cfRule type="expression" dxfId="9" priority="10">
      <formula>#REF!="精算済"</formula>
    </cfRule>
  </conditionalFormatting>
  <conditionalFormatting sqref="G7">
    <cfRule type="expression" dxfId="8" priority="9">
      <formula>#REF!="精算済"</formula>
    </cfRule>
  </conditionalFormatting>
  <conditionalFormatting sqref="F10">
    <cfRule type="expression" dxfId="7" priority="8">
      <formula>#REF!="精算済"</formula>
    </cfRule>
  </conditionalFormatting>
  <conditionalFormatting sqref="K8">
    <cfRule type="expression" dxfId="6" priority="7">
      <formula>#REF!="精算済"</formula>
    </cfRule>
  </conditionalFormatting>
  <conditionalFormatting sqref="K9">
    <cfRule type="expression" dxfId="5" priority="6">
      <formula>#REF!="精算済"</formula>
    </cfRule>
  </conditionalFormatting>
  <conditionalFormatting sqref="K9">
    <cfRule type="expression" dxfId="4" priority="5">
      <formula>#REF!="精算済"</formula>
    </cfRule>
  </conditionalFormatting>
  <conditionalFormatting sqref="K9">
    <cfRule type="expression" dxfId="3" priority="3">
      <formula>#REF!="精算済"</formula>
    </cfRule>
  </conditionalFormatting>
  <conditionalFormatting sqref="K9">
    <cfRule type="expression" dxfId="2" priority="4">
      <formula>#REF!="精算済"</formula>
    </cfRule>
  </conditionalFormatting>
  <conditionalFormatting sqref="K9">
    <cfRule type="expression" dxfId="1" priority="2">
      <formula>#REF!="精算済"</formula>
    </cfRule>
  </conditionalFormatting>
  <conditionalFormatting sqref="K9">
    <cfRule type="expression" dxfId="0" priority="1">
      <formula>#REF!="精算済"</formula>
    </cfRule>
  </conditionalFormatting>
  <pageMargins left="0.70866141732283472" right="0.70866141732283472" top="0.74803149606299213" bottom="0.74803149606299213" header="0.31496062992125984" footer="0.31496062992125984"/>
  <pageSetup paperSize="9" scale="8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19</vt:i4>
      </vt:variant>
    </vt:vector>
  </HeadingPairs>
  <TitlesOfParts>
    <vt:vector size="26" baseType="lpstr">
      <vt:lpstr>目次</vt:lpstr>
      <vt:lpstr>合計</vt:lpstr>
      <vt:lpstr>消費税</vt:lpstr>
      <vt:lpstr>▲</vt:lpstr>
      <vt:lpstr>202007</vt:lpstr>
      <vt:lpstr>←</vt:lpstr>
      <vt:lpstr>敷金</vt:lpstr>
      <vt:lpstr>その他</vt:lpstr>
      <vt:lpstr>課税_非課税</vt:lpstr>
      <vt:lpstr>確認者</vt:lpstr>
      <vt:lpstr>給料</vt:lpstr>
      <vt:lpstr>源泉所得・保険</vt:lpstr>
      <vt:lpstr>固定資産</vt:lpstr>
      <vt:lpstr>支出方法</vt:lpstr>
      <vt:lpstr>資産</vt:lpstr>
      <vt:lpstr>消費税</vt:lpstr>
      <vt:lpstr>精算状況</vt:lpstr>
      <vt:lpstr>大分類</vt:lpstr>
      <vt:lpstr>担当者</vt:lpstr>
      <vt:lpstr>短期貸付金</vt:lpstr>
      <vt:lpstr>投資</vt:lpstr>
      <vt:lpstr>当期未決済費用</vt:lpstr>
      <vt:lpstr>敷金</vt:lpstr>
      <vt:lpstr>保証料</vt:lpstr>
      <vt:lpstr>未決済</vt:lpstr>
      <vt:lpstr>領収書・請求書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sxrsing</cp:lastModifiedBy>
  <cp:lastPrinted>2020-06-30T08:09:38Z</cp:lastPrinted>
  <dcterms:created xsi:type="dcterms:W3CDTF">2006-09-13T11:12:02Z</dcterms:created>
  <dcterms:modified xsi:type="dcterms:W3CDTF">2020-08-26T10:05:52Z</dcterms:modified>
</cp:coreProperties>
</file>