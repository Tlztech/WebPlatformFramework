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xrsing\Google ドライブ\TLZS Inc\70 TLZSサービス\00 社内システム開発\開発PS１\"/>
    </mc:Choice>
  </mc:AlternateContent>
  <xr:revisionPtr revIDLastSave="0" documentId="13_ncr:1_{8D1917AD-6DDA-401E-A2BC-846C854F90F9}" xr6:coauthVersionLast="45" xr6:coauthVersionMax="45" xr10:uidLastSave="{00000000-0000-0000-0000-000000000000}"/>
  <bookViews>
    <workbookView xWindow="-120" yWindow="-120" windowWidth="29040" windowHeight="15840" tabRatio="774" xr2:uid="{00000000-000D-0000-FFFF-FFFF00000000}"/>
  </bookViews>
  <sheets>
    <sheet name="目次" sheetId="10" r:id="rId1"/>
    <sheet name="合計" sheetId="88" r:id="rId2"/>
    <sheet name="消費税" sheetId="91" r:id="rId3"/>
    <sheet name="配賦費" sheetId="104" r:id="rId4"/>
    <sheet name="▲" sheetId="75" r:id="rId5"/>
    <sheet name="202007" sheetId="119" r:id="rId6"/>
  </sheets>
  <functionGroups builtInGroupCount="19"/>
  <definedNames>
    <definedName name="_xlnm._FilterDatabase" localSheetId="4" hidden="1">▲!$A$2:$C$2</definedName>
    <definedName name="_xlnm._FilterDatabase" localSheetId="5" hidden="1">'202007'!$A$3:$W$3</definedName>
    <definedName name="_xlnm._FilterDatabase" localSheetId="1" hidden="1">合計!#REF!</definedName>
    <definedName name="_xlnm._FilterDatabase" localSheetId="2" hidden="1">消費税!#REF!</definedName>
    <definedName name="_xlnm._FilterDatabase" localSheetId="3" hidden="1">配賦費!#REF!</definedName>
    <definedName name="_xlnm.Print_Area" localSheetId="5">'202007'!$A$1:$X$95</definedName>
    <definedName name="_xlnm.Print_Titles" localSheetId="5">'202007'!$1:$3</definedName>
    <definedName name="その他">▲!$K$3:$K$18</definedName>
    <definedName name="営業費用">▲!$G$3:$G$18</definedName>
    <definedName name="課税_非課税">▲!$P$3:$P$18</definedName>
    <definedName name="各種管理">▲!$L$3:$L$18</definedName>
    <definedName name="確認者">▲!$T$3:$T$18</definedName>
    <definedName name="固定資産">▲!$H$3:$H$18</definedName>
    <definedName name="支出方法">▲!$B$3:$B$18</definedName>
    <definedName name="事務所">▲!$E$3:$E$18</definedName>
    <definedName name="事務費用">▲!$F$3:$F$18</definedName>
    <definedName name="消費税率">▲!$Q$3:$Q$18</definedName>
    <definedName name="人材募集">▲!$J$3:$J$18</definedName>
    <definedName name="精算状況">▲!$U$3:$U$18</definedName>
    <definedName name="大分類">▲!$C$3:$C$18</definedName>
    <definedName name="担当者">▲!$S$3:$S$18</definedName>
    <definedName name="東京本社">▲!$M$3:$M$18</definedName>
    <definedName name="配賦費">▲!$D$3:$D$18</definedName>
    <definedName name="福利厚生費">▲!$I$3:$I$18</definedName>
    <definedName name="北京支社">▲!$O$3:$O$18</definedName>
    <definedName name="領収書・請求書">▲!$R$3:$R$18</definedName>
    <definedName name="瀋陽支社">▲!$N$3:$N$18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3" i="104" l="1"/>
  <c r="F60" i="88"/>
  <c r="O5" i="10"/>
  <c r="N5" i="10"/>
  <c r="J5" i="10"/>
  <c r="J4" i="10"/>
  <c r="F55" i="104" l="1"/>
  <c r="F56" i="104"/>
  <c r="F57" i="104"/>
  <c r="F58" i="104"/>
  <c r="F59" i="104"/>
  <c r="F60" i="104"/>
  <c r="F61" i="104"/>
  <c r="F62" i="104"/>
  <c r="F63" i="104"/>
  <c r="F64" i="104"/>
  <c r="F65" i="104"/>
  <c r="F66" i="104"/>
  <c r="F67" i="104"/>
  <c r="F68" i="104"/>
  <c r="F69" i="104"/>
  <c r="F72" i="104"/>
  <c r="F73" i="104"/>
  <c r="F74" i="104"/>
  <c r="F75" i="104"/>
  <c r="F76" i="104"/>
  <c r="F77" i="104"/>
  <c r="F78" i="104"/>
  <c r="F79" i="104"/>
  <c r="F80" i="104"/>
  <c r="F81" i="104"/>
  <c r="F82" i="104"/>
  <c r="F83" i="104"/>
  <c r="F84" i="104"/>
  <c r="F85" i="104"/>
  <c r="F86" i="104"/>
  <c r="F87" i="104"/>
  <c r="F54" i="104"/>
  <c r="B15" i="119" l="1"/>
  <c r="M15" i="119"/>
  <c r="N15" i="119" s="1"/>
  <c r="B20" i="119" l="1"/>
  <c r="M20" i="119"/>
  <c r="N20" i="119" s="1"/>
  <c r="B19" i="119"/>
  <c r="M19" i="119"/>
  <c r="N19" i="119" s="1"/>
  <c r="B49" i="119" l="1"/>
  <c r="M49" i="119"/>
  <c r="N49" i="119" s="1"/>
  <c r="B48" i="119" l="1"/>
  <c r="M48" i="119"/>
  <c r="N48" i="119" s="1"/>
  <c r="M23" i="119" l="1"/>
  <c r="N23" i="119" s="1"/>
  <c r="M16" i="119"/>
  <c r="N16" i="119" s="1"/>
  <c r="M17" i="119"/>
  <c r="N17" i="119" s="1"/>
  <c r="M18" i="119"/>
  <c r="N18" i="119" s="1"/>
  <c r="M10" i="119"/>
  <c r="N10" i="119" s="1"/>
  <c r="M11" i="119"/>
  <c r="N11" i="119" s="1"/>
  <c r="M12" i="119"/>
  <c r="N12" i="119" s="1"/>
  <c r="M13" i="119"/>
  <c r="N13" i="119" s="1"/>
  <c r="M21" i="119"/>
  <c r="N21" i="119" s="1"/>
  <c r="M8" i="119"/>
  <c r="N8" i="119" s="1"/>
  <c r="M9" i="119"/>
  <c r="N9" i="119" s="1"/>
  <c r="M14" i="119"/>
  <c r="N14" i="119" s="1"/>
  <c r="B5" i="119" l="1"/>
  <c r="M5" i="119"/>
  <c r="N5" i="119" s="1"/>
  <c r="B38" i="119"/>
  <c r="M38" i="119"/>
  <c r="N38" i="119" s="1"/>
  <c r="M37" i="119" l="1"/>
  <c r="N37" i="119" s="1"/>
  <c r="M28" i="119"/>
  <c r="N28" i="119" s="1"/>
  <c r="M7" i="119"/>
  <c r="N7" i="119" s="1"/>
  <c r="M22" i="119"/>
  <c r="N22" i="119" s="1"/>
  <c r="M32" i="119"/>
  <c r="N32" i="119" s="1"/>
  <c r="M6" i="119"/>
  <c r="N6" i="119" s="1"/>
  <c r="M39" i="119"/>
  <c r="N39" i="119" s="1"/>
  <c r="M24" i="119"/>
  <c r="N24" i="119" s="1"/>
  <c r="M25" i="119"/>
  <c r="N25" i="119" s="1"/>
  <c r="M33" i="119"/>
  <c r="N33" i="119" s="1"/>
  <c r="M36" i="119"/>
  <c r="N36" i="119" s="1"/>
  <c r="M27" i="119"/>
  <c r="N27" i="119" s="1"/>
  <c r="M29" i="119"/>
  <c r="N29" i="119" s="1"/>
  <c r="M26" i="119"/>
  <c r="N26" i="119" s="1"/>
  <c r="M34" i="119"/>
  <c r="N34" i="119" s="1"/>
  <c r="M35" i="119"/>
  <c r="N35" i="119" s="1"/>
  <c r="M4" i="119"/>
  <c r="N4" i="119" s="1"/>
  <c r="M31" i="119"/>
  <c r="N31" i="119" s="1"/>
  <c r="M30" i="119"/>
  <c r="N30" i="119" s="1"/>
  <c r="M40" i="119"/>
  <c r="N40" i="119" s="1"/>
  <c r="M41" i="119"/>
  <c r="N41" i="119" s="1"/>
  <c r="M42" i="119"/>
  <c r="N42" i="119" s="1"/>
  <c r="M43" i="119"/>
  <c r="N43" i="119" s="1"/>
  <c r="M44" i="119"/>
  <c r="N44" i="119" s="1"/>
  <c r="M45" i="119"/>
  <c r="N45" i="119" s="1"/>
  <c r="M46" i="119"/>
  <c r="N46" i="119" s="1"/>
  <c r="M47" i="119"/>
  <c r="N47" i="119" s="1"/>
  <c r="M52" i="119"/>
  <c r="N52" i="119" s="1"/>
  <c r="M53" i="119"/>
  <c r="N53" i="119" s="1"/>
  <c r="M54" i="119"/>
  <c r="N54" i="119" s="1"/>
  <c r="M55" i="119"/>
  <c r="N55" i="119" s="1"/>
  <c r="M50" i="119"/>
  <c r="N50" i="119" s="1"/>
  <c r="M51" i="119"/>
  <c r="N51" i="119" s="1"/>
  <c r="M56" i="119"/>
  <c r="N56" i="119" s="1"/>
  <c r="M57" i="119"/>
  <c r="N57" i="119" s="1"/>
  <c r="M58" i="119"/>
  <c r="N58" i="119" s="1"/>
  <c r="M59" i="119"/>
  <c r="N59" i="119" s="1"/>
  <c r="M60" i="119"/>
  <c r="N60" i="119" s="1"/>
  <c r="M61" i="119"/>
  <c r="N61" i="119" s="1"/>
  <c r="M62" i="119"/>
  <c r="N62" i="119" s="1"/>
  <c r="M63" i="119"/>
  <c r="N63" i="119" s="1"/>
  <c r="M64" i="119"/>
  <c r="N64" i="119" s="1"/>
  <c r="M65" i="119"/>
  <c r="N65" i="119" s="1"/>
  <c r="M66" i="119"/>
  <c r="N66" i="119" s="1"/>
  <c r="M67" i="119"/>
  <c r="N67" i="119" s="1"/>
  <c r="M68" i="119"/>
  <c r="N68" i="119" s="1"/>
  <c r="M69" i="119"/>
  <c r="N69" i="119" s="1"/>
  <c r="M70" i="119"/>
  <c r="N70" i="119" s="1"/>
  <c r="M71" i="119"/>
  <c r="N71" i="119" s="1"/>
  <c r="M72" i="119"/>
  <c r="N72" i="119" s="1"/>
  <c r="M73" i="119"/>
  <c r="N73" i="119" s="1"/>
  <c r="M74" i="119"/>
  <c r="N74" i="119" s="1"/>
  <c r="M75" i="119"/>
  <c r="N75" i="119" s="1"/>
  <c r="M76" i="119"/>
  <c r="N76" i="119" s="1"/>
  <c r="M77" i="119"/>
  <c r="N77" i="119" s="1"/>
  <c r="M78" i="119"/>
  <c r="N78" i="119" s="1"/>
  <c r="M79" i="119"/>
  <c r="N79" i="119" s="1"/>
  <c r="M80" i="119"/>
  <c r="N80" i="119" s="1"/>
  <c r="M81" i="119"/>
  <c r="N81" i="119" s="1"/>
  <c r="M82" i="119"/>
  <c r="N82" i="119" s="1"/>
  <c r="M83" i="119"/>
  <c r="N83" i="119" s="1"/>
  <c r="M84" i="119"/>
  <c r="N84" i="119" s="1"/>
  <c r="M85" i="119"/>
  <c r="N85" i="119" s="1"/>
  <c r="M86" i="119"/>
  <c r="N86" i="119" s="1"/>
  <c r="M87" i="119"/>
  <c r="N87" i="119" s="1"/>
  <c r="M88" i="119"/>
  <c r="N88" i="119" s="1"/>
  <c r="M89" i="119"/>
  <c r="N89" i="119" s="1"/>
  <c r="M90" i="119"/>
  <c r="N90" i="119" s="1"/>
  <c r="M91" i="119"/>
  <c r="N91" i="119" s="1"/>
  <c r="M92" i="119"/>
  <c r="N92" i="119" s="1"/>
  <c r="M93" i="119"/>
  <c r="N93" i="119" s="1"/>
  <c r="M94" i="119"/>
  <c r="N94" i="119" s="1"/>
  <c r="G1" i="91" l="1"/>
  <c r="H1" i="91"/>
  <c r="I1" i="91"/>
  <c r="J1" i="91"/>
  <c r="K1" i="91"/>
  <c r="L1" i="91"/>
  <c r="M1" i="91"/>
  <c r="N1" i="91"/>
  <c r="O1" i="91"/>
  <c r="P1" i="91"/>
  <c r="Q1" i="91"/>
  <c r="R1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F13" i="91"/>
  <c r="F12" i="91"/>
  <c r="F11" i="91"/>
  <c r="F10" i="91"/>
  <c r="F9" i="91"/>
  <c r="F8" i="91"/>
  <c r="F7" i="91"/>
  <c r="F6" i="91"/>
  <c r="F5" i="91"/>
  <c r="F4" i="91"/>
  <c r="F3" i="91"/>
  <c r="G1" i="88"/>
  <c r="H1" i="88"/>
  <c r="I1" i="88"/>
  <c r="J1" i="88"/>
  <c r="K1" i="88"/>
  <c r="L1" i="88"/>
  <c r="M1" i="88"/>
  <c r="N1" i="88"/>
  <c r="O1" i="88"/>
  <c r="P1" i="88"/>
  <c r="Q1" i="88"/>
  <c r="R1" i="88"/>
  <c r="F4" i="88"/>
  <c r="F5" i="88"/>
  <c r="F6" i="88"/>
  <c r="F7" i="88"/>
  <c r="F8" i="88"/>
  <c r="F9" i="88"/>
  <c r="F10" i="88"/>
  <c r="F11" i="88"/>
  <c r="F12" i="88"/>
  <c r="F13" i="88"/>
  <c r="F14" i="88"/>
  <c r="F15" i="88"/>
  <c r="F16" i="88"/>
  <c r="F17" i="88"/>
  <c r="F18" i="88"/>
  <c r="F19" i="88"/>
  <c r="F20" i="88"/>
  <c r="F21" i="88"/>
  <c r="F22" i="88"/>
  <c r="F23" i="88"/>
  <c r="F24" i="88"/>
  <c r="F25" i="88"/>
  <c r="F26" i="88"/>
  <c r="F27" i="88"/>
  <c r="F28" i="88"/>
  <c r="F29" i="88"/>
  <c r="F30" i="88"/>
  <c r="F61" i="88"/>
  <c r="F62" i="88"/>
  <c r="F63" i="88"/>
  <c r="F64" i="88"/>
  <c r="F65" i="88"/>
  <c r="F66" i="88"/>
  <c r="F31" i="88"/>
  <c r="F32" i="88"/>
  <c r="F33" i="88"/>
  <c r="F34" i="88"/>
  <c r="F35" i="88"/>
  <c r="F36" i="88"/>
  <c r="F37" i="88"/>
  <c r="F38" i="88"/>
  <c r="F39" i="88"/>
  <c r="F40" i="88"/>
  <c r="F41" i="88"/>
  <c r="F42" i="88"/>
  <c r="F43" i="88"/>
  <c r="F44" i="88"/>
  <c r="F45" i="88"/>
  <c r="F46" i="88"/>
  <c r="F47" i="88"/>
  <c r="F48" i="88"/>
  <c r="F49" i="88"/>
  <c r="F50" i="88"/>
  <c r="F51" i="88"/>
  <c r="F52" i="88"/>
  <c r="F53" i="88"/>
  <c r="F54" i="88"/>
  <c r="F55" i="88"/>
  <c r="F56" i="88"/>
  <c r="F57" i="88"/>
  <c r="F58" i="88"/>
  <c r="F59" i="88"/>
  <c r="E12" i="10"/>
  <c r="D12" i="10"/>
  <c r="D8" i="10"/>
  <c r="D10" i="10"/>
  <c r="E7" i="10"/>
  <c r="E10" i="10"/>
  <c r="E13" i="10"/>
  <c r="D13" i="10"/>
  <c r="E6" i="10"/>
  <c r="D7" i="10"/>
  <c r="E11" i="10"/>
  <c r="D11" i="10"/>
  <c r="D9" i="10"/>
  <c r="D14" i="10"/>
  <c r="E8" i="10"/>
  <c r="E5" i="10"/>
  <c r="E14" i="10"/>
  <c r="E9" i="10"/>
  <c r="D6" i="10"/>
  <c r="D5" i="10"/>
  <c r="F1" i="91" l="1"/>
  <c r="K2" i="119" l="1"/>
  <c r="B37" i="119" l="1"/>
  <c r="B23" i="119"/>
  <c r="B16" i="119"/>
  <c r="B17" i="119"/>
  <c r="B18" i="119"/>
  <c r="B10" i="119"/>
  <c r="B11" i="119"/>
  <c r="B12" i="119"/>
  <c r="B13" i="119"/>
  <c r="B21" i="119"/>
  <c r="B8" i="119"/>
  <c r="B9" i="119"/>
  <c r="B14" i="119"/>
  <c r="B28" i="119"/>
  <c r="B7" i="119"/>
  <c r="B22" i="119"/>
  <c r="B32" i="119"/>
  <c r="B6" i="119"/>
  <c r="B39" i="119"/>
  <c r="B24" i="119"/>
  <c r="B25" i="119"/>
  <c r="B33" i="119"/>
  <c r="B36" i="119"/>
  <c r="B27" i="119"/>
  <c r="B29" i="119"/>
  <c r="B26" i="119"/>
  <c r="B34" i="119"/>
  <c r="B35" i="119"/>
  <c r="B4" i="119"/>
  <c r="B31" i="119"/>
  <c r="B30" i="119"/>
  <c r="B40" i="119"/>
  <c r="B41" i="119"/>
  <c r="B42" i="119"/>
  <c r="B43" i="119"/>
  <c r="B44" i="119"/>
  <c r="B45" i="119"/>
  <c r="B46" i="119"/>
  <c r="B47" i="119"/>
  <c r="B52" i="119"/>
  <c r="B53" i="119"/>
  <c r="B54" i="119"/>
  <c r="B55" i="119"/>
  <c r="B50" i="119"/>
  <c r="B51" i="119"/>
  <c r="B56" i="119"/>
  <c r="B57" i="119"/>
  <c r="B58" i="119"/>
  <c r="B59" i="119"/>
  <c r="B60" i="119"/>
  <c r="B61" i="119"/>
  <c r="B62" i="119"/>
  <c r="B63" i="119"/>
  <c r="B64" i="119"/>
  <c r="B65" i="119"/>
  <c r="B66" i="119"/>
  <c r="B67" i="119"/>
  <c r="B68" i="119"/>
  <c r="B69" i="119"/>
  <c r="B70" i="119"/>
  <c r="B71" i="119"/>
  <c r="B72" i="119"/>
  <c r="B73" i="119"/>
  <c r="B74" i="119"/>
  <c r="B75" i="119"/>
  <c r="B76" i="119"/>
  <c r="B77" i="119"/>
  <c r="B78" i="119"/>
  <c r="B79" i="119"/>
  <c r="B80" i="119"/>
  <c r="B81" i="119"/>
  <c r="B82" i="119"/>
  <c r="B83" i="119"/>
  <c r="B84" i="119"/>
  <c r="B85" i="119"/>
  <c r="B86" i="119"/>
  <c r="B87" i="119"/>
  <c r="B88" i="119"/>
  <c r="B89" i="119"/>
  <c r="B90" i="119"/>
  <c r="B91" i="119"/>
  <c r="B92" i="119"/>
  <c r="B93" i="119"/>
  <c r="B94" i="119"/>
  <c r="F14" i="10"/>
  <c r="J9" i="10"/>
  <c r="F13" i="10"/>
  <c r="F12" i="10"/>
  <c r="F11" i="10"/>
  <c r="F4" i="104" l="1"/>
  <c r="F5" i="104"/>
  <c r="F6" i="104"/>
  <c r="F7" i="104"/>
  <c r="F8" i="104"/>
  <c r="F9" i="104"/>
  <c r="F10" i="104"/>
  <c r="F11" i="104"/>
  <c r="F12" i="104"/>
  <c r="F13" i="104"/>
  <c r="F14" i="104"/>
  <c r="F15" i="104"/>
  <c r="F16" i="104"/>
  <c r="F17" i="104"/>
  <c r="F18" i="104"/>
  <c r="F19" i="104"/>
  <c r="F20" i="104"/>
  <c r="F21" i="104"/>
  <c r="F22" i="104"/>
  <c r="F23" i="104"/>
  <c r="F24" i="104"/>
  <c r="F25" i="104"/>
  <c r="F26" i="104"/>
  <c r="F27" i="104"/>
  <c r="F28" i="104"/>
  <c r="F29" i="104"/>
  <c r="F30" i="104"/>
  <c r="F31" i="104"/>
  <c r="F32" i="104"/>
  <c r="F33" i="104"/>
  <c r="F34" i="104"/>
  <c r="F35" i="104"/>
  <c r="F36" i="104"/>
  <c r="F37" i="104"/>
  <c r="F38" i="104"/>
  <c r="F39" i="104"/>
  <c r="F40" i="104"/>
  <c r="F41" i="104"/>
  <c r="F42" i="104"/>
  <c r="F43" i="104"/>
  <c r="F44" i="104"/>
  <c r="F45" i="104"/>
  <c r="F46" i="104"/>
  <c r="F47" i="104"/>
  <c r="F48" i="104"/>
  <c r="F49" i="104"/>
  <c r="F50" i="104"/>
  <c r="F3" i="104"/>
  <c r="G1" i="104"/>
  <c r="H1" i="104"/>
  <c r="I1" i="104"/>
  <c r="J1" i="104"/>
  <c r="K1" i="104"/>
  <c r="L1" i="104"/>
  <c r="M1" i="104"/>
  <c r="N1" i="104"/>
  <c r="O1" i="104"/>
  <c r="P1" i="104"/>
  <c r="Q1" i="104"/>
  <c r="R1" i="104"/>
  <c r="L90" i="104"/>
  <c r="K90" i="104"/>
  <c r="J90" i="104"/>
  <c r="I90" i="104"/>
  <c r="H90" i="104"/>
  <c r="G90" i="104"/>
  <c r="N90" i="104"/>
  <c r="O90" i="104"/>
  <c r="P90" i="104"/>
  <c r="Q90" i="104"/>
  <c r="R90" i="104"/>
  <c r="M90" i="104"/>
  <c r="F94" i="104"/>
  <c r="F92" i="104"/>
  <c r="F91" i="104"/>
  <c r="P10" i="10"/>
  <c r="K7" i="10"/>
  <c r="P15" i="10"/>
  <c r="P4" i="10"/>
  <c r="P14" i="10"/>
  <c r="P5" i="10"/>
  <c r="K8" i="10"/>
  <c r="P13" i="10"/>
  <c r="K13" i="10"/>
  <c r="K15" i="10"/>
  <c r="K11" i="10"/>
  <c r="K14" i="10"/>
  <c r="P6" i="10"/>
  <c r="K4" i="10"/>
  <c r="P8" i="10"/>
  <c r="P9" i="10"/>
  <c r="K9" i="10"/>
  <c r="P7" i="10"/>
  <c r="K6" i="10"/>
  <c r="K5" i="10"/>
  <c r="P12" i="10"/>
  <c r="K10" i="10"/>
  <c r="P11" i="10"/>
  <c r="K12" i="10"/>
  <c r="I4" i="10" l="1"/>
  <c r="F1" i="104"/>
  <c r="F52" i="104"/>
  <c r="F4" i="10"/>
  <c r="H4" i="10" l="1"/>
  <c r="F95" i="104"/>
  <c r="F9" i="10"/>
  <c r="F6" i="10"/>
  <c r="F10" i="10"/>
  <c r="F8" i="10"/>
  <c r="M2" i="119" l="1"/>
  <c r="E15" i="10"/>
  <c r="F7" i="10"/>
  <c r="F5" i="10"/>
  <c r="E4" i="10"/>
  <c r="F15" i="10"/>
  <c r="N2" i="119" l="1"/>
  <c r="O96" i="104"/>
  <c r="D15" i="10"/>
  <c r="J6" i="10"/>
  <c r="D4" i="10"/>
  <c r="D16" i="10" l="1"/>
  <c r="R96" i="104"/>
  <c r="M96" i="104"/>
  <c r="Q96" i="104"/>
  <c r="N96" i="104"/>
  <c r="I96" i="104"/>
  <c r="P96" i="104"/>
  <c r="L96" i="104"/>
  <c r="K96" i="104"/>
  <c r="J96" i="104"/>
  <c r="H96" i="104"/>
  <c r="F96" i="104" l="1"/>
  <c r="G96" i="104"/>
  <c r="F97" i="104" s="1"/>
  <c r="F98" i="104"/>
  <c r="O7" i="10"/>
  <c r="J7" i="10"/>
  <c r="O10" i="10"/>
  <c r="J10" i="10"/>
  <c r="O11" i="10"/>
  <c r="J11" i="10"/>
  <c r="J12" i="10"/>
  <c r="J15" i="10"/>
  <c r="J13" i="10"/>
  <c r="J8" i="10"/>
  <c r="O14" i="10"/>
  <c r="O12" i="10"/>
  <c r="O6" i="10"/>
  <c r="O9" i="10"/>
  <c r="O13" i="10"/>
  <c r="O4" i="10"/>
  <c r="O8" i="10"/>
  <c r="J14" i="10"/>
  <c r="O15" i="10"/>
  <c r="N4" i="10" l="1"/>
  <c r="P16" i="10"/>
  <c r="M4" i="10" l="1"/>
  <c r="N10" i="10" l="1"/>
  <c r="M10" i="10" s="1"/>
  <c r="N13" i="10"/>
  <c r="M13" i="10" s="1"/>
  <c r="M5" i="10"/>
  <c r="N14" i="10"/>
  <c r="M14" i="10" s="1"/>
  <c r="N7" i="10"/>
  <c r="M7" i="10" s="1"/>
  <c r="N15" i="10"/>
  <c r="M15" i="10" s="1"/>
  <c r="O16" i="10"/>
  <c r="N11" i="10"/>
  <c r="M11" i="10" s="1"/>
  <c r="N12" i="10"/>
  <c r="M12" i="10" s="1"/>
  <c r="N8" i="10"/>
  <c r="M8" i="10" s="1"/>
  <c r="N9" i="10"/>
  <c r="M9" i="10" s="1"/>
  <c r="N6" i="10"/>
  <c r="M6" i="10" s="1"/>
  <c r="N16" i="10" l="1"/>
  <c r="F3" i="88"/>
  <c r="F1" i="88" s="1"/>
  <c r="K16" i="10" l="1"/>
  <c r="A20" i="75" l="1" a="1"/>
  <c r="A20" i="75" s="1"/>
  <c r="A19" i="75" a="1"/>
  <c r="A19" i="75" s="1"/>
  <c r="A18" i="75" a="1"/>
  <c r="A18" i="75" s="1"/>
  <c r="A17" i="75" a="1"/>
  <c r="A17" i="75" s="1"/>
  <c r="A16" i="75" a="1"/>
  <c r="A16" i="75" s="1"/>
  <c r="A15" i="75" a="1"/>
  <c r="A15" i="75" s="1"/>
  <c r="A14" i="75" a="1"/>
  <c r="A14" i="75" s="1"/>
  <c r="A13" i="75" a="1"/>
  <c r="A13" i="75" s="1"/>
  <c r="A12" i="75" a="1"/>
  <c r="A12" i="75" s="1"/>
  <c r="I7" i="10" l="1"/>
  <c r="H7" i="10" s="1"/>
  <c r="I10" i="10"/>
  <c r="H10" i="10" s="1"/>
  <c r="I13" i="10"/>
  <c r="H13" i="10" s="1"/>
  <c r="J16" i="10"/>
  <c r="I11" i="10"/>
  <c r="H11" i="10" s="1"/>
  <c r="I14" i="10"/>
  <c r="H14" i="10" s="1"/>
  <c r="I8" i="10"/>
  <c r="H8" i="10" s="1"/>
  <c r="I15" i="10"/>
  <c r="H15" i="10" s="1"/>
  <c r="I5" i="10"/>
  <c r="H5" i="10" s="1"/>
  <c r="I12" i="10"/>
  <c r="H12" i="10" s="1"/>
  <c r="I6" i="10"/>
  <c r="H6" i="10" s="1"/>
  <c r="I9" i="10"/>
  <c r="H9" i="10" s="1"/>
  <c r="I16" i="10" l="1"/>
  <c r="E16" i="10"/>
  <c r="M16" i="10" s="1"/>
  <c r="F16" i="10"/>
  <c r="H16" i="10" l="1"/>
</calcChain>
</file>

<file path=xl/sharedStrings.xml><?xml version="1.0" encoding="utf-8"?>
<sst xmlns="http://schemas.openxmlformats.org/spreadsheetml/2006/main" count="1074" uniqueCount="284">
  <si>
    <t>担当者</t>
    <phoneticPr fontId="1"/>
  </si>
  <si>
    <t>#</t>
    <phoneticPr fontId="1"/>
  </si>
  <si>
    <t>合計</t>
    <rPh sb="0" eb="2">
      <t>ゴウケイ</t>
    </rPh>
    <phoneticPr fontId="1"/>
  </si>
  <si>
    <t>＃</t>
    <phoneticPr fontId="1"/>
  </si>
  <si>
    <t>日付</t>
    <rPh sb="0" eb="2">
      <t>ヒヅケ</t>
    </rPh>
    <phoneticPr fontId="1"/>
  </si>
  <si>
    <t>合計</t>
    <rPh sb="0" eb="2">
      <t>ゴウケイ</t>
    </rPh>
    <phoneticPr fontId="1"/>
  </si>
  <si>
    <t>陳</t>
    <rPh sb="0" eb="1">
      <t>チン</t>
    </rPh>
    <phoneticPr fontId="6"/>
  </si>
  <si>
    <t>営業</t>
    <rPh sb="0" eb="2">
      <t>エイギョウ</t>
    </rPh>
    <phoneticPr fontId="6"/>
  </si>
  <si>
    <t>消耗品費</t>
    <phoneticPr fontId="6"/>
  </si>
  <si>
    <t>名刺代</t>
    <rPh sb="0" eb="2">
      <t>メイシ</t>
    </rPh>
    <rPh sb="2" eb="3">
      <t>ダイ</t>
    </rPh>
    <phoneticPr fontId="6"/>
  </si>
  <si>
    <t>郵送料</t>
    <rPh sb="0" eb="3">
      <t>ユウソウリョウ</t>
    </rPh>
    <phoneticPr fontId="6"/>
  </si>
  <si>
    <t>課税</t>
    <phoneticPr fontId="6"/>
  </si>
  <si>
    <t>大分類</t>
    <rPh sb="0" eb="1">
      <t>ダイ</t>
    </rPh>
    <rPh sb="1" eb="3">
      <t>ブンルイ</t>
    </rPh>
    <phoneticPr fontId="6"/>
  </si>
  <si>
    <t>中分類</t>
    <rPh sb="0" eb="1">
      <t>ナカ</t>
    </rPh>
    <rPh sb="1" eb="3">
      <t>ブンルイ</t>
    </rPh>
    <phoneticPr fontId="6"/>
  </si>
  <si>
    <t>小分類</t>
    <rPh sb="0" eb="3">
      <t>ショウブンルイ</t>
    </rPh>
    <phoneticPr fontId="6"/>
  </si>
  <si>
    <t>備考</t>
    <rPh sb="0" eb="2">
      <t>ビコウ</t>
    </rPh>
    <phoneticPr fontId="6"/>
  </si>
  <si>
    <t>支払手数料</t>
    <rPh sb="0" eb="2">
      <t>シハライ</t>
    </rPh>
    <rPh sb="2" eb="5">
      <t>テスウリョウ</t>
    </rPh>
    <phoneticPr fontId="6"/>
  </si>
  <si>
    <t>営業費用</t>
    <rPh sb="0" eb="2">
      <t>エイギョウ</t>
    </rPh>
    <rPh sb="2" eb="4">
      <t>ヒヨウ</t>
    </rPh>
    <phoneticPr fontId="6"/>
  </si>
  <si>
    <t>雑費（社員出張宿泊、交通費</t>
    <rPh sb="0" eb="2">
      <t>ザッピ</t>
    </rPh>
    <rPh sb="3" eb="5">
      <t>シャイン</t>
    </rPh>
    <rPh sb="5" eb="7">
      <t>シュッチョウ</t>
    </rPh>
    <rPh sb="7" eb="9">
      <t>シュクハク</t>
    </rPh>
    <rPh sb="10" eb="13">
      <t>コウツウヒ</t>
    </rPh>
    <phoneticPr fontId="6"/>
  </si>
  <si>
    <t>事務費用</t>
    <phoneticPr fontId="6"/>
  </si>
  <si>
    <t>地代家賃</t>
    <phoneticPr fontId="6"/>
  </si>
  <si>
    <t>租税公課</t>
    <phoneticPr fontId="6"/>
  </si>
  <si>
    <t>リ－ス料</t>
    <phoneticPr fontId="6"/>
  </si>
  <si>
    <t>福利厚生費</t>
    <phoneticPr fontId="6"/>
  </si>
  <si>
    <t>新聞図書費</t>
    <phoneticPr fontId="6"/>
  </si>
  <si>
    <t>工具器具備品</t>
    <phoneticPr fontId="6"/>
  </si>
  <si>
    <t>広告宣伝費</t>
    <phoneticPr fontId="6"/>
  </si>
  <si>
    <t>事務交通費</t>
    <rPh sb="0" eb="2">
      <t>ジム</t>
    </rPh>
    <phoneticPr fontId="6"/>
  </si>
  <si>
    <t>その他</t>
    <phoneticPr fontId="6"/>
  </si>
  <si>
    <t>健康診断料</t>
    <phoneticPr fontId="6"/>
  </si>
  <si>
    <t>食事、クラブ</t>
    <rPh sb="0" eb="2">
      <t>ショクジ</t>
    </rPh>
    <phoneticPr fontId="6"/>
  </si>
  <si>
    <t>諏訪、韓、黄、呉、西尾、陳欣（営業用交通費に記入→サイン→現金）</t>
    <rPh sb="0" eb="2">
      <t>スワ</t>
    </rPh>
    <rPh sb="3" eb="4">
      <t>カン</t>
    </rPh>
    <rPh sb="5" eb="6">
      <t>コウ</t>
    </rPh>
    <rPh sb="9" eb="11">
      <t>ニシオ</t>
    </rPh>
    <rPh sb="12" eb="13">
      <t>チン</t>
    </rPh>
    <rPh sb="13" eb="14">
      <t>キン</t>
    </rPh>
    <rPh sb="15" eb="17">
      <t>エイギョウ</t>
    </rPh>
    <rPh sb="17" eb="18">
      <t>ヨウ</t>
    </rPh>
    <rPh sb="18" eb="20">
      <t>コウツウ</t>
    </rPh>
    <rPh sb="20" eb="21">
      <t>ヒ</t>
    </rPh>
    <rPh sb="22" eb="24">
      <t>キニュウ</t>
    </rPh>
    <rPh sb="29" eb="31">
      <t>ゲンキン</t>
    </rPh>
    <phoneticPr fontId="6"/>
  </si>
  <si>
    <t>税理士事務所</t>
  </si>
  <si>
    <t>社労士事務所</t>
    <rPh sb="0" eb="3">
      <t>シャロウシ</t>
    </rPh>
    <rPh sb="3" eb="6">
      <t>ジムショ</t>
    </rPh>
    <phoneticPr fontId="1"/>
  </si>
  <si>
    <t>固定通信費</t>
    <phoneticPr fontId="6"/>
  </si>
  <si>
    <t>インターネット料金含む</t>
    <rPh sb="7" eb="9">
      <t>リョウキン</t>
    </rPh>
    <rPh sb="9" eb="10">
      <t>フク</t>
    </rPh>
    <phoneticPr fontId="6"/>
  </si>
  <si>
    <t>印紙代、切手代、謄本代、印鑑証明書など</t>
    <rPh sb="0" eb="3">
      <t>インシダイ</t>
    </rPh>
    <rPh sb="4" eb="7">
      <t>キッテダイ</t>
    </rPh>
    <rPh sb="8" eb="10">
      <t>トウホン</t>
    </rPh>
    <rPh sb="10" eb="11">
      <t>ダイ</t>
    </rPh>
    <rPh sb="12" eb="14">
      <t>インカン</t>
    </rPh>
    <rPh sb="14" eb="17">
      <t>ショウメイショ</t>
    </rPh>
    <phoneticPr fontId="6"/>
  </si>
  <si>
    <t>ソフトウェア購入料</t>
    <phoneticPr fontId="6"/>
  </si>
  <si>
    <t>三菱UFJ銀行利用料Biz、給料手数料、海外送金手数料</t>
    <rPh sb="14" eb="16">
      <t>キュウリョウ</t>
    </rPh>
    <rPh sb="16" eb="19">
      <t>テスウリョウ</t>
    </rPh>
    <rPh sb="20" eb="22">
      <t>カイガイ</t>
    </rPh>
    <rPh sb="22" eb="24">
      <t>ソウキン</t>
    </rPh>
    <rPh sb="24" eb="27">
      <t>テスウリョウ</t>
    </rPh>
    <phoneticPr fontId="6"/>
  </si>
  <si>
    <t>人材募集</t>
    <phoneticPr fontId="6"/>
  </si>
  <si>
    <t>転職サイトなどの支払</t>
    <rPh sb="0" eb="2">
      <t>テンショク</t>
    </rPh>
    <rPh sb="8" eb="10">
      <t>シハライ</t>
    </rPh>
    <phoneticPr fontId="6"/>
  </si>
  <si>
    <t>郵送料</t>
    <rPh sb="0" eb="3">
      <t>ユウソウリョウ</t>
    </rPh>
    <phoneticPr fontId="6"/>
  </si>
  <si>
    <t>入国管理局、中国などにの郵送</t>
    <rPh sb="0" eb="5">
      <t>ニュウコクカンリキョク</t>
    </rPh>
    <rPh sb="6" eb="8">
      <t>チュウゴク</t>
    </rPh>
    <rPh sb="12" eb="14">
      <t>ユウソウ</t>
    </rPh>
    <phoneticPr fontId="6"/>
  </si>
  <si>
    <t>紹介費用</t>
    <rPh sb="0" eb="2">
      <t>ショウカイ</t>
    </rPh>
    <rPh sb="2" eb="4">
      <t>ヒヨウ</t>
    </rPh>
    <phoneticPr fontId="6"/>
  </si>
  <si>
    <t>会社や、個人からのご紹介（振込、現金、Amazon券など）</t>
    <rPh sb="0" eb="2">
      <t>カイシャ</t>
    </rPh>
    <rPh sb="4" eb="6">
      <t>コジン</t>
    </rPh>
    <rPh sb="10" eb="12">
      <t>ショウカイ</t>
    </rPh>
    <rPh sb="13" eb="15">
      <t>フリコミ</t>
    </rPh>
    <rPh sb="16" eb="18">
      <t>ゲンキン</t>
    </rPh>
    <rPh sb="25" eb="26">
      <t>ケン</t>
    </rPh>
    <phoneticPr fontId="6"/>
  </si>
  <si>
    <t>Wechat宣伝費</t>
    <rPh sb="6" eb="9">
      <t>センデンヒ</t>
    </rPh>
    <phoneticPr fontId="6"/>
  </si>
  <si>
    <t>ビザ申請サポート費用</t>
    <rPh sb="2" eb="4">
      <t>シンセイ</t>
    </rPh>
    <rPh sb="8" eb="10">
      <t>ヒヨウ</t>
    </rPh>
    <phoneticPr fontId="6"/>
  </si>
  <si>
    <t>瀋陽（社内転勤、技術ビザ申請）</t>
    <rPh sb="0" eb="2">
      <t>シンヨウ</t>
    </rPh>
    <rPh sb="3" eb="5">
      <t>シャナイ</t>
    </rPh>
    <rPh sb="5" eb="7">
      <t>テンキン</t>
    </rPh>
    <rPh sb="8" eb="10">
      <t>ギジュツ</t>
    </rPh>
    <rPh sb="12" eb="14">
      <t>シンセイ</t>
    </rPh>
    <phoneticPr fontId="6"/>
  </si>
  <si>
    <t>トレニンーグ用アカウントのAWS利用料、Azure利用料など</t>
    <rPh sb="6" eb="7">
      <t>ヨウ</t>
    </rPh>
    <rPh sb="25" eb="28">
      <t>リヨウリョウ</t>
    </rPh>
    <phoneticPr fontId="6"/>
  </si>
  <si>
    <t>資格認定費</t>
    <phoneticPr fontId="6"/>
  </si>
  <si>
    <t>一般派遣、プライバシーマック、ISMSなどの申請/更新費用</t>
    <rPh sb="0" eb="4">
      <t>イッパンハケン</t>
    </rPh>
    <rPh sb="22" eb="24">
      <t>シンセイ</t>
    </rPh>
    <rPh sb="25" eb="27">
      <t>コウシン</t>
    </rPh>
    <rPh sb="27" eb="29">
      <t>ヒヨウ</t>
    </rPh>
    <phoneticPr fontId="6"/>
  </si>
  <si>
    <t>その他</t>
    <rPh sb="2" eb="3">
      <t>タ</t>
    </rPh>
    <phoneticPr fontId="6"/>
  </si>
  <si>
    <t>出張手当</t>
    <rPh sb="0" eb="2">
      <t>シュッチョウ</t>
    </rPh>
    <rPh sb="2" eb="4">
      <t>テアテ</t>
    </rPh>
    <phoneticPr fontId="6"/>
  </si>
  <si>
    <t>北京支社</t>
  </si>
  <si>
    <t>瀋陽支社</t>
  </si>
  <si>
    <t>償却資産費用</t>
    <phoneticPr fontId="6"/>
  </si>
  <si>
    <t>サーバーなどの償却費用、保証料の月割</t>
    <rPh sb="16" eb="17">
      <t>ゲツ</t>
    </rPh>
    <rPh sb="17" eb="18">
      <t>ワリ</t>
    </rPh>
    <phoneticPr fontId="6"/>
  </si>
  <si>
    <t>呉</t>
    <rPh sb="0" eb="1">
      <t>ゴ</t>
    </rPh>
    <phoneticPr fontId="6"/>
  </si>
  <si>
    <t>西尾</t>
    <rPh sb="0" eb="2">
      <t>ニシオ</t>
    </rPh>
    <phoneticPr fontId="6"/>
  </si>
  <si>
    <t>共通設備のコピー/FAXなど</t>
    <rPh sb="0" eb="2">
      <t>キョウツウ</t>
    </rPh>
    <rPh sb="2" eb="4">
      <t>セツビ</t>
    </rPh>
    <phoneticPr fontId="6"/>
  </si>
  <si>
    <t>パソコン備品</t>
    <rPh sb="4" eb="6">
      <t>ビヒン</t>
    </rPh>
    <phoneticPr fontId="6"/>
  </si>
  <si>
    <t>会社のノートパソコンなど</t>
    <rPh sb="0" eb="2">
      <t>カイシャ</t>
    </rPh>
    <phoneticPr fontId="6"/>
  </si>
  <si>
    <t>ノートパソコン以外のもの</t>
    <rPh sb="7" eb="9">
      <t>イガイ</t>
    </rPh>
    <phoneticPr fontId="6"/>
  </si>
  <si>
    <t>諏訪、黄、韓</t>
    <rPh sb="0" eb="2">
      <t>スワ</t>
    </rPh>
    <rPh sb="3" eb="4">
      <t>コウ</t>
    </rPh>
    <rPh sb="5" eb="6">
      <t>カン</t>
    </rPh>
    <phoneticPr fontId="6"/>
  </si>
  <si>
    <t>課税</t>
  </si>
  <si>
    <t>非課税</t>
    <phoneticPr fontId="6"/>
  </si>
  <si>
    <t>事務費用</t>
  </si>
  <si>
    <t>福利厚生費</t>
  </si>
  <si>
    <t>営業費用</t>
  </si>
  <si>
    <t>人材募集</t>
  </si>
  <si>
    <t>精算済</t>
    <rPh sb="0" eb="2">
      <t>セイサン</t>
    </rPh>
    <rPh sb="2" eb="3">
      <t>ズ</t>
    </rPh>
    <phoneticPr fontId="6"/>
  </si>
  <si>
    <t>芦 建軍</t>
    <rPh sb="0" eb="1">
      <t>ロ</t>
    </rPh>
    <rPh sb="2" eb="4">
      <t>ケングン</t>
    </rPh>
    <phoneticPr fontId="6"/>
  </si>
  <si>
    <t>陳 倩</t>
  </si>
  <si>
    <t>陳 倩</t>
    <phoneticPr fontId="6"/>
  </si>
  <si>
    <t>確認者</t>
    <rPh sb="0" eb="2">
      <t>カクニン</t>
    </rPh>
    <rPh sb="2" eb="3">
      <t>シャ</t>
    </rPh>
    <phoneticPr fontId="1"/>
  </si>
  <si>
    <t>課税_非課税</t>
    <phoneticPr fontId="1"/>
  </si>
  <si>
    <t>郵送料</t>
    <rPh sb="0" eb="2">
      <t>ユウソウ</t>
    </rPh>
    <rPh sb="2" eb="3">
      <t>リョウ</t>
    </rPh>
    <phoneticPr fontId="6"/>
  </si>
  <si>
    <t>非課税</t>
  </si>
  <si>
    <t>決算</t>
    <rPh sb="0" eb="2">
      <t>ケッサン</t>
    </rPh>
    <phoneticPr fontId="6"/>
  </si>
  <si>
    <t>対象</t>
    <rPh sb="0" eb="2">
      <t>タイショウ</t>
    </rPh>
    <phoneticPr fontId="6"/>
  </si>
  <si>
    <t>合計</t>
    <rPh sb="0" eb="2">
      <t>ゴウケイ</t>
    </rPh>
    <phoneticPr fontId="6"/>
  </si>
  <si>
    <t>決算対象_合計</t>
    <rPh sb="0" eb="2">
      <t>ケッサン</t>
    </rPh>
    <rPh sb="2" eb="4">
      <t>タイショウ</t>
    </rPh>
    <rPh sb="5" eb="7">
      <t>ゴウケイ</t>
    </rPh>
    <phoneticPr fontId="1"/>
  </si>
  <si>
    <t>決算対象外_合計</t>
    <rPh sb="0" eb="2">
      <t>ケッサン</t>
    </rPh>
    <rPh sb="2" eb="4">
      <t>タイショウ</t>
    </rPh>
    <rPh sb="4" eb="5">
      <t>ガイ</t>
    </rPh>
    <rPh sb="6" eb="8">
      <t>ゴウケイ</t>
    </rPh>
    <phoneticPr fontId="1"/>
  </si>
  <si>
    <t>決算対象_消費税</t>
    <rPh sb="0" eb="2">
      <t>ケッサン</t>
    </rPh>
    <rPh sb="2" eb="4">
      <t>タイショウ</t>
    </rPh>
    <rPh sb="5" eb="8">
      <t>ショウヒゼイ</t>
    </rPh>
    <phoneticPr fontId="1"/>
  </si>
  <si>
    <t>決算対象外_消費税</t>
    <rPh sb="0" eb="2">
      <t>ケッサン</t>
    </rPh>
    <rPh sb="2" eb="4">
      <t>タイショウ</t>
    </rPh>
    <rPh sb="4" eb="5">
      <t>ガイ</t>
    </rPh>
    <rPh sb="6" eb="9">
      <t>ショウヒゼイ</t>
    </rPh>
    <phoneticPr fontId="1"/>
  </si>
  <si>
    <t>確認</t>
    <rPh sb="0" eb="2">
      <t>カクニン</t>
    </rPh>
    <phoneticPr fontId="1"/>
  </si>
  <si>
    <t>現金</t>
    <rPh sb="0" eb="2">
      <t>ゲンキン</t>
    </rPh>
    <phoneticPr fontId="6"/>
  </si>
  <si>
    <t>豊島五丁目団地</t>
    <rPh sb="0" eb="7">
      <t>トシマゴチョウメダンチ</t>
    </rPh>
    <phoneticPr fontId="6"/>
  </si>
  <si>
    <t>税理士月報酬</t>
    <rPh sb="0" eb="3">
      <t>ゼイリシ</t>
    </rPh>
    <rPh sb="3" eb="4">
      <t>ツキ</t>
    </rPh>
    <rPh sb="4" eb="6">
      <t>ホウシュウ</t>
    </rPh>
    <phoneticPr fontId="6"/>
  </si>
  <si>
    <t>個人事業主</t>
    <phoneticPr fontId="6"/>
  </si>
  <si>
    <t>口座振込</t>
    <rPh sb="0" eb="2">
      <t>コウザ</t>
    </rPh>
    <rPh sb="2" eb="4">
      <t>フリコミ</t>
    </rPh>
    <phoneticPr fontId="6"/>
  </si>
  <si>
    <t>リス－料</t>
    <rPh sb="3" eb="4">
      <t>リョウ</t>
    </rPh>
    <phoneticPr fontId="6"/>
  </si>
  <si>
    <t>複合機印刷代</t>
    <rPh sb="0" eb="3">
      <t>フクゴウキ</t>
    </rPh>
    <rPh sb="3" eb="5">
      <t>インサツ</t>
    </rPh>
    <rPh sb="5" eb="6">
      <t>ダイ</t>
    </rPh>
    <phoneticPr fontId="6"/>
  </si>
  <si>
    <t>消費税
（自動計算）</t>
    <rPh sb="0" eb="3">
      <t>ショウヒゼイ</t>
    </rPh>
    <phoneticPr fontId="6"/>
  </si>
  <si>
    <t>項目
(手入力)</t>
    <rPh sb="0" eb="2">
      <t>コウモク</t>
    </rPh>
    <phoneticPr fontId="1"/>
  </si>
  <si>
    <t>名前
(手入力)</t>
    <rPh sb="0" eb="2">
      <t>ナマエ</t>
    </rPh>
    <phoneticPr fontId="6"/>
  </si>
  <si>
    <t>小分類
(選択)</t>
    <rPh sb="0" eb="1">
      <t>ショウ</t>
    </rPh>
    <rPh sb="1" eb="3">
      <t>ブンルイ</t>
    </rPh>
    <rPh sb="5" eb="7">
      <t>センタク</t>
    </rPh>
    <phoneticPr fontId="1"/>
  </si>
  <si>
    <t>中分類
(選択)</t>
    <rPh sb="0" eb="1">
      <t>チュウ</t>
    </rPh>
    <rPh sb="1" eb="3">
      <t>ブンルイ</t>
    </rPh>
    <phoneticPr fontId="6"/>
  </si>
  <si>
    <t>大分類
(選択)</t>
    <rPh sb="0" eb="1">
      <t>ダイ</t>
    </rPh>
    <rPh sb="1" eb="3">
      <t>ブンルイ</t>
    </rPh>
    <phoneticPr fontId="6"/>
  </si>
  <si>
    <t>日付
(手入力)</t>
    <rPh sb="0" eb="2">
      <t>ヒヅケ</t>
    </rPh>
    <phoneticPr fontId="1"/>
  </si>
  <si>
    <t>担当者
(選択)</t>
    <phoneticPr fontId="1"/>
  </si>
  <si>
    <t>確認者２
(選択)</t>
    <rPh sb="0" eb="2">
      <t>カクニン</t>
    </rPh>
    <rPh sb="2" eb="3">
      <t>シャ</t>
    </rPh>
    <phoneticPr fontId="1"/>
  </si>
  <si>
    <t>確認者１
(選択)</t>
    <rPh sb="0" eb="2">
      <t>カクニン</t>
    </rPh>
    <rPh sb="2" eb="3">
      <t>シャ</t>
    </rPh>
    <phoneticPr fontId="1"/>
  </si>
  <si>
    <t>確認日１
(手入力)</t>
    <rPh sb="0" eb="2">
      <t>カクニン</t>
    </rPh>
    <rPh sb="2" eb="3">
      <t>ビ</t>
    </rPh>
    <phoneticPr fontId="1"/>
  </si>
  <si>
    <t>確認日２
(手入力)</t>
    <rPh sb="0" eb="2">
      <t>カクニン</t>
    </rPh>
    <rPh sb="2" eb="3">
      <t>ビ</t>
    </rPh>
    <phoneticPr fontId="1"/>
  </si>
  <si>
    <t>備考
(手入力)</t>
    <rPh sb="0" eb="2">
      <t>ビコウ</t>
    </rPh>
    <phoneticPr fontId="1"/>
  </si>
  <si>
    <t>精算状況
(選択)</t>
    <rPh sb="0" eb="2">
      <t>セイサン</t>
    </rPh>
    <rPh sb="2" eb="4">
      <t>ジョウキョウ</t>
    </rPh>
    <phoneticPr fontId="1"/>
  </si>
  <si>
    <t>精算期限
(手入力)</t>
    <rPh sb="0" eb="2">
      <t>セイサン</t>
    </rPh>
    <phoneticPr fontId="1"/>
  </si>
  <si>
    <t>課税・非課税
(選択)</t>
    <rPh sb="0" eb="2">
      <t>カゼイ</t>
    </rPh>
    <rPh sb="3" eb="6">
      <t>ヒカゼイ</t>
    </rPh>
    <phoneticPr fontId="1"/>
  </si>
  <si>
    <t>領収書・請求書</t>
  </si>
  <si>
    <t>〇</t>
    <phoneticPr fontId="6"/>
  </si>
  <si>
    <t>×</t>
    <phoneticPr fontId="6"/>
  </si>
  <si>
    <t>領収書・請求書
(手入力)</t>
    <phoneticPr fontId="1"/>
  </si>
  <si>
    <t>精算状況</t>
    <rPh sb="0" eb="2">
      <t>セイサン</t>
    </rPh>
    <rPh sb="2" eb="4">
      <t>ジョウキョウ</t>
    </rPh>
    <phoneticPr fontId="1"/>
  </si>
  <si>
    <t>未精算</t>
    <rPh sb="0" eb="1">
      <t>ミ</t>
    </rPh>
    <rPh sb="1" eb="3">
      <t>セイサン</t>
    </rPh>
    <phoneticPr fontId="6"/>
  </si>
  <si>
    <t>精算金額
(手入力)</t>
    <rPh sb="0" eb="2">
      <t>セイサン</t>
    </rPh>
    <rPh sb="2" eb="4">
      <t>キンガク</t>
    </rPh>
    <rPh sb="6" eb="9">
      <t>テニュウリョク</t>
    </rPh>
    <phoneticPr fontId="1"/>
  </si>
  <si>
    <t>税抜金額
（自動計算）</t>
    <rPh sb="0" eb="2">
      <t>ゼイヌ</t>
    </rPh>
    <rPh sb="2" eb="3">
      <t>ゼイ</t>
    </rPh>
    <rPh sb="3" eb="4">
      <t>ヌ</t>
    </rPh>
    <rPh sb="4" eb="6">
      <t>キンガク</t>
    </rPh>
    <rPh sb="8" eb="10">
      <t>ジドウケイサン</t>
    </rPh>
    <phoneticPr fontId="6"/>
  </si>
  <si>
    <t>消費税</t>
    <rPh sb="0" eb="3">
      <t>ショウヒゼイ</t>
    </rPh>
    <phoneticPr fontId="1"/>
  </si>
  <si>
    <t>税抜金額の合計
(消費税無し)</t>
    <rPh sb="0" eb="2">
      <t>ゼイヌキ</t>
    </rPh>
    <rPh sb="2" eb="4">
      <t>キンガク</t>
    </rPh>
    <rPh sb="5" eb="7">
      <t>ゴウケイ</t>
    </rPh>
    <rPh sb="9" eb="12">
      <t>ショウヒゼイ</t>
    </rPh>
    <rPh sb="12" eb="13">
      <t>ナ</t>
    </rPh>
    <phoneticPr fontId="6"/>
  </si>
  <si>
    <t>韓　健美</t>
  </si>
  <si>
    <t>事務関係</t>
    <rPh sb="0" eb="2">
      <t>ジム</t>
    </rPh>
    <rPh sb="2" eb="4">
      <t>カンケイ</t>
    </rPh>
    <phoneticPr fontId="6"/>
  </si>
  <si>
    <t>事務</t>
    <rPh sb="0" eb="2">
      <t>ジム</t>
    </rPh>
    <phoneticPr fontId="6"/>
  </si>
  <si>
    <t>均等コスト</t>
    <rPh sb="0" eb="2">
      <t>キントウ</t>
    </rPh>
    <phoneticPr fontId="6"/>
  </si>
  <si>
    <t>移動交通費</t>
  </si>
  <si>
    <t>移動交通費</t>
    <phoneticPr fontId="6"/>
  </si>
  <si>
    <t>光熱水電費</t>
  </si>
  <si>
    <t>作業交通費</t>
  </si>
  <si>
    <t>作業交通費</t>
    <phoneticPr fontId="6"/>
  </si>
  <si>
    <t>連絡通信費</t>
  </si>
  <si>
    <t>その他</t>
  </si>
  <si>
    <t>富士通株式会社</t>
    <rPh sb="0" eb="7">
      <t>フジツウカブシキガイシャ</t>
    </rPh>
    <phoneticPr fontId="6"/>
  </si>
  <si>
    <t>同居料</t>
    <rPh sb="0" eb="2">
      <t>ドウキョ</t>
    </rPh>
    <rPh sb="2" eb="3">
      <t>リョウ</t>
    </rPh>
    <phoneticPr fontId="6"/>
  </si>
  <si>
    <t>連絡通信費</t>
    <phoneticPr fontId="6"/>
  </si>
  <si>
    <t>工具器具備品</t>
  </si>
  <si>
    <t>営業費用</t>
    <phoneticPr fontId="6"/>
  </si>
  <si>
    <t>光熱水電費</t>
    <phoneticPr fontId="6"/>
  </si>
  <si>
    <t>パートナー社員</t>
    <phoneticPr fontId="6"/>
  </si>
  <si>
    <t>上期</t>
    <rPh sb="0" eb="2">
      <t>カミキ</t>
    </rPh>
    <phoneticPr fontId="6"/>
  </si>
  <si>
    <t>下期</t>
    <rPh sb="0" eb="2">
      <t>シモキ</t>
    </rPh>
    <phoneticPr fontId="6"/>
  </si>
  <si>
    <t>芦 建軍</t>
  </si>
  <si>
    <t>黄 少蘭</t>
    <phoneticPr fontId="6"/>
  </si>
  <si>
    <t>羅 建英</t>
    <phoneticPr fontId="6"/>
  </si>
  <si>
    <t>竹澤　秀夫</t>
    <phoneticPr fontId="6"/>
  </si>
  <si>
    <t>待機コスト</t>
    <rPh sb="0" eb="2">
      <t>タイキ</t>
    </rPh>
    <phoneticPr fontId="6"/>
  </si>
  <si>
    <t>待機費用</t>
    <rPh sb="0" eb="2">
      <t>タイキ</t>
    </rPh>
    <rPh sb="2" eb="4">
      <t>ヒヨウ</t>
    </rPh>
    <phoneticPr fontId="6"/>
  </si>
  <si>
    <t>新聞図書費</t>
  </si>
  <si>
    <t>支払済消費税</t>
    <rPh sb="0" eb="2">
      <t>シハライ</t>
    </rPh>
    <rPh sb="2" eb="3">
      <t>ズ</t>
    </rPh>
    <rPh sb="3" eb="6">
      <t>ショウヒゼイ</t>
    </rPh>
    <phoneticPr fontId="1"/>
  </si>
  <si>
    <t>項目</t>
    <rPh sb="0" eb="2">
      <t>コウモク</t>
    </rPh>
    <phoneticPr fontId="6"/>
  </si>
  <si>
    <t>決算対象</t>
    <phoneticPr fontId="1"/>
  </si>
  <si>
    <r>
      <t>全て</t>
    </r>
    <r>
      <rPr>
        <sz val="11"/>
        <color rgb="FFFF0000"/>
        <rFont val="ＭＳ Ｐゴシック"/>
        <family val="3"/>
        <charset val="128"/>
        <scheme val="minor"/>
      </rPr>
      <t>ゼロ</t>
    </r>
    <r>
      <rPr>
        <sz val="11"/>
        <color theme="1"/>
        <rFont val="ＭＳ Ｐゴシック"/>
        <family val="3"/>
        <charset val="128"/>
        <scheme val="minor"/>
      </rPr>
      <t>のはず</t>
    </r>
    <rPh sb="0" eb="1">
      <t>スベ</t>
    </rPh>
    <phoneticPr fontId="1"/>
  </si>
  <si>
    <t>（支出明細から）</t>
    <phoneticPr fontId="6"/>
  </si>
  <si>
    <t>コピー用</t>
    <rPh sb="3" eb="4">
      <t>ヨウ</t>
    </rPh>
    <phoneticPr fontId="6"/>
  </si>
  <si>
    <t>TLZS社員</t>
    <rPh sb="4" eb="6">
      <t>シャイン</t>
    </rPh>
    <phoneticPr fontId="6"/>
  </si>
  <si>
    <t>教育訓練</t>
    <rPh sb="0" eb="2">
      <t>キョウイク</t>
    </rPh>
    <rPh sb="2" eb="4">
      <t>クンレン</t>
    </rPh>
    <phoneticPr fontId="6"/>
  </si>
  <si>
    <t>事務所</t>
    <phoneticPr fontId="6"/>
  </si>
  <si>
    <t>事務所</t>
    <rPh sb="0" eb="2">
      <t>ジム</t>
    </rPh>
    <rPh sb="2" eb="3">
      <t>ショ</t>
    </rPh>
    <phoneticPr fontId="6"/>
  </si>
  <si>
    <t>イベント費用</t>
    <phoneticPr fontId="6"/>
  </si>
  <si>
    <t>飲み物</t>
    <phoneticPr fontId="6"/>
  </si>
  <si>
    <t>営業本部</t>
  </si>
  <si>
    <t>営業本部</t>
    <phoneticPr fontId="1"/>
  </si>
  <si>
    <t>第一営業部</t>
  </si>
  <si>
    <t>第一営業部</t>
    <phoneticPr fontId="1"/>
  </si>
  <si>
    <t>第二営業部</t>
  </si>
  <si>
    <t>第二営業部</t>
    <phoneticPr fontId="1"/>
  </si>
  <si>
    <t>第一システム開発部</t>
  </si>
  <si>
    <t>第一システム開発部</t>
    <phoneticPr fontId="1"/>
  </si>
  <si>
    <t>第二システム開発部</t>
  </si>
  <si>
    <t>第二システム開発部</t>
    <phoneticPr fontId="1"/>
  </si>
  <si>
    <t>第三システム開発部</t>
  </si>
  <si>
    <t>第三システム開発部</t>
    <phoneticPr fontId="1"/>
  </si>
  <si>
    <t>第四システム開発部</t>
  </si>
  <si>
    <t>第四システム開発部</t>
    <phoneticPr fontId="1"/>
  </si>
  <si>
    <t>第五システム開発部</t>
  </si>
  <si>
    <t>第六システム開発部</t>
  </si>
  <si>
    <t>営業交通費</t>
  </si>
  <si>
    <t>営業通信費</t>
  </si>
  <si>
    <t>芦さん分</t>
    <rPh sb="0" eb="1">
      <t>ロ</t>
    </rPh>
    <rPh sb="3" eb="4">
      <t>ブン</t>
    </rPh>
    <phoneticPr fontId="6"/>
  </si>
  <si>
    <t>韓さん分</t>
    <rPh sb="0" eb="1">
      <t>カン</t>
    </rPh>
    <rPh sb="3" eb="4">
      <t>ブン</t>
    </rPh>
    <phoneticPr fontId="6"/>
  </si>
  <si>
    <t>諏訪さん分</t>
    <rPh sb="0" eb="2">
      <t>スワ</t>
    </rPh>
    <rPh sb="4" eb="5">
      <t>ブン</t>
    </rPh>
    <phoneticPr fontId="6"/>
  </si>
  <si>
    <t>張雪強さん分</t>
    <rPh sb="0" eb="1">
      <t>チョウ</t>
    </rPh>
    <rPh sb="1" eb="2">
      <t>ユキ</t>
    </rPh>
    <rPh sb="2" eb="3">
      <t>ツヨ</t>
    </rPh>
    <rPh sb="5" eb="6">
      <t>ブン</t>
    </rPh>
    <phoneticPr fontId="6"/>
  </si>
  <si>
    <t>王孜彤さん分</t>
    <rPh sb="0" eb="3">
      <t>オウシトウ</t>
    </rPh>
    <rPh sb="5" eb="6">
      <t>ブン</t>
    </rPh>
    <phoneticPr fontId="6"/>
  </si>
  <si>
    <t>西尾さん分</t>
    <rPh sb="0" eb="2">
      <t>ニシオ</t>
    </rPh>
    <rPh sb="4" eb="5">
      <t>ブン</t>
    </rPh>
    <phoneticPr fontId="6"/>
  </si>
  <si>
    <t>陳欣さん分</t>
    <rPh sb="0" eb="1">
      <t>チン</t>
    </rPh>
    <rPh sb="1" eb="2">
      <t>キン</t>
    </rPh>
    <rPh sb="4" eb="5">
      <t>ブン</t>
    </rPh>
    <phoneticPr fontId="6"/>
  </si>
  <si>
    <t>未定</t>
    <rPh sb="0" eb="2">
      <t>ミテイ</t>
    </rPh>
    <phoneticPr fontId="6"/>
  </si>
  <si>
    <t>面接などの交通費</t>
    <rPh sb="0" eb="2">
      <t>メンセツ</t>
    </rPh>
    <rPh sb="5" eb="8">
      <t>コウツウヒ</t>
    </rPh>
    <phoneticPr fontId="6"/>
  </si>
  <si>
    <t>営業用携帯電話もしくは、営業さんの携帯通信費</t>
    <rPh sb="0" eb="2">
      <t>エイギョウ</t>
    </rPh>
    <rPh sb="2" eb="3">
      <t>ヨウ</t>
    </rPh>
    <rPh sb="3" eb="7">
      <t>ケイタイデンワ</t>
    </rPh>
    <rPh sb="12" eb="14">
      <t>エイギョウ</t>
    </rPh>
    <rPh sb="17" eb="19">
      <t>ケイタイ</t>
    </rPh>
    <rPh sb="19" eb="22">
      <t>ツウシンヒ</t>
    </rPh>
    <phoneticPr fontId="6"/>
  </si>
  <si>
    <t>各種管理</t>
    <rPh sb="0" eb="2">
      <t>カクシュ</t>
    </rPh>
    <rPh sb="2" eb="4">
      <t>カンリ</t>
    </rPh>
    <phoneticPr fontId="6"/>
  </si>
  <si>
    <t>東京本社</t>
    <rPh sb="0" eb="2">
      <t>トウキョウ</t>
    </rPh>
    <rPh sb="2" eb="4">
      <t>ホンシャ</t>
    </rPh>
    <phoneticPr fontId="6"/>
  </si>
  <si>
    <t>各種管理</t>
    <phoneticPr fontId="6"/>
  </si>
  <si>
    <t>東京本社</t>
  </si>
  <si>
    <t>出張宿泊費</t>
    <rPh sb="0" eb="2">
      <t>シュッチョウ</t>
    </rPh>
    <rPh sb="2" eb="5">
      <t>シュクハクヒ</t>
    </rPh>
    <phoneticPr fontId="6"/>
  </si>
  <si>
    <t>事務所利用料</t>
    <rPh sb="0" eb="3">
      <t>ジムショ</t>
    </rPh>
    <rPh sb="3" eb="6">
      <t>リヨウリョウ</t>
    </rPh>
    <phoneticPr fontId="6"/>
  </si>
  <si>
    <t>給料支払</t>
    <rPh sb="0" eb="2">
      <t>キュウリョウ</t>
    </rPh>
    <rPh sb="2" eb="4">
      <t>シハラ</t>
    </rPh>
    <phoneticPr fontId="6"/>
  </si>
  <si>
    <t>寮賃料</t>
    <rPh sb="0" eb="1">
      <t>リョウ</t>
    </rPh>
    <rPh sb="1" eb="3">
      <t>チンリョウ</t>
    </rPh>
    <phoneticPr fontId="6"/>
  </si>
  <si>
    <t>精算費用</t>
    <rPh sb="0" eb="2">
      <t>セイサン</t>
    </rPh>
    <rPh sb="2" eb="4">
      <t>ヒヨウ</t>
    </rPh>
    <phoneticPr fontId="6"/>
  </si>
  <si>
    <t>精算費用</t>
    <rPh sb="0" eb="4">
      <t>セイサンヒヨウ</t>
    </rPh>
    <phoneticPr fontId="6"/>
  </si>
  <si>
    <t>法人税</t>
    <rPh sb="0" eb="2">
      <t>ホウジン</t>
    </rPh>
    <rPh sb="2" eb="3">
      <t>ゼイ</t>
    </rPh>
    <phoneticPr fontId="6"/>
  </si>
  <si>
    <t>支出方法</t>
    <phoneticPr fontId="1"/>
  </si>
  <si>
    <t>法人税</t>
    <rPh sb="0" eb="3">
      <t>ホウジンゼイ</t>
    </rPh>
    <phoneticPr fontId="6"/>
  </si>
  <si>
    <t>配賦費</t>
  </si>
  <si>
    <t>配賦費</t>
    <phoneticPr fontId="6"/>
  </si>
  <si>
    <t>支払方法
(選択)</t>
    <rPh sb="0" eb="2">
      <t>シハライ</t>
    </rPh>
    <rPh sb="2" eb="4">
      <t>ホウホウ</t>
    </rPh>
    <phoneticPr fontId="6"/>
  </si>
  <si>
    <t>イベント費用</t>
  </si>
  <si>
    <t>海外接待費</t>
    <rPh sb="0" eb="2">
      <t>カイガイ</t>
    </rPh>
    <rPh sb="2" eb="5">
      <t>セッタイヒ</t>
    </rPh>
    <phoneticPr fontId="6"/>
  </si>
  <si>
    <t>固定資産</t>
    <rPh sb="0" eb="4">
      <t>コテイシサン</t>
    </rPh>
    <phoneticPr fontId="6"/>
  </si>
  <si>
    <t>償却資産費用</t>
  </si>
  <si>
    <t>慶弔見舞金</t>
  </si>
  <si>
    <t>慶弔見舞金</t>
    <phoneticPr fontId="6"/>
  </si>
  <si>
    <t>飲み物</t>
  </si>
  <si>
    <t>健康診断料</t>
  </si>
  <si>
    <t>社宅備品</t>
    <rPh sb="0" eb="2">
      <t>シャタク</t>
    </rPh>
    <rPh sb="2" eb="4">
      <t>ビヒン</t>
    </rPh>
    <phoneticPr fontId="6"/>
  </si>
  <si>
    <t>社宅損失金</t>
    <rPh sb="0" eb="2">
      <t>シャタク</t>
    </rPh>
    <rPh sb="2" eb="4">
      <t>ソンシツ</t>
    </rPh>
    <rPh sb="4" eb="5">
      <t>キン</t>
    </rPh>
    <phoneticPr fontId="6"/>
  </si>
  <si>
    <t>寮賃料</t>
    <phoneticPr fontId="6"/>
  </si>
  <si>
    <t>消費税率</t>
    <rPh sb="0" eb="3">
      <t>ショウヒゼイ</t>
    </rPh>
    <rPh sb="3" eb="4">
      <t>リツ</t>
    </rPh>
    <phoneticPr fontId="1"/>
  </si>
  <si>
    <t>東京本社</t>
    <phoneticPr fontId="6"/>
  </si>
  <si>
    <t>支払手数料</t>
  </si>
  <si>
    <t>陳倩</t>
  </si>
  <si>
    <t>陳倩</t>
    <phoneticPr fontId="6"/>
  </si>
  <si>
    <t>岩本町事務所源泉徴収</t>
    <rPh sb="3" eb="5">
      <t>ジム</t>
    </rPh>
    <rPh sb="5" eb="6">
      <t>ショ</t>
    </rPh>
    <rPh sb="6" eb="10">
      <t>ゲンセンチョウシュウ</t>
    </rPh>
    <phoneticPr fontId="6"/>
  </si>
  <si>
    <t>BZ手数料月利用額</t>
    <rPh sb="5" eb="6">
      <t>ツキ</t>
    </rPh>
    <rPh sb="6" eb="8">
      <t>リヨウ</t>
    </rPh>
    <rPh sb="8" eb="9">
      <t>ガク</t>
    </rPh>
    <phoneticPr fontId="6"/>
  </si>
  <si>
    <t>202007</t>
    <phoneticPr fontId="1"/>
  </si>
  <si>
    <t>202008</t>
    <phoneticPr fontId="1"/>
  </si>
  <si>
    <t>202009</t>
  </si>
  <si>
    <t>202010</t>
  </si>
  <si>
    <t>202011</t>
  </si>
  <si>
    <t>202012</t>
  </si>
  <si>
    <t>202101</t>
    <phoneticPr fontId="1"/>
  </si>
  <si>
    <t>202102</t>
    <phoneticPr fontId="1"/>
  </si>
  <si>
    <t>202103</t>
  </si>
  <si>
    <t>202104</t>
  </si>
  <si>
    <t>202105</t>
  </si>
  <si>
    <t>202106</t>
  </si>
  <si>
    <t>〇</t>
  </si>
  <si>
    <t>芦建軍</t>
    <rPh sb="0" eb="1">
      <t>ロ</t>
    </rPh>
    <rPh sb="1" eb="2">
      <t>ケン</t>
    </rPh>
    <rPh sb="2" eb="3">
      <t>グン</t>
    </rPh>
    <phoneticPr fontId="6"/>
  </si>
  <si>
    <t>食事代</t>
    <rPh sb="0" eb="3">
      <t>ショクジダイ</t>
    </rPh>
    <phoneticPr fontId="6"/>
  </si>
  <si>
    <t>×</t>
  </si>
  <si>
    <t>労使協定の作成</t>
    <rPh sb="0" eb="4">
      <t>ロウシキョウテイ</t>
    </rPh>
    <rPh sb="5" eb="7">
      <t>サクセイ</t>
    </rPh>
    <phoneticPr fontId="6"/>
  </si>
  <si>
    <t>テレワークの作成</t>
    <rPh sb="6" eb="8">
      <t>サクセイ</t>
    </rPh>
    <phoneticPr fontId="6"/>
  </si>
  <si>
    <t>川口Mioオフィス料金　8月分</t>
    <phoneticPr fontId="6"/>
  </si>
  <si>
    <r>
      <t>岩本町オフィス料金</t>
    </r>
    <r>
      <rPr>
        <sz val="11"/>
        <color theme="1"/>
        <rFont val="Microsoft YaHei"/>
        <family val="3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８月分</t>
    </r>
    <rPh sb="11" eb="12">
      <t>ガツ</t>
    </rPh>
    <rPh sb="12" eb="13">
      <t>ブン</t>
    </rPh>
    <phoneticPr fontId="6"/>
  </si>
  <si>
    <t>社労士事務所</t>
    <rPh sb="0" eb="3">
      <t>シャロウシ</t>
    </rPh>
    <rPh sb="3" eb="6">
      <t>ジムショ</t>
    </rPh>
    <phoneticPr fontId="6"/>
  </si>
  <si>
    <t>営業本部</t>
    <phoneticPr fontId="6"/>
  </si>
  <si>
    <t>第二営業部</t>
    <phoneticPr fontId="6"/>
  </si>
  <si>
    <t>諏訪晴秀</t>
    <phoneticPr fontId="6"/>
  </si>
  <si>
    <t>芦建軍</t>
    <phoneticPr fontId="6"/>
  </si>
  <si>
    <t>名刺代</t>
    <phoneticPr fontId="6"/>
  </si>
  <si>
    <t>税理士事務所</t>
    <phoneticPr fontId="6"/>
  </si>
  <si>
    <t>5-1315</t>
    <phoneticPr fontId="6"/>
  </si>
  <si>
    <t>5-304</t>
    <phoneticPr fontId="6"/>
  </si>
  <si>
    <t>RICOH</t>
    <phoneticPr fontId="6"/>
  </si>
  <si>
    <t>口座引落</t>
    <rPh sb="0" eb="2">
      <t>コウザ</t>
    </rPh>
    <rPh sb="2" eb="4">
      <t>ヒキオトシ</t>
    </rPh>
    <phoneticPr fontId="6"/>
  </si>
  <si>
    <t>_株式会社ウィンテクノ</t>
    <phoneticPr fontId="6"/>
  </si>
  <si>
    <t>AWS利用料</t>
    <phoneticPr fontId="6"/>
  </si>
  <si>
    <t>諏訪 晴秀</t>
    <phoneticPr fontId="6"/>
  </si>
  <si>
    <t>林 美頴</t>
    <phoneticPr fontId="6"/>
  </si>
  <si>
    <t>管理</t>
    <rPh sb="0" eb="2">
      <t>カンリ</t>
    </rPh>
    <phoneticPr fontId="6"/>
  </si>
  <si>
    <t>CEO</t>
    <phoneticPr fontId="6"/>
  </si>
  <si>
    <t>開発本部長</t>
    <rPh sb="0" eb="2">
      <t>カイハツ</t>
    </rPh>
    <rPh sb="2" eb="5">
      <t>ホンブチョウ</t>
    </rPh>
    <phoneticPr fontId="6"/>
  </si>
  <si>
    <t>芦　建軍</t>
    <phoneticPr fontId="6"/>
  </si>
  <si>
    <t>王　孜彤</t>
    <rPh sb="0" eb="1">
      <t>オウ</t>
    </rPh>
    <rPh sb="2" eb="3">
      <t>シ</t>
    </rPh>
    <rPh sb="3" eb="4">
      <t>トウ</t>
    </rPh>
    <phoneticPr fontId="6"/>
  </si>
  <si>
    <t>営業本部長</t>
    <rPh sb="0" eb="2">
      <t>エイギョウ</t>
    </rPh>
    <rPh sb="2" eb="5">
      <t>ホンブチョウ</t>
    </rPh>
    <phoneticPr fontId="6"/>
  </si>
  <si>
    <t>顧問</t>
    <rPh sb="0" eb="2">
      <t>コモン</t>
    </rPh>
    <phoneticPr fontId="6"/>
  </si>
  <si>
    <t>第一営業部部長</t>
    <rPh sb="0" eb="2">
      <t>ダイイチ</t>
    </rPh>
    <rPh sb="2" eb="5">
      <t>エイギョウブ</t>
    </rPh>
    <rPh sb="5" eb="7">
      <t>ブチョウ</t>
    </rPh>
    <phoneticPr fontId="6"/>
  </si>
  <si>
    <t>　メンバー</t>
    <phoneticPr fontId="6"/>
  </si>
  <si>
    <t>福満 義信</t>
    <rPh sb="0" eb="1">
      <t>フク</t>
    </rPh>
    <rPh sb="1" eb="2">
      <t>ミツル</t>
    </rPh>
    <rPh sb="3" eb="5">
      <t>ヨシノブ</t>
    </rPh>
    <phoneticPr fontId="6"/>
  </si>
  <si>
    <t>楊 テイカク</t>
    <rPh sb="0" eb="1">
      <t>ヨウ</t>
    </rPh>
    <phoneticPr fontId="6"/>
  </si>
  <si>
    <t>研究開発</t>
    <rPh sb="0" eb="2">
      <t>ケンキュウ</t>
    </rPh>
    <rPh sb="2" eb="4">
      <t>カイハツ</t>
    </rPh>
    <phoneticPr fontId="6"/>
  </si>
  <si>
    <t>CTO</t>
    <phoneticPr fontId="6"/>
  </si>
  <si>
    <t>車 宏偉</t>
    <rPh sb="0" eb="1">
      <t>クルマ</t>
    </rPh>
    <rPh sb="2" eb="3">
      <t>ヒロシ</t>
    </rPh>
    <rPh sb="3" eb="4">
      <t>イ</t>
    </rPh>
    <phoneticPr fontId="6"/>
  </si>
  <si>
    <t>人名</t>
    <rPh sb="0" eb="2">
      <t>ジンメイ</t>
    </rPh>
    <phoneticPr fontId="6"/>
  </si>
  <si>
    <t>税抜金額の合計</t>
    <rPh sb="5" eb="7">
      <t>ゴウケイ</t>
    </rPh>
    <phoneticPr fontId="6"/>
  </si>
  <si>
    <t>消費税の合計</t>
    <rPh sb="0" eb="3">
      <t>ショウヒゼイ</t>
    </rPh>
    <rPh sb="4" eb="6">
      <t>ゴウケイ</t>
    </rPh>
    <phoneticPr fontId="6"/>
  </si>
  <si>
    <t>開発本部</t>
    <rPh sb="0" eb="2">
      <t>カイハツ</t>
    </rPh>
    <rPh sb="2" eb="4">
      <t>ホンブ</t>
    </rPh>
    <phoneticPr fontId="1"/>
  </si>
  <si>
    <t>DX事業本部</t>
    <rPh sb="2" eb="4">
      <t>ジギョウ</t>
    </rPh>
    <rPh sb="4" eb="6">
      <t>ホンブ</t>
    </rPh>
    <phoneticPr fontId="6"/>
  </si>
  <si>
    <t>社宅清掃費</t>
    <rPh sb="0" eb="2">
      <t>シャタク</t>
    </rPh>
    <rPh sb="2" eb="4">
      <t>セイソウ</t>
    </rPh>
    <rPh sb="4" eb="5">
      <t>ヒ</t>
    </rPh>
    <phoneticPr fontId="6"/>
  </si>
  <si>
    <t>有形資産</t>
    <rPh sb="0" eb="1">
      <t>アリ</t>
    </rPh>
    <rPh sb="1" eb="2">
      <t>ケイ</t>
    </rPh>
    <rPh sb="2" eb="4">
      <t>シサン</t>
    </rPh>
    <phoneticPr fontId="6"/>
  </si>
  <si>
    <t>無形資産</t>
    <rPh sb="0" eb="1">
      <t>ム</t>
    </rPh>
    <rPh sb="1" eb="2">
      <t>ケイ</t>
    </rPh>
    <phoneticPr fontId="6"/>
  </si>
  <si>
    <t>有形資産</t>
    <phoneticPr fontId="6"/>
  </si>
  <si>
    <t>有形資産償却</t>
    <rPh sb="0" eb="2">
      <t>アリケイ</t>
    </rPh>
    <rPh sb="2" eb="4">
      <t>シサン</t>
    </rPh>
    <rPh sb="4" eb="6">
      <t>ショウキャク</t>
    </rPh>
    <phoneticPr fontId="6"/>
  </si>
  <si>
    <t>無形資産償却</t>
    <rPh sb="0" eb="1">
      <t>ム</t>
    </rPh>
    <rPh sb="1" eb="2">
      <t>ケイ</t>
    </rPh>
    <rPh sb="2" eb="4">
      <t>シサン</t>
    </rPh>
    <rPh sb="4" eb="6">
      <t>ショウキャク</t>
    </rPh>
    <phoneticPr fontId="6"/>
  </si>
  <si>
    <t>寮の損失金</t>
    <rPh sb="0" eb="1">
      <t>リョウ</t>
    </rPh>
    <rPh sb="2" eb="5">
      <t>ソンシツキン</t>
    </rPh>
    <phoneticPr fontId="6"/>
  </si>
  <si>
    <t>他資料から</t>
    <phoneticPr fontId="6"/>
  </si>
  <si>
    <t>社員</t>
    <rPh sb="0" eb="2">
      <t>シャイン</t>
    </rPh>
    <phoneticPr fontId="6"/>
  </si>
  <si>
    <t>グループ社員</t>
    <rPh sb="4" eb="6">
      <t>シャイン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</si>
</sst>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¥&quot;#,##0;&quot;¥&quot;\-#,##0"/>
    <numFmt numFmtId="6" formatCode="&quot;¥&quot;#,##0;[Red]&quot;¥&quot;\-#,##0"/>
    <numFmt numFmtId="43" formatCode="_ * #,##0.00_ ;_ * \-#,##0.00_ ;_ * &quot;-&quot;??_ ;_ @_ "/>
    <numFmt numFmtId="176" formatCode="_-&quot;¥&quot;* #,##0.00_-\ ;\-&quot;¥&quot;* #,##0.00_-\ ;_-&quot;¥&quot;* &quot;-&quot;??_-\ ;_-@_-"/>
    <numFmt numFmtId="177" formatCode="0_ "/>
    <numFmt numFmtId="178" formatCode="#,##0_ ;[Red]\-#,##0\ "/>
  </numFmts>
  <fonts count="16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43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5" fontId="0" fillId="0" borderId="0" xfId="0" applyNumberFormat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1" xfId="0" applyFont="1" applyBorder="1">
      <alignment vertical="center"/>
    </xf>
    <xf numFmtId="6" fontId="7" fillId="0" borderId="1" xfId="0" applyNumberFormat="1" applyFont="1" applyBorder="1">
      <alignment vertical="center"/>
    </xf>
    <xf numFmtId="0" fontId="7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3" borderId="1" xfId="0" applyFill="1" applyBorder="1" applyAlignment="1">
      <alignment vertical="center"/>
    </xf>
    <xf numFmtId="0" fontId="5" fillId="0" borderId="0" xfId="0" applyFont="1">
      <alignment vertical="center"/>
    </xf>
    <xf numFmtId="0" fontId="0" fillId="3" borderId="1" xfId="0" applyFont="1" applyFill="1" applyBorder="1" applyAlignment="1">
      <alignment vertical="center"/>
    </xf>
    <xf numFmtId="6" fontId="5" fillId="3" borderId="1" xfId="0" applyNumberFormat="1" applyFont="1" applyFill="1" applyBorder="1">
      <alignment vertical="center"/>
    </xf>
    <xf numFmtId="6" fontId="5" fillId="0" borderId="1" xfId="0" applyNumberFormat="1" applyFont="1" applyBorder="1">
      <alignment vertical="center"/>
    </xf>
    <xf numFmtId="0" fontId="5" fillId="0" borderId="0" xfId="0" applyFont="1" applyAlignment="1">
      <alignment horizontal="center" vertical="center"/>
    </xf>
    <xf numFmtId="6" fontId="0" fillId="0" borderId="0" xfId="0" applyNumberFormat="1" applyAlignment="1">
      <alignment horizontal="center" vertical="center"/>
    </xf>
    <xf numFmtId="0" fontId="0" fillId="4" borderId="1" xfId="0" applyFill="1" applyBorder="1">
      <alignment vertical="center"/>
    </xf>
    <xf numFmtId="0" fontId="9" fillId="3" borderId="3" xfId="0" applyFont="1" applyFill="1" applyBorder="1">
      <alignment vertical="center"/>
    </xf>
    <xf numFmtId="0" fontId="9" fillId="3" borderId="6" xfId="0" applyFont="1" applyFill="1" applyBorder="1">
      <alignment vertical="center"/>
    </xf>
    <xf numFmtId="0" fontId="8" fillId="3" borderId="6" xfId="0" applyFont="1" applyFill="1" applyBorder="1">
      <alignment vertical="center"/>
    </xf>
    <xf numFmtId="0" fontId="0" fillId="3" borderId="1" xfId="0" applyNumberFormat="1" applyFill="1" applyBorder="1" applyAlignment="1">
      <alignment vertical="center"/>
    </xf>
    <xf numFmtId="0" fontId="0" fillId="3" borderId="3" xfId="0" applyFont="1" applyFill="1" applyBorder="1">
      <alignment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Font="1" applyBorder="1">
      <alignment vertical="center"/>
    </xf>
    <xf numFmtId="0" fontId="5" fillId="0" borderId="1" xfId="0" applyFont="1" applyBorder="1" applyAlignment="1">
      <alignment horizontal="left" vertical="center" wrapText="1"/>
    </xf>
    <xf numFmtId="0" fontId="5" fillId="0" borderId="0" xfId="0" applyFont="1" applyAlignment="1">
      <alignment vertical="center"/>
    </xf>
    <xf numFmtId="0" fontId="5" fillId="0" borderId="6" xfId="0" applyFont="1" applyBorder="1">
      <alignment vertical="center"/>
    </xf>
    <xf numFmtId="0" fontId="0" fillId="0" borderId="3" xfId="0" applyFont="1" applyBorder="1">
      <alignment vertical="center"/>
    </xf>
    <xf numFmtId="6" fontId="5" fillId="0" borderId="1" xfId="0" applyNumberFormat="1" applyFont="1" applyBorder="1" applyAlignme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6" fontId="0" fillId="3" borderId="1" xfId="0" applyNumberFormat="1" applyFill="1" applyBorder="1" applyAlignment="1">
      <alignment horizontal="right" vertical="center"/>
    </xf>
    <xf numFmtId="6" fontId="0" fillId="3" borderId="1" xfId="0" applyNumberFormat="1" applyFont="1" applyFill="1" applyBorder="1" applyAlignment="1">
      <alignment horizontal="right" vertical="center"/>
    </xf>
    <xf numFmtId="0" fontId="8" fillId="3" borderId="7" xfId="0" applyFont="1" applyFill="1" applyBorder="1">
      <alignment vertical="center"/>
    </xf>
    <xf numFmtId="0" fontId="5" fillId="0" borderId="7" xfId="0" applyFont="1" applyBorder="1">
      <alignment vertical="center"/>
    </xf>
    <xf numFmtId="6" fontId="0" fillId="4" borderId="1" xfId="0" applyNumberFormat="1" applyFont="1" applyFill="1" applyBorder="1" applyAlignment="1">
      <alignment horizontal="center" vertical="center" wrapText="1"/>
    </xf>
    <xf numFmtId="6" fontId="5" fillId="4" borderId="1" xfId="0" applyNumberFormat="1" applyFont="1" applyFill="1" applyBorder="1">
      <alignment vertical="center"/>
    </xf>
    <xf numFmtId="6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6" fontId="0" fillId="7" borderId="1" xfId="0" applyNumberFormat="1" applyFill="1" applyBorder="1" applyAlignment="1">
      <alignment vertical="center"/>
    </xf>
    <xf numFmtId="0" fontId="0" fillId="9" borderId="1" xfId="0" applyFill="1" applyBorder="1">
      <alignment vertical="center"/>
    </xf>
    <xf numFmtId="0" fontId="0" fillId="9" borderId="1" xfId="0" applyFill="1" applyBorder="1" applyAlignment="1">
      <alignment vertical="center"/>
    </xf>
    <xf numFmtId="0" fontId="0" fillId="9" borderId="1" xfId="0" applyNumberFormat="1" applyFill="1" applyBorder="1" applyAlignment="1">
      <alignment vertical="center"/>
    </xf>
    <xf numFmtId="0" fontId="0" fillId="9" borderId="1" xfId="0" applyFont="1" applyFill="1" applyBorder="1" applyAlignment="1">
      <alignment vertical="center"/>
    </xf>
    <xf numFmtId="0" fontId="0" fillId="9" borderId="1" xfId="0" applyFont="1" applyFill="1" applyBorder="1" applyAlignment="1">
      <alignment horizontal="left" vertical="center" wrapText="1"/>
    </xf>
    <xf numFmtId="14" fontId="5" fillId="0" borderId="1" xfId="0" applyNumberFormat="1" applyFont="1" applyFill="1" applyBorder="1" applyAlignment="1" applyProtection="1">
      <alignment horizontal="center" vertical="center"/>
      <protection locked="0"/>
    </xf>
    <xf numFmtId="14" fontId="0" fillId="6" borderId="1" xfId="0" applyNumberFormat="1" applyFill="1" applyBorder="1" applyAlignment="1" applyProtection="1">
      <alignment horizontal="center" vertical="center"/>
      <protection locked="0"/>
    </xf>
    <xf numFmtId="14" fontId="0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left" vertical="center"/>
      <protection locked="0"/>
    </xf>
    <xf numFmtId="14" fontId="5" fillId="0" borderId="1" xfId="0" applyNumberFormat="1" applyFont="1" applyFill="1" applyBorder="1" applyAlignment="1" applyProtection="1">
      <alignment horizontal="left" vertical="center"/>
      <protection locked="0"/>
    </xf>
    <xf numFmtId="14" fontId="5" fillId="6" borderId="1" xfId="0" applyNumberFormat="1" applyFont="1" applyFill="1" applyBorder="1" applyAlignment="1" applyProtection="1">
      <alignment horizontal="center" vertical="center"/>
      <protection locked="0"/>
    </xf>
    <xf numFmtId="6" fontId="5" fillId="0" borderId="1" xfId="0" applyNumberFormat="1" applyFont="1" applyFill="1" applyBorder="1" applyAlignment="1" applyProtection="1">
      <alignment vertical="center"/>
      <protection locked="0"/>
    </xf>
    <xf numFmtId="0" fontId="0" fillId="6" borderId="1" xfId="0" applyFill="1" applyBorder="1" applyAlignment="1" applyProtection="1">
      <alignment horizontal="center" vertical="center"/>
      <protection locked="0"/>
    </xf>
    <xf numFmtId="0" fontId="0" fillId="6" borderId="1" xfId="0" applyNumberFormat="1" applyFill="1" applyBorder="1" applyAlignment="1" applyProtection="1">
      <alignment horizontal="center" vertical="center"/>
      <protection locked="0"/>
    </xf>
    <xf numFmtId="14" fontId="0" fillId="0" borderId="1" xfId="0" applyNumberFormat="1" applyFont="1" applyFill="1" applyBorder="1" applyAlignment="1" applyProtection="1">
      <alignment horizontal="left" vertic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6" fontId="10" fillId="0" borderId="8" xfId="0" applyNumberFormat="1" applyFont="1" applyBorder="1" applyAlignment="1" applyProtection="1">
      <alignment horizontal="right" vertical="center"/>
    </xf>
    <xf numFmtId="6" fontId="10" fillId="0" borderId="1" xfId="0" applyNumberFormat="1" applyFont="1" applyBorder="1" applyAlignment="1" applyProtection="1">
      <alignment vertical="center"/>
    </xf>
    <xf numFmtId="6" fontId="10" fillId="0" borderId="8" xfId="0" applyNumberFormat="1" applyFont="1" applyBorder="1" applyAlignment="1" applyProtection="1">
      <alignment horizontal="center" vertical="center"/>
    </xf>
    <xf numFmtId="0" fontId="10" fillId="0" borderId="8" xfId="0" applyFont="1" applyBorder="1" applyAlignment="1" applyProtection="1">
      <alignment horizontal="center" vertical="center"/>
    </xf>
    <xf numFmtId="14" fontId="10" fillId="0" borderId="8" xfId="0" applyNumberFormat="1" applyFont="1" applyBorder="1" applyAlignment="1" applyProtection="1">
      <alignment horizontal="center" vertical="center"/>
    </xf>
    <xf numFmtId="0" fontId="10" fillId="0" borderId="8" xfId="0" applyFont="1" applyBorder="1" applyAlignment="1" applyProtection="1">
      <alignment horizontal="left" vertical="center"/>
    </xf>
    <xf numFmtId="0" fontId="0" fillId="2" borderId="3" xfId="0" applyNumberFormat="1" applyFont="1" applyFill="1" applyBorder="1" applyAlignment="1" applyProtection="1">
      <alignment horizontal="center" vertical="center"/>
    </xf>
    <xf numFmtId="14" fontId="0" fillId="2" borderId="3" xfId="0" applyNumberFormat="1" applyFont="1" applyFill="1" applyBorder="1" applyAlignment="1" applyProtection="1">
      <alignment horizontal="center" vertical="center" wrapText="1"/>
    </xf>
    <xf numFmtId="14" fontId="0" fillId="8" borderId="3" xfId="0" applyNumberFormat="1" applyFont="1" applyFill="1" applyBorder="1" applyAlignment="1" applyProtection="1">
      <alignment horizontal="center" vertical="center" wrapText="1"/>
    </xf>
    <xf numFmtId="0" fontId="0" fillId="8" borderId="3" xfId="0" applyFont="1" applyFill="1" applyBorder="1" applyAlignment="1" applyProtection="1">
      <alignment horizontal="center" vertical="center" wrapText="1"/>
    </xf>
    <xf numFmtId="0" fontId="0" fillId="2" borderId="3" xfId="0" applyFont="1" applyFill="1" applyBorder="1" applyAlignment="1" applyProtection="1">
      <alignment horizontal="center" vertical="center" wrapText="1"/>
    </xf>
    <xf numFmtId="6" fontId="0" fillId="2" borderId="4" xfId="0" applyNumberFormat="1" applyFont="1" applyFill="1" applyBorder="1" applyAlignment="1" applyProtection="1">
      <alignment horizontal="center" vertical="center" wrapText="1"/>
    </xf>
    <xf numFmtId="14" fontId="0" fillId="4" borderId="3" xfId="0" applyNumberFormat="1" applyFont="1" applyFill="1" applyBorder="1" applyAlignment="1" applyProtection="1">
      <alignment horizontal="center" vertical="center" wrapText="1"/>
    </xf>
    <xf numFmtId="5" fontId="0" fillId="2" borderId="3" xfId="0" applyNumberFormat="1" applyFont="1" applyFill="1" applyBorder="1" applyAlignment="1" applyProtection="1">
      <alignment horizontal="center" vertical="center" wrapText="1"/>
    </xf>
    <xf numFmtId="5" fontId="0" fillId="8" borderId="3" xfId="0" applyNumberFormat="1" applyFont="1" applyFill="1" applyBorder="1" applyAlignment="1" applyProtection="1">
      <alignment horizontal="center" vertical="center" wrapText="1"/>
    </xf>
    <xf numFmtId="14" fontId="0" fillId="0" borderId="1" xfId="0" applyNumberFormat="1" applyFont="1" applyFill="1" applyBorder="1" applyAlignment="1" applyProtection="1">
      <alignment horizontal="center" vertical="center"/>
      <protection locked="0"/>
    </xf>
    <xf numFmtId="0" fontId="10" fillId="3" borderId="8" xfId="0" applyNumberFormat="1" applyFont="1" applyFill="1" applyBorder="1" applyAlignment="1" applyProtection="1">
      <alignment vertical="center"/>
    </xf>
    <xf numFmtId="0" fontId="0" fillId="2" borderId="7" xfId="0" applyFill="1" applyBorder="1" applyAlignment="1">
      <alignment vertical="center"/>
    </xf>
    <xf numFmtId="0" fontId="10" fillId="0" borderId="0" xfId="0" applyFont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6" fontId="0" fillId="3" borderId="5" xfId="0" applyNumberFormat="1" applyFill="1" applyBorder="1" applyAlignment="1">
      <alignment horizontal="right" vertical="center"/>
    </xf>
    <xf numFmtId="0" fontId="9" fillId="9" borderId="3" xfId="0" applyFont="1" applyFill="1" applyBorder="1">
      <alignment vertical="center"/>
    </xf>
    <xf numFmtId="0" fontId="9" fillId="9" borderId="1" xfId="0" applyFont="1" applyFill="1" applyBorder="1" applyAlignment="1">
      <alignment vertical="center"/>
    </xf>
    <xf numFmtId="0" fontId="9" fillId="9" borderId="6" xfId="0" applyFont="1" applyFill="1" applyBorder="1">
      <alignment vertical="center"/>
    </xf>
    <xf numFmtId="0" fontId="9" fillId="9" borderId="7" xfId="0" applyFont="1" applyFill="1" applyBorder="1">
      <alignment vertical="center"/>
    </xf>
    <xf numFmtId="177" fontId="5" fillId="0" borderId="1" xfId="0" applyNumberFormat="1" applyFont="1" applyBorder="1">
      <alignment vertical="center"/>
    </xf>
    <xf numFmtId="0" fontId="0" fillId="0" borderId="1" xfId="0" applyFont="1" applyBorder="1" applyAlignment="1">
      <alignment vertical="center"/>
    </xf>
    <xf numFmtId="6" fontId="5" fillId="4" borderId="1" xfId="0" applyNumberFormat="1" applyFont="1" applyFill="1" applyBorder="1" applyAlignment="1">
      <alignment vertical="center"/>
    </xf>
    <xf numFmtId="0" fontId="0" fillId="2" borderId="4" xfId="0" applyFill="1" applyBorder="1">
      <alignment vertical="center"/>
    </xf>
    <xf numFmtId="6" fontId="5" fillId="0" borderId="5" xfId="0" applyNumberFormat="1" applyFont="1" applyBorder="1" applyAlignment="1">
      <alignment vertical="center"/>
    </xf>
    <xf numFmtId="0" fontId="0" fillId="2" borderId="5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vertical="center"/>
    </xf>
    <xf numFmtId="6" fontId="7" fillId="0" borderId="1" xfId="0" applyNumberFormat="1" applyFont="1" applyBorder="1" applyAlignment="1">
      <alignment horizontal="center" vertical="center"/>
    </xf>
    <xf numFmtId="14" fontId="0" fillId="5" borderId="1" xfId="0" applyNumberFormat="1" applyFont="1" applyFill="1" applyBorder="1" applyAlignment="1" applyProtection="1">
      <alignment horizontal="left" vertical="center"/>
      <protection locked="0"/>
    </xf>
    <xf numFmtId="0" fontId="0" fillId="5" borderId="1" xfId="0" applyFont="1" applyFill="1" applyBorder="1" applyAlignment="1" applyProtection="1">
      <alignment horizontal="left" vertical="center"/>
      <protection locked="0"/>
    </xf>
    <xf numFmtId="178" fontId="0" fillId="3" borderId="1" xfId="0" applyNumberFormat="1" applyFill="1" applyBorder="1" applyAlignment="1">
      <alignment horizontal="right" vertical="center"/>
    </xf>
    <xf numFmtId="0" fontId="9" fillId="9" borderId="1" xfId="0" applyFont="1" applyFill="1" applyBorder="1">
      <alignment vertical="center"/>
    </xf>
    <xf numFmtId="6" fontId="7" fillId="0" borderId="1" xfId="0" applyNumberFormat="1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6" fontId="0" fillId="3" borderId="9" xfId="0" applyNumberFormat="1" applyFill="1" applyBorder="1" applyAlignment="1">
      <alignment horizontal="right" vertical="center"/>
    </xf>
    <xf numFmtId="6" fontId="0" fillId="3" borderId="7" xfId="0" applyNumberFormat="1" applyFill="1" applyBorder="1" applyAlignment="1">
      <alignment horizontal="right" vertical="center"/>
    </xf>
    <xf numFmtId="6" fontId="0" fillId="3" borderId="7" xfId="0" applyNumberFormat="1" applyFont="1" applyFill="1" applyBorder="1" applyAlignment="1">
      <alignment horizontal="right" vertical="center"/>
    </xf>
    <xf numFmtId="0" fontId="5" fillId="0" borderId="7" xfId="0" applyFont="1" applyBorder="1" applyAlignment="1">
      <alignment horizontal="left" vertical="center" wrapText="1"/>
    </xf>
    <xf numFmtId="177" fontId="5" fillId="0" borderId="7" xfId="0" applyNumberFormat="1" applyFont="1" applyBorder="1" applyAlignment="1">
      <alignment vertical="center"/>
    </xf>
    <xf numFmtId="177" fontId="5" fillId="0" borderId="7" xfId="0" applyNumberFormat="1" applyFont="1" applyBorder="1">
      <alignment vertical="center"/>
    </xf>
    <xf numFmtId="0" fontId="15" fillId="4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 vertical="center"/>
    </xf>
    <xf numFmtId="6" fontId="7" fillId="0" borderId="1" xfId="0" applyNumberFormat="1" applyFont="1" applyFill="1" applyBorder="1">
      <alignment vertical="center"/>
    </xf>
    <xf numFmtId="14" fontId="0" fillId="3" borderId="1" xfId="0" applyNumberFormat="1" applyFont="1" applyFill="1" applyBorder="1" applyAlignment="1" applyProtection="1">
      <alignment horizontal="left" vertical="center"/>
      <protection locked="0"/>
    </xf>
    <xf numFmtId="0" fontId="5" fillId="4" borderId="1" xfId="0" applyNumberFormat="1" applyFont="1" applyFill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7" fillId="2" borderId="1" xfId="0" applyFont="1" applyFill="1" applyBorder="1">
      <alignment vertical="center"/>
    </xf>
    <xf numFmtId="0" fontId="0" fillId="2" borderId="1" xfId="0" applyFont="1" applyFill="1" applyBorder="1" applyAlignment="1">
      <alignment horizontal="center" vertical="center" wrapText="1"/>
    </xf>
    <xf numFmtId="0" fontId="0" fillId="4" borderId="1" xfId="0" applyNumberForma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9" fontId="5" fillId="0" borderId="1" xfId="0" applyNumberFormat="1" applyFont="1" applyBorder="1" applyAlignment="1" applyProtection="1">
      <alignment horizontal="center" vertical="center"/>
      <protection locked="0"/>
    </xf>
    <xf numFmtId="0" fontId="0" fillId="5" borderId="1" xfId="0" applyNumberFormat="1" applyFill="1" applyBorder="1" applyAlignment="1">
      <alignment horizontal="center" vertical="center"/>
    </xf>
    <xf numFmtId="14" fontId="5" fillId="5" borderId="1" xfId="0" applyNumberFormat="1" applyFont="1" applyFill="1" applyBorder="1" applyAlignment="1" applyProtection="1">
      <alignment horizontal="center" vertical="center"/>
      <protection locked="0"/>
    </xf>
    <xf numFmtId="6" fontId="5" fillId="5" borderId="1" xfId="0" applyNumberFormat="1" applyFont="1" applyFill="1" applyBorder="1" applyAlignment="1" applyProtection="1">
      <alignment vertical="center"/>
      <protection locked="0"/>
    </xf>
    <xf numFmtId="9" fontId="5" fillId="5" borderId="1" xfId="0" applyNumberFormat="1" applyFont="1" applyFill="1" applyBorder="1" applyAlignment="1" applyProtection="1">
      <alignment horizontal="center" vertical="center"/>
      <protection locked="0"/>
    </xf>
    <xf numFmtId="14" fontId="0" fillId="5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1" xfId="0" applyFont="1" applyFill="1" applyBorder="1" applyAlignment="1" applyProtection="1">
      <alignment horizontal="center" vertical="center"/>
      <protection locked="0"/>
    </xf>
    <xf numFmtId="9" fontId="5" fillId="3" borderId="1" xfId="0" applyNumberFormat="1" applyFont="1" applyFill="1" applyBorder="1" applyAlignment="1" applyProtection="1">
      <alignment horizontal="center" vertical="center"/>
      <protection locked="0"/>
    </xf>
    <xf numFmtId="0" fontId="9" fillId="4" borderId="3" xfId="0" applyFont="1" applyFill="1" applyBorder="1">
      <alignment vertical="center"/>
    </xf>
    <xf numFmtId="0" fontId="0" fillId="4" borderId="1" xfId="0" applyFont="1" applyFill="1" applyBorder="1" applyAlignment="1">
      <alignment vertical="center"/>
    </xf>
    <xf numFmtId="0" fontId="8" fillId="4" borderId="6" xfId="0" applyFont="1" applyFill="1" applyBorder="1">
      <alignment vertical="center"/>
    </xf>
    <xf numFmtId="0" fontId="8" fillId="4" borderId="7" xfId="0" applyFont="1" applyFill="1" applyBorder="1">
      <alignment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14" fontId="0" fillId="4" borderId="2" xfId="0" applyNumberFormat="1" applyFont="1" applyFill="1" applyBorder="1" applyAlignment="1" applyProtection="1">
      <alignment horizontal="center" vertical="center" wrapText="1"/>
    </xf>
    <xf numFmtId="14" fontId="0" fillId="4" borderId="5" xfId="0" applyNumberFormat="1" applyFont="1" applyFill="1" applyBorder="1" applyAlignment="1" applyProtection="1">
      <alignment horizontal="center" vertical="center" wrapText="1"/>
    </xf>
  </cellXfs>
  <cellStyles count="9">
    <cellStyle name="ハイパーリンク 2" xfId="1" xr:uid="{00000000-0005-0000-0000-000000000000}"/>
    <cellStyle name="桁区切り[0]" xfId="2" xr:uid="{00000000-0005-0000-0000-000002000000}"/>
    <cellStyle name="通貨[0]" xfId="3" xr:uid="{00000000-0005-0000-0000-000003000000}"/>
    <cellStyle name="標準" xfId="0" builtinId="0"/>
    <cellStyle name="標準 2" xfId="4" xr:uid="{00000000-0005-0000-0000-000005000000}"/>
    <cellStyle name="標準 3" xfId="5" xr:uid="{00000000-0005-0000-0000-000006000000}"/>
    <cellStyle name="標準 4" xfId="6" xr:uid="{00000000-0005-0000-0000-000007000000}"/>
    <cellStyle name="標準 5" xfId="7" xr:uid="{00000000-0005-0000-0000-000008000000}"/>
    <cellStyle name="標準 6" xfId="8" xr:uid="{00000000-0005-0000-0000-000009000000}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142875</xdr:rowOff>
        </xdr:from>
        <xdr:to>
          <xdr:col>3</xdr:col>
          <xdr:colOff>0</xdr:colOff>
          <xdr:row>0</xdr:row>
          <xdr:rowOff>457200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データ取り込み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142875</xdr:rowOff>
        </xdr:from>
        <xdr:to>
          <xdr:col>3</xdr:col>
          <xdr:colOff>1171575</xdr:colOff>
          <xdr:row>0</xdr:row>
          <xdr:rowOff>447675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1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142875</xdr:rowOff>
        </xdr:from>
        <xdr:to>
          <xdr:col>2</xdr:col>
          <xdr:colOff>1143000</xdr:colOff>
          <xdr:row>0</xdr:row>
          <xdr:rowOff>457200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2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データ取り込み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142875</xdr:rowOff>
        </xdr:from>
        <xdr:to>
          <xdr:col>3</xdr:col>
          <xdr:colOff>1152525</xdr:colOff>
          <xdr:row>0</xdr:row>
          <xdr:rowOff>447675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2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123825</xdr:rowOff>
        </xdr:from>
        <xdr:to>
          <xdr:col>2</xdr:col>
          <xdr:colOff>866775</xdr:colOff>
          <xdr:row>0</xdr:row>
          <xdr:rowOff>447675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配賦費計算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1028700</xdr:colOff>
          <xdr:row>0</xdr:row>
          <xdr:rowOff>123825</xdr:rowOff>
        </xdr:from>
        <xdr:to>
          <xdr:col>3</xdr:col>
          <xdr:colOff>885825</xdr:colOff>
          <xdr:row>0</xdr:row>
          <xdr:rowOff>447675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3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0</xdr:row>
          <xdr:rowOff>66675</xdr:rowOff>
        </xdr:from>
        <xdr:to>
          <xdr:col>8</xdr:col>
          <xdr:colOff>723900</xdr:colOff>
          <xdr:row>1</xdr:row>
          <xdr:rowOff>161925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5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大分類→中分類→小分類→日付→支払方法－並び替え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66675</xdr:rowOff>
        </xdr:from>
        <xdr:to>
          <xdr:col>6</xdr:col>
          <xdr:colOff>161925</xdr:colOff>
          <xdr:row>1</xdr:row>
          <xdr:rowOff>180975</xdr:rowOff>
        </xdr:to>
        <xdr:sp macro="" textlink="">
          <xdr:nvSpPr>
            <xdr:cNvPr id="103427" name="Button 3" hidden="1">
              <a:extLst>
                <a:ext uri="{63B3BB69-23CF-44E3-9099-C40C66FF867C}">
                  <a14:compatExt spid="_x0000_s103427"/>
                </a:ext>
                <a:ext uri="{FF2B5EF4-FFF2-40B4-BE49-F238E27FC236}">
                  <a16:creationId xmlns:a16="http://schemas.microsoft.com/office/drawing/2014/main" id="{00000000-0008-0000-0500-00000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日付→支払方法→大分類→中分類→小分類－並び替え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P69"/>
  <sheetViews>
    <sheetView showGridLines="0" tabSelected="1" zoomScaleNormal="100" workbookViewId="0">
      <selection activeCell="O5" sqref="O5"/>
    </sheetView>
  </sheetViews>
  <sheetFormatPr defaultColWidth="4.125" defaultRowHeight="13.5" x14ac:dyDescent="0.15"/>
  <cols>
    <col min="1" max="1" width="1.625" style="9" customWidth="1"/>
    <col min="2" max="2" width="3.5" style="12" bestFit="1" customWidth="1"/>
    <col min="3" max="3" width="7.5" style="12" bestFit="1" customWidth="1"/>
    <col min="4" max="4" width="13.75" style="9" bestFit="1" customWidth="1"/>
    <col min="5" max="5" width="11.5" style="9" bestFit="1" customWidth="1"/>
    <col min="6" max="6" width="13.75" style="9" bestFit="1" customWidth="1"/>
    <col min="7" max="7" width="0.75" style="9" customWidth="1"/>
    <col min="8" max="8" width="10.375" style="9" bestFit="1" customWidth="1"/>
    <col min="9" max="9" width="13.75" style="9" bestFit="1" customWidth="1"/>
    <col min="10" max="10" width="14.875" style="9" bestFit="1" customWidth="1"/>
    <col min="11" max="11" width="15.5" style="9" customWidth="1"/>
    <col min="12" max="12" width="0.875" style="9" customWidth="1"/>
    <col min="13" max="13" width="9.5" style="9" customWidth="1"/>
    <col min="14" max="14" width="13" style="9" bestFit="1" customWidth="1"/>
    <col min="15" max="15" width="12.75" style="9" customWidth="1"/>
    <col min="16" max="16" width="12.625" style="9" customWidth="1"/>
    <col min="17" max="16384" width="4.125" style="9"/>
  </cols>
  <sheetData>
    <row r="1" spans="2:16" x14ac:dyDescent="0.15">
      <c r="J1" s="105" t="s">
        <v>148</v>
      </c>
      <c r="N1" s="105" t="s">
        <v>146</v>
      </c>
      <c r="P1" s="15" t="s">
        <v>149</v>
      </c>
    </row>
    <row r="2" spans="2:16" x14ac:dyDescent="0.15">
      <c r="H2" s="118" t="s">
        <v>2</v>
      </c>
      <c r="I2" s="119"/>
      <c r="J2" s="120" t="s">
        <v>150</v>
      </c>
      <c r="K2" s="119"/>
      <c r="M2" s="118" t="s">
        <v>117</v>
      </c>
      <c r="N2" s="120" t="s">
        <v>151</v>
      </c>
      <c r="O2" s="119"/>
      <c r="P2" s="119"/>
    </row>
    <row r="3" spans="2:16" ht="27" x14ac:dyDescent="0.15">
      <c r="B3" s="8" t="s">
        <v>3</v>
      </c>
      <c r="C3" s="8" t="s">
        <v>4</v>
      </c>
      <c r="D3" s="73" t="s">
        <v>116</v>
      </c>
      <c r="E3" s="73" t="s">
        <v>93</v>
      </c>
      <c r="F3" s="77" t="s">
        <v>115</v>
      </c>
      <c r="H3" s="45" t="s">
        <v>85</v>
      </c>
      <c r="I3" s="45" t="s">
        <v>2</v>
      </c>
      <c r="J3" s="45" t="s">
        <v>81</v>
      </c>
      <c r="K3" s="45" t="s">
        <v>82</v>
      </c>
      <c r="M3" s="45" t="s">
        <v>85</v>
      </c>
      <c r="N3" s="45" t="s">
        <v>2</v>
      </c>
      <c r="O3" s="45" t="s">
        <v>83</v>
      </c>
      <c r="P3" s="45" t="s">
        <v>84</v>
      </c>
    </row>
    <row r="4" spans="2:16" x14ac:dyDescent="0.15">
      <c r="B4" s="113">
        <v>1</v>
      </c>
      <c r="C4" s="114" t="s">
        <v>220</v>
      </c>
      <c r="D4" s="115">
        <f t="shared" ref="D4:D15" ca="1" si="0">INDIRECT(C4&amp;"!N2")</f>
        <v>-961732</v>
      </c>
      <c r="E4" s="115">
        <f t="shared" ref="E4:E15" ca="1" si="1">INDIRECT(C4&amp;"!M2")</f>
        <v>-86987</v>
      </c>
      <c r="F4" s="115">
        <f t="shared" ref="F4:F15" ca="1" si="2">INDIRECT(C4&amp;"!K2")</f>
        <v>-1048719</v>
      </c>
      <c r="H4" s="99">
        <f ca="1">IF(ROUND(I4-F4,0)=0, "●",I4-F4)</f>
        <v>-1318203</v>
      </c>
      <c r="I4" s="20">
        <f ca="1">SUM(J4:K4)</f>
        <v>-2366922</v>
      </c>
      <c r="J4" s="46">
        <f ca="1">INDIRECT($H$2&amp;"!G1")</f>
        <v>-2366922</v>
      </c>
      <c r="K4" s="20">
        <f ca="1">INDIRECT($H$2&amp;"!G116")</f>
        <v>0</v>
      </c>
      <c r="M4" s="99">
        <f t="shared" ref="M4:M16" ca="1" si="3">IF(ROUND(N4-E4,0)=0,"●",N4-E4)</f>
        <v>-267136</v>
      </c>
      <c r="N4" s="46">
        <f ca="1">SUM(O4:P4)</f>
        <v>-354123</v>
      </c>
      <c r="O4" s="19">
        <f ca="1">INDIRECT($M$2&amp;"!G1")</f>
        <v>-354123</v>
      </c>
      <c r="P4" s="20">
        <f ca="1">INDIRECT($M$2&amp;"!G116")</f>
        <v>0</v>
      </c>
    </row>
    <row r="5" spans="2:16" x14ac:dyDescent="0.15">
      <c r="B5" s="113">
        <v>2</v>
      </c>
      <c r="C5" s="114" t="s">
        <v>221</v>
      </c>
      <c r="D5" s="115" t="e">
        <f t="shared" ca="1" si="0"/>
        <v>#REF!</v>
      </c>
      <c r="E5" s="115" t="e">
        <f t="shared" ca="1" si="1"/>
        <v>#REF!</v>
      </c>
      <c r="F5" s="115" t="e">
        <f t="shared" ca="1" si="2"/>
        <v>#REF!</v>
      </c>
      <c r="H5" s="104" t="e">
        <f t="shared" ref="H5:H16" ca="1" si="4">IF(ROUND(I5-F5,0)=0, "●",I5-F5)</f>
        <v>#REF!</v>
      </c>
      <c r="I5" s="20">
        <f t="shared" ref="I5:I15" ca="1" si="5">SUM(J5:K5)</f>
        <v>0</v>
      </c>
      <c r="J5" s="46">
        <f ca="1">INDIRECT($H$2&amp;"!J1")</f>
        <v>0</v>
      </c>
      <c r="K5" s="20">
        <f ca="1">INDIRECT($H$2&amp;"!H116")</f>
        <v>0</v>
      </c>
      <c r="M5" s="104" t="e">
        <f t="shared" ca="1" si="3"/>
        <v>#REF!</v>
      </c>
      <c r="N5" s="46">
        <f ca="1">INDIRECT($H$2&amp;"!J1")</f>
        <v>0</v>
      </c>
      <c r="O5" s="19">
        <f ca="1">INDIRECT($M$2&amp;"!K1")</f>
        <v>0</v>
      </c>
      <c r="P5" s="20">
        <f ca="1">INDIRECT($M$2&amp;"!H116")</f>
        <v>0</v>
      </c>
    </row>
    <row r="6" spans="2:16" x14ac:dyDescent="0.15">
      <c r="B6" s="113">
        <v>3</v>
      </c>
      <c r="C6" s="114" t="s">
        <v>222</v>
      </c>
      <c r="D6" s="115" t="e">
        <f t="shared" ca="1" si="0"/>
        <v>#REF!</v>
      </c>
      <c r="E6" s="115" t="e">
        <f t="shared" ca="1" si="1"/>
        <v>#REF!</v>
      </c>
      <c r="F6" s="115" t="e">
        <f t="shared" ca="1" si="2"/>
        <v>#REF!</v>
      </c>
      <c r="H6" s="104" t="e">
        <f t="shared" ca="1" si="4"/>
        <v>#REF!</v>
      </c>
      <c r="I6" s="20">
        <f t="shared" ca="1" si="5"/>
        <v>0</v>
      </c>
      <c r="J6" s="46">
        <f ca="1">INDIRECT($H$2&amp;"!I1")</f>
        <v>0</v>
      </c>
      <c r="K6" s="20">
        <f ca="1">INDIRECT($H$2&amp;"!I116")</f>
        <v>0</v>
      </c>
      <c r="M6" s="104" t="e">
        <f t="shared" ca="1" si="3"/>
        <v>#REF!</v>
      </c>
      <c r="N6" s="46">
        <f t="shared" ref="N5:N15" ca="1" si="6">SUM(O6:P6)</f>
        <v>0</v>
      </c>
      <c r="O6" s="19">
        <f ca="1">INDIRECT($M$2&amp;"!I1")</f>
        <v>0</v>
      </c>
      <c r="P6" s="20">
        <f ca="1">INDIRECT($M$2&amp;"!I116")</f>
        <v>0</v>
      </c>
    </row>
    <row r="7" spans="2:16" x14ac:dyDescent="0.15">
      <c r="B7" s="113">
        <v>4</v>
      </c>
      <c r="C7" s="114" t="s">
        <v>223</v>
      </c>
      <c r="D7" s="115" t="e">
        <f t="shared" ca="1" si="0"/>
        <v>#REF!</v>
      </c>
      <c r="E7" s="115" t="e">
        <f t="shared" ca="1" si="1"/>
        <v>#REF!</v>
      </c>
      <c r="F7" s="115" t="e">
        <f t="shared" ca="1" si="2"/>
        <v>#REF!</v>
      </c>
      <c r="H7" s="104" t="e">
        <f t="shared" ca="1" si="4"/>
        <v>#REF!</v>
      </c>
      <c r="I7" s="20">
        <f t="shared" ca="1" si="5"/>
        <v>0</v>
      </c>
      <c r="J7" s="46">
        <f ca="1">INDIRECT($H$2&amp;"!J1")</f>
        <v>0</v>
      </c>
      <c r="K7" s="20">
        <f ca="1">INDIRECT($H$2&amp;"!J116")</f>
        <v>0</v>
      </c>
      <c r="M7" s="104" t="e">
        <f t="shared" ca="1" si="3"/>
        <v>#REF!</v>
      </c>
      <c r="N7" s="46">
        <f t="shared" ca="1" si="6"/>
        <v>0</v>
      </c>
      <c r="O7" s="19">
        <f ca="1">INDIRECT($M$2&amp;"!J1")</f>
        <v>0</v>
      </c>
      <c r="P7" s="20">
        <f ca="1">INDIRECT($M$2&amp;"!J116")</f>
        <v>0</v>
      </c>
    </row>
    <row r="8" spans="2:16" x14ac:dyDescent="0.15">
      <c r="B8" s="113">
        <v>5</v>
      </c>
      <c r="C8" s="114" t="s">
        <v>224</v>
      </c>
      <c r="D8" s="115" t="e">
        <f t="shared" ca="1" si="0"/>
        <v>#REF!</v>
      </c>
      <c r="E8" s="115" t="e">
        <f t="shared" ca="1" si="1"/>
        <v>#REF!</v>
      </c>
      <c r="F8" s="115" t="e">
        <f t="shared" ca="1" si="2"/>
        <v>#REF!</v>
      </c>
      <c r="H8" s="104" t="e">
        <f t="shared" ca="1" si="4"/>
        <v>#REF!</v>
      </c>
      <c r="I8" s="20">
        <f t="shared" ca="1" si="5"/>
        <v>0</v>
      </c>
      <c r="J8" s="46">
        <f ca="1">INDIRECT($H$2&amp;"!K1")</f>
        <v>0</v>
      </c>
      <c r="K8" s="20">
        <f ca="1">INDIRECT($H$2&amp;"!K116")</f>
        <v>0</v>
      </c>
      <c r="M8" s="104" t="e">
        <f t="shared" ca="1" si="3"/>
        <v>#REF!</v>
      </c>
      <c r="N8" s="46">
        <f t="shared" ca="1" si="6"/>
        <v>0</v>
      </c>
      <c r="O8" s="19">
        <f ca="1">INDIRECT($M$2&amp;"!K1")</f>
        <v>0</v>
      </c>
      <c r="P8" s="20">
        <f ca="1">INDIRECT($M$2&amp;"!K116")</f>
        <v>0</v>
      </c>
    </row>
    <row r="9" spans="2:16" x14ac:dyDescent="0.15">
      <c r="B9" s="113">
        <v>6</v>
      </c>
      <c r="C9" s="114" t="s">
        <v>225</v>
      </c>
      <c r="D9" s="115" t="e">
        <f t="shared" ca="1" si="0"/>
        <v>#REF!</v>
      </c>
      <c r="E9" s="115" t="e">
        <f t="shared" ca="1" si="1"/>
        <v>#REF!</v>
      </c>
      <c r="F9" s="115" t="e">
        <f t="shared" ca="1" si="2"/>
        <v>#REF!</v>
      </c>
      <c r="H9" s="104" t="e">
        <f t="shared" ca="1" si="4"/>
        <v>#REF!</v>
      </c>
      <c r="I9" s="20">
        <f t="shared" ca="1" si="5"/>
        <v>0</v>
      </c>
      <c r="J9" s="46">
        <f ca="1">INDIRECT($H$2&amp;"!L1")</f>
        <v>0</v>
      </c>
      <c r="K9" s="20">
        <f ca="1">INDIRECT($H$2&amp;"!L116")</f>
        <v>0</v>
      </c>
      <c r="M9" s="104" t="e">
        <f t="shared" ca="1" si="3"/>
        <v>#REF!</v>
      </c>
      <c r="N9" s="46">
        <f t="shared" ca="1" si="6"/>
        <v>0</v>
      </c>
      <c r="O9" s="19">
        <f ca="1">INDIRECT($M$2&amp;"!L1")</f>
        <v>0</v>
      </c>
      <c r="P9" s="20">
        <f ca="1">INDIRECT($M$2&amp;"!L116")</f>
        <v>0</v>
      </c>
    </row>
    <row r="10" spans="2:16" x14ac:dyDescent="0.15">
      <c r="B10" s="113">
        <v>7</v>
      </c>
      <c r="C10" s="114" t="s">
        <v>226</v>
      </c>
      <c r="D10" s="115" t="e">
        <f t="shared" ca="1" si="0"/>
        <v>#REF!</v>
      </c>
      <c r="E10" s="115" t="e">
        <f t="shared" ca="1" si="1"/>
        <v>#REF!</v>
      </c>
      <c r="F10" s="115" t="e">
        <f t="shared" ca="1" si="2"/>
        <v>#REF!</v>
      </c>
      <c r="H10" s="104" t="e">
        <f t="shared" ca="1" si="4"/>
        <v>#REF!</v>
      </c>
      <c r="I10" s="20">
        <f t="shared" ca="1" si="5"/>
        <v>0</v>
      </c>
      <c r="J10" s="46">
        <f ca="1">INDIRECT($H$2&amp;"!M1")</f>
        <v>0</v>
      </c>
      <c r="K10" s="20">
        <f ca="1">INDIRECT($H$2&amp;"!M116")</f>
        <v>0</v>
      </c>
      <c r="M10" s="104" t="e">
        <f t="shared" ca="1" si="3"/>
        <v>#REF!</v>
      </c>
      <c r="N10" s="46">
        <f t="shared" ca="1" si="6"/>
        <v>0</v>
      </c>
      <c r="O10" s="19">
        <f ca="1">INDIRECT($M$2&amp;"!M1")</f>
        <v>0</v>
      </c>
      <c r="P10" s="20">
        <f ca="1">INDIRECT($M$2&amp;"!M116")</f>
        <v>0</v>
      </c>
    </row>
    <row r="11" spans="2:16" x14ac:dyDescent="0.15">
      <c r="B11" s="113">
        <v>8</v>
      </c>
      <c r="C11" s="114" t="s">
        <v>227</v>
      </c>
      <c r="D11" s="115" t="e">
        <f t="shared" ca="1" si="0"/>
        <v>#REF!</v>
      </c>
      <c r="E11" s="115" t="e">
        <f t="shared" ca="1" si="1"/>
        <v>#REF!</v>
      </c>
      <c r="F11" s="115" t="e">
        <f t="shared" ca="1" si="2"/>
        <v>#REF!</v>
      </c>
      <c r="H11" s="104" t="e">
        <f t="shared" ca="1" si="4"/>
        <v>#REF!</v>
      </c>
      <c r="I11" s="20">
        <f t="shared" ca="1" si="5"/>
        <v>0</v>
      </c>
      <c r="J11" s="46">
        <f ca="1">INDIRECT($H$2&amp;"!N1")</f>
        <v>0</v>
      </c>
      <c r="K11" s="20">
        <f ca="1">INDIRECT($H$2&amp;"!N116")</f>
        <v>0</v>
      </c>
      <c r="M11" s="104" t="e">
        <f t="shared" ca="1" si="3"/>
        <v>#REF!</v>
      </c>
      <c r="N11" s="46">
        <f t="shared" ca="1" si="6"/>
        <v>0</v>
      </c>
      <c r="O11" s="19">
        <f ca="1">INDIRECT($M$2&amp;"!N1")</f>
        <v>0</v>
      </c>
      <c r="P11" s="20">
        <f ca="1">INDIRECT($M$2&amp;"!N116")</f>
        <v>0</v>
      </c>
    </row>
    <row r="12" spans="2:16" x14ac:dyDescent="0.15">
      <c r="B12" s="113">
        <v>9</v>
      </c>
      <c r="C12" s="114" t="s">
        <v>228</v>
      </c>
      <c r="D12" s="115" t="e">
        <f t="shared" ca="1" si="0"/>
        <v>#REF!</v>
      </c>
      <c r="E12" s="115" t="e">
        <f t="shared" ca="1" si="1"/>
        <v>#REF!</v>
      </c>
      <c r="F12" s="115" t="e">
        <f t="shared" ca="1" si="2"/>
        <v>#REF!</v>
      </c>
      <c r="H12" s="104" t="e">
        <f t="shared" ca="1" si="4"/>
        <v>#REF!</v>
      </c>
      <c r="I12" s="20">
        <f t="shared" ca="1" si="5"/>
        <v>0</v>
      </c>
      <c r="J12" s="46">
        <f ca="1">INDIRECT($H$2&amp;"!O1")</f>
        <v>0</v>
      </c>
      <c r="K12" s="20">
        <f ca="1">INDIRECT($H$2&amp;"!O116")</f>
        <v>0</v>
      </c>
      <c r="M12" s="104" t="e">
        <f t="shared" ca="1" si="3"/>
        <v>#REF!</v>
      </c>
      <c r="N12" s="46">
        <f t="shared" ca="1" si="6"/>
        <v>0</v>
      </c>
      <c r="O12" s="19">
        <f ca="1">INDIRECT($M$2&amp;"!O1")</f>
        <v>0</v>
      </c>
      <c r="P12" s="20">
        <f ca="1">INDIRECT($M$2&amp;"!O116")</f>
        <v>0</v>
      </c>
    </row>
    <row r="13" spans="2:16" x14ac:dyDescent="0.15">
      <c r="B13" s="113">
        <v>10</v>
      </c>
      <c r="C13" s="114" t="s">
        <v>229</v>
      </c>
      <c r="D13" s="115" t="e">
        <f t="shared" ca="1" si="0"/>
        <v>#REF!</v>
      </c>
      <c r="E13" s="115" t="e">
        <f t="shared" ca="1" si="1"/>
        <v>#REF!</v>
      </c>
      <c r="F13" s="115" t="e">
        <f t="shared" ca="1" si="2"/>
        <v>#REF!</v>
      </c>
      <c r="H13" s="104" t="e">
        <f t="shared" ca="1" si="4"/>
        <v>#REF!</v>
      </c>
      <c r="I13" s="20">
        <f t="shared" ca="1" si="5"/>
        <v>0</v>
      </c>
      <c r="J13" s="46">
        <f ca="1">INDIRECT($H$2&amp;"!P1")</f>
        <v>0</v>
      </c>
      <c r="K13" s="20">
        <f ca="1">INDIRECT($H$2&amp;"!P116")</f>
        <v>0</v>
      </c>
      <c r="M13" s="104" t="e">
        <f t="shared" ca="1" si="3"/>
        <v>#REF!</v>
      </c>
      <c r="N13" s="46">
        <f t="shared" ca="1" si="6"/>
        <v>0</v>
      </c>
      <c r="O13" s="19">
        <f ca="1">INDIRECT($M$2&amp;"!P1")</f>
        <v>0</v>
      </c>
      <c r="P13" s="20">
        <f ca="1">INDIRECT($M$2&amp;"!P116")</f>
        <v>0</v>
      </c>
    </row>
    <row r="14" spans="2:16" x14ac:dyDescent="0.15">
      <c r="B14" s="113">
        <v>11</v>
      </c>
      <c r="C14" s="114" t="s">
        <v>230</v>
      </c>
      <c r="D14" s="115" t="e">
        <f t="shared" ca="1" si="0"/>
        <v>#REF!</v>
      </c>
      <c r="E14" s="115" t="e">
        <f t="shared" ca="1" si="1"/>
        <v>#REF!</v>
      </c>
      <c r="F14" s="115" t="e">
        <f t="shared" ca="1" si="2"/>
        <v>#REF!</v>
      </c>
      <c r="H14" s="104" t="e">
        <f t="shared" ca="1" si="4"/>
        <v>#REF!</v>
      </c>
      <c r="I14" s="20">
        <f t="shared" ca="1" si="5"/>
        <v>0</v>
      </c>
      <c r="J14" s="46">
        <f ca="1">INDIRECT($H$2&amp;"!Q1")</f>
        <v>0</v>
      </c>
      <c r="K14" s="20">
        <f ca="1">INDIRECT($H$2&amp;"!Q116")</f>
        <v>0</v>
      </c>
      <c r="M14" s="104" t="e">
        <f t="shared" ca="1" si="3"/>
        <v>#REF!</v>
      </c>
      <c r="N14" s="46">
        <f t="shared" ca="1" si="6"/>
        <v>0</v>
      </c>
      <c r="O14" s="19">
        <f ca="1">INDIRECT($M$2&amp;"!Q1")</f>
        <v>0</v>
      </c>
      <c r="P14" s="20">
        <f ca="1">INDIRECT($M$2&amp;"!Q116")</f>
        <v>0</v>
      </c>
    </row>
    <row r="15" spans="2:16" x14ac:dyDescent="0.15">
      <c r="B15" s="113">
        <v>12</v>
      </c>
      <c r="C15" s="114" t="s">
        <v>231</v>
      </c>
      <c r="D15" s="115" t="e">
        <f t="shared" ca="1" si="0"/>
        <v>#REF!</v>
      </c>
      <c r="E15" s="115" t="e">
        <f t="shared" ca="1" si="1"/>
        <v>#REF!</v>
      </c>
      <c r="F15" s="115" t="e">
        <f t="shared" ca="1" si="2"/>
        <v>#REF!</v>
      </c>
      <c r="H15" s="104" t="e">
        <f t="shared" ca="1" si="4"/>
        <v>#REF!</v>
      </c>
      <c r="I15" s="20">
        <f t="shared" ca="1" si="5"/>
        <v>0</v>
      </c>
      <c r="J15" s="46">
        <f ca="1">INDIRECT($H$2&amp;"!R1")</f>
        <v>0</v>
      </c>
      <c r="K15" s="20">
        <f ca="1">INDIRECT($H$2&amp;"!R116")</f>
        <v>0</v>
      </c>
      <c r="M15" s="104" t="e">
        <f t="shared" ca="1" si="3"/>
        <v>#REF!</v>
      </c>
      <c r="N15" s="46">
        <f t="shared" ca="1" si="6"/>
        <v>0</v>
      </c>
      <c r="O15" s="19">
        <f ca="1">INDIRECT($M$2&amp;"!R1")</f>
        <v>0</v>
      </c>
      <c r="P15" s="20">
        <f ca="1">INDIRECT($M$2&amp;"!R116")</f>
        <v>0</v>
      </c>
    </row>
    <row r="16" spans="2:16" x14ac:dyDescent="0.15">
      <c r="B16" s="139" t="s">
        <v>5</v>
      </c>
      <c r="C16" s="140"/>
      <c r="D16" s="11" t="e">
        <f ca="1">SUM(D4:D15)</f>
        <v>#REF!</v>
      </c>
      <c r="E16" s="11" t="e">
        <f ca="1">SUM(E4:E15)</f>
        <v>#REF!</v>
      </c>
      <c r="F16" s="11" t="e">
        <f ca="1">SUM(F4:F15)</f>
        <v>#REF!</v>
      </c>
      <c r="H16" s="104" t="e">
        <f t="shared" ca="1" si="4"/>
        <v>#REF!</v>
      </c>
      <c r="I16" s="20">
        <f ca="1">SUM(I4:I15)</f>
        <v>-2366922</v>
      </c>
      <c r="J16" s="46">
        <f t="shared" ref="J16" ca="1" si="7">SUM(J4:J15)</f>
        <v>-2366922</v>
      </c>
      <c r="K16" s="20">
        <f t="shared" ref="K16" ca="1" si="8">SUM(K4:K15)</f>
        <v>0</v>
      </c>
      <c r="M16" s="104" t="e">
        <f t="shared" ca="1" si="3"/>
        <v>#REF!</v>
      </c>
      <c r="N16" s="46">
        <f ca="1">SUM(N4:N15)</f>
        <v>-354123</v>
      </c>
      <c r="O16" s="19">
        <f t="shared" ref="O16:P16" ca="1" si="9">SUM(O4:O15)</f>
        <v>-354123</v>
      </c>
      <c r="P16" s="19">
        <f t="shared" ca="1" si="9"/>
        <v>0</v>
      </c>
    </row>
    <row r="17" spans="1:3" x14ac:dyDescent="0.15">
      <c r="B17" s="9"/>
      <c r="C17" s="9"/>
    </row>
    <row r="22" spans="1:3" x14ac:dyDescent="0.15">
      <c r="A22" s="15"/>
    </row>
    <row r="23" spans="1:3" ht="14.1" customHeight="1" x14ac:dyDescent="0.15"/>
    <row r="24" spans="1:3" ht="14.1" customHeight="1" x14ac:dyDescent="0.15"/>
    <row r="25" spans="1:3" ht="14.1" customHeight="1" x14ac:dyDescent="0.15"/>
    <row r="33" spans="2:6" x14ac:dyDescent="0.15">
      <c r="B33" s="21"/>
      <c r="C33" s="21"/>
      <c r="D33" s="21"/>
      <c r="E33" s="21"/>
      <c r="F33" s="21"/>
    </row>
    <row r="51" spans="2:3" x14ac:dyDescent="0.15">
      <c r="B51" s="9"/>
      <c r="C51" s="9"/>
    </row>
    <row r="52" spans="2:3" x14ac:dyDescent="0.15">
      <c r="B52" s="9"/>
      <c r="C52" s="9"/>
    </row>
    <row r="53" spans="2:3" x14ac:dyDescent="0.15">
      <c r="B53" s="9"/>
      <c r="C53" s="9"/>
    </row>
    <row r="54" spans="2:3" x14ac:dyDescent="0.15">
      <c r="B54" s="9"/>
      <c r="C54" s="9"/>
    </row>
    <row r="55" spans="2:3" x14ac:dyDescent="0.15">
      <c r="B55" s="9"/>
      <c r="C55" s="9"/>
    </row>
    <row r="56" spans="2:3" x14ac:dyDescent="0.15">
      <c r="B56" s="9"/>
      <c r="C56" s="9"/>
    </row>
    <row r="57" spans="2:3" x14ac:dyDescent="0.15">
      <c r="B57" s="9"/>
      <c r="C57" s="9"/>
    </row>
    <row r="58" spans="2:3" x14ac:dyDescent="0.15">
      <c r="B58" s="9"/>
      <c r="C58" s="9"/>
    </row>
    <row r="59" spans="2:3" x14ac:dyDescent="0.15">
      <c r="B59" s="9"/>
      <c r="C59" s="9"/>
    </row>
    <row r="60" spans="2:3" x14ac:dyDescent="0.15">
      <c r="B60" s="9"/>
      <c r="C60" s="9"/>
    </row>
    <row r="61" spans="2:3" x14ac:dyDescent="0.15">
      <c r="B61" s="9"/>
      <c r="C61" s="9"/>
    </row>
    <row r="62" spans="2:3" x14ac:dyDescent="0.15">
      <c r="B62" s="9"/>
      <c r="C62" s="9"/>
    </row>
    <row r="63" spans="2:3" x14ac:dyDescent="0.15">
      <c r="B63" s="9"/>
      <c r="C63" s="9"/>
    </row>
    <row r="64" spans="2:3" x14ac:dyDescent="0.15">
      <c r="B64" s="9"/>
      <c r="C64" s="9"/>
    </row>
    <row r="65" spans="2:3" x14ac:dyDescent="0.15">
      <c r="B65" s="9"/>
      <c r="C65" s="9"/>
    </row>
    <row r="66" spans="2:3" x14ac:dyDescent="0.15">
      <c r="B66" s="9"/>
      <c r="C66" s="9"/>
    </row>
    <row r="67" spans="2:3" x14ac:dyDescent="0.15">
      <c r="B67" s="9"/>
      <c r="C67" s="9"/>
    </row>
    <row r="68" spans="2:3" x14ac:dyDescent="0.15">
      <c r="B68" s="9"/>
      <c r="C68" s="9"/>
    </row>
    <row r="69" spans="2:3" x14ac:dyDescent="0.15">
      <c r="B69" s="9"/>
      <c r="C69" s="9"/>
    </row>
  </sheetData>
  <mergeCells count="1">
    <mergeCell ref="B16:C16"/>
  </mergeCells>
  <phoneticPr fontId="1"/>
  <pageMargins left="0.51181102362204722" right="0.51181102362204722" top="0.74803149606299213" bottom="0.74803149606299213" header="0.31496062992125984" footer="0.31496062992125984"/>
  <pageSetup paperSize="9" scale="87" orientation="landscape" horizontalDpi="180" verticalDpi="180" r:id="rId1"/>
  <headerFooter>
    <oddHeader>&amp;A</oddHeader>
    <oddFooter>&amp;L&amp;B 機密&amp;B&amp;C&amp;D&amp;R&amp;P ページ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5D021-FD3B-447F-B54E-1094981D98B5}">
  <sheetPr codeName="Sheet25"/>
  <dimension ref="B1:T69"/>
  <sheetViews>
    <sheetView showGridLines="0" zoomScale="115" zoomScaleNormal="115" workbookViewId="0">
      <selection activeCell="J22" sqref="J22"/>
    </sheetView>
  </sheetViews>
  <sheetFormatPr defaultColWidth="4.125" defaultRowHeight="13.5" x14ac:dyDescent="0.15"/>
  <cols>
    <col min="1" max="1" width="2.125" style="17" customWidth="1"/>
    <col min="2" max="2" width="6.625" style="17" customWidth="1"/>
    <col min="3" max="3" width="15.5" style="17" customWidth="1"/>
    <col min="4" max="4" width="17.25" style="17" bestFit="1" customWidth="1"/>
    <col min="5" max="5" width="22" style="32" bestFit="1" customWidth="1"/>
    <col min="6" max="6" width="13.75" style="32" bestFit="1" customWidth="1"/>
    <col min="7" max="7" width="12.625" style="32" bestFit="1" customWidth="1"/>
    <col min="8" max="10" width="11.5" style="32" bestFit="1" customWidth="1"/>
    <col min="11" max="11" width="12.625" style="32" bestFit="1" customWidth="1"/>
    <col min="12" max="17" width="11.5" style="32" bestFit="1" customWidth="1"/>
    <col min="18" max="18" width="12.625" style="32" bestFit="1" customWidth="1"/>
    <col min="19" max="19" width="51.375" style="17" bestFit="1" customWidth="1"/>
    <col min="20" max="16384" width="4.125" style="17"/>
  </cols>
  <sheetData>
    <row r="1" spans="2:19" ht="44.25" customHeight="1" x14ac:dyDescent="0.15">
      <c r="E1" s="97" t="s">
        <v>270</v>
      </c>
      <c r="F1" s="95">
        <f t="shared" ref="F1:R1" si="0">SUM(F3:F66)</f>
        <v>-4255649</v>
      </c>
      <c r="G1" s="95">
        <f t="shared" si="0"/>
        <v>-2366922</v>
      </c>
      <c r="H1" s="95">
        <f t="shared" si="0"/>
        <v>-1888727</v>
      </c>
      <c r="I1" s="95">
        <f t="shared" si="0"/>
        <v>0</v>
      </c>
      <c r="J1" s="95">
        <f t="shared" si="0"/>
        <v>0</v>
      </c>
      <c r="K1" s="95">
        <f t="shared" si="0"/>
        <v>0</v>
      </c>
      <c r="L1" s="95">
        <f t="shared" si="0"/>
        <v>0</v>
      </c>
      <c r="M1" s="95">
        <f t="shared" si="0"/>
        <v>0</v>
      </c>
      <c r="N1" s="95">
        <f t="shared" si="0"/>
        <v>0</v>
      </c>
      <c r="O1" s="95">
        <f t="shared" si="0"/>
        <v>0</v>
      </c>
      <c r="P1" s="95">
        <f t="shared" si="0"/>
        <v>0</v>
      </c>
      <c r="Q1" s="95">
        <f t="shared" si="0"/>
        <v>0</v>
      </c>
      <c r="R1" s="95">
        <f t="shared" si="0"/>
        <v>0</v>
      </c>
    </row>
    <row r="2" spans="2:19" ht="35.25" customHeight="1" x14ac:dyDescent="0.15">
      <c r="B2" s="36" t="s">
        <v>78</v>
      </c>
      <c r="C2" s="36" t="s">
        <v>12</v>
      </c>
      <c r="D2" s="36" t="s">
        <v>13</v>
      </c>
      <c r="E2" s="83" t="s">
        <v>14</v>
      </c>
      <c r="F2" s="38" t="s">
        <v>80</v>
      </c>
      <c r="G2" s="39">
        <v>202007</v>
      </c>
      <c r="H2" s="39">
        <v>202008</v>
      </c>
      <c r="I2" s="39">
        <v>202009</v>
      </c>
      <c r="J2" s="39">
        <v>202010</v>
      </c>
      <c r="K2" s="39">
        <v>202011</v>
      </c>
      <c r="L2" s="39">
        <v>202012</v>
      </c>
      <c r="M2" s="39">
        <v>202101</v>
      </c>
      <c r="N2" s="39">
        <v>202102</v>
      </c>
      <c r="O2" s="39">
        <v>202103</v>
      </c>
      <c r="P2" s="39">
        <v>202104</v>
      </c>
      <c r="Q2" s="39">
        <v>202105</v>
      </c>
      <c r="R2" s="39">
        <v>202106</v>
      </c>
      <c r="S2" s="40" t="s">
        <v>15</v>
      </c>
    </row>
    <row r="3" spans="2:19" x14ac:dyDescent="0.15">
      <c r="B3" s="34" t="s">
        <v>79</v>
      </c>
      <c r="C3" s="24" t="s">
        <v>200</v>
      </c>
      <c r="D3" s="28" t="s">
        <v>155</v>
      </c>
      <c r="E3" s="16" t="s">
        <v>20</v>
      </c>
      <c r="F3" s="41">
        <f t="shared" ref="F3:F47" si="1">SUM(G3:R3)</f>
        <v>-770497</v>
      </c>
      <c r="G3" s="41">
        <v>-382308</v>
      </c>
      <c r="H3" s="41">
        <v>-388189</v>
      </c>
      <c r="I3" s="41">
        <v>0</v>
      </c>
      <c r="J3" s="41">
        <v>0</v>
      </c>
      <c r="K3" s="41">
        <v>0</v>
      </c>
      <c r="L3" s="41">
        <v>0</v>
      </c>
      <c r="M3" s="41">
        <v>0</v>
      </c>
      <c r="N3" s="41">
        <v>0</v>
      </c>
      <c r="O3" s="41">
        <v>0</v>
      </c>
      <c r="P3" s="41">
        <v>0</v>
      </c>
      <c r="Q3" s="41">
        <v>0</v>
      </c>
      <c r="R3" s="41">
        <v>0</v>
      </c>
      <c r="S3" s="31"/>
    </row>
    <row r="4" spans="2:19" x14ac:dyDescent="0.15">
      <c r="B4" s="33"/>
      <c r="C4" s="26" t="s">
        <v>200</v>
      </c>
      <c r="D4" s="26" t="s">
        <v>154</v>
      </c>
      <c r="E4" s="18" t="s">
        <v>21</v>
      </c>
      <c r="F4" s="41">
        <f t="shared" si="1"/>
        <v>-142286</v>
      </c>
      <c r="G4" s="42">
        <v>-71143</v>
      </c>
      <c r="H4" s="42">
        <v>-71143</v>
      </c>
      <c r="I4" s="42">
        <v>0</v>
      </c>
      <c r="J4" s="42">
        <v>0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  <c r="P4" s="42">
        <v>0</v>
      </c>
      <c r="Q4" s="42">
        <v>0</v>
      </c>
      <c r="R4" s="42">
        <v>0</v>
      </c>
      <c r="S4" s="31"/>
    </row>
    <row r="5" spans="2:19" x14ac:dyDescent="0.15">
      <c r="B5" s="33"/>
      <c r="C5" s="26" t="s">
        <v>200</v>
      </c>
      <c r="D5" s="26" t="s">
        <v>154</v>
      </c>
      <c r="E5" s="16" t="s">
        <v>28</v>
      </c>
      <c r="F5" s="41">
        <f t="shared" si="1"/>
        <v>0</v>
      </c>
      <c r="G5" s="41">
        <v>0</v>
      </c>
      <c r="H5" s="41">
        <v>0</v>
      </c>
      <c r="I5" s="41">
        <v>0</v>
      </c>
      <c r="J5" s="41">
        <v>0</v>
      </c>
      <c r="K5" s="41">
        <v>0</v>
      </c>
      <c r="L5" s="41">
        <v>0</v>
      </c>
      <c r="M5" s="41">
        <v>0</v>
      </c>
      <c r="N5" s="41">
        <v>0</v>
      </c>
      <c r="O5" s="41">
        <v>0</v>
      </c>
      <c r="P5" s="41">
        <v>0</v>
      </c>
      <c r="Q5" s="41">
        <v>0</v>
      </c>
      <c r="R5" s="41">
        <v>0</v>
      </c>
      <c r="S5" s="29" t="s">
        <v>59</v>
      </c>
    </row>
    <row r="6" spans="2:19" x14ac:dyDescent="0.15">
      <c r="B6" s="33"/>
      <c r="C6" s="26" t="s">
        <v>200</v>
      </c>
      <c r="D6" s="43" t="s">
        <v>154</v>
      </c>
      <c r="E6" s="27"/>
      <c r="F6" s="41">
        <f t="shared" si="1"/>
        <v>0</v>
      </c>
      <c r="G6" s="41">
        <v>0</v>
      </c>
      <c r="H6" s="41">
        <v>0</v>
      </c>
      <c r="I6" s="41">
        <v>0</v>
      </c>
      <c r="J6" s="41">
        <v>0</v>
      </c>
      <c r="K6" s="41">
        <v>0</v>
      </c>
      <c r="L6" s="41">
        <v>0</v>
      </c>
      <c r="M6" s="41">
        <v>0</v>
      </c>
      <c r="N6" s="41">
        <v>0</v>
      </c>
      <c r="O6" s="41">
        <v>0</v>
      </c>
      <c r="P6" s="41">
        <v>0</v>
      </c>
      <c r="Q6" s="41">
        <v>0</v>
      </c>
      <c r="R6" s="41">
        <v>0</v>
      </c>
      <c r="S6" s="31"/>
    </row>
    <row r="7" spans="2:19" x14ac:dyDescent="0.15">
      <c r="B7" s="33"/>
      <c r="C7" s="26" t="s">
        <v>200</v>
      </c>
      <c r="D7" s="24" t="s">
        <v>19</v>
      </c>
      <c r="E7" s="16" t="s">
        <v>32</v>
      </c>
      <c r="F7" s="41">
        <f t="shared" si="1"/>
        <v>-45360</v>
      </c>
      <c r="G7" s="41">
        <v>-22680</v>
      </c>
      <c r="H7" s="41">
        <v>-22680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>
        <v>0</v>
      </c>
      <c r="O7" s="41">
        <v>0</v>
      </c>
      <c r="P7" s="41">
        <v>0</v>
      </c>
      <c r="Q7" s="41">
        <v>0</v>
      </c>
      <c r="R7" s="41">
        <v>0</v>
      </c>
      <c r="S7" s="31"/>
    </row>
    <row r="8" spans="2:19" x14ac:dyDescent="0.15">
      <c r="B8" s="33"/>
      <c r="C8" s="26" t="s">
        <v>200</v>
      </c>
      <c r="D8" s="26" t="s">
        <v>19</v>
      </c>
      <c r="E8" s="16" t="s">
        <v>33</v>
      </c>
      <c r="F8" s="41">
        <f t="shared" si="1"/>
        <v>-36288</v>
      </c>
      <c r="G8" s="41">
        <v>-36288</v>
      </c>
      <c r="H8" s="41">
        <v>0</v>
      </c>
      <c r="I8" s="41">
        <v>0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>
        <v>0</v>
      </c>
      <c r="P8" s="41">
        <v>0</v>
      </c>
      <c r="Q8" s="41">
        <v>0</v>
      </c>
      <c r="R8" s="41">
        <v>0</v>
      </c>
      <c r="S8" s="31"/>
    </row>
    <row r="9" spans="2:19" x14ac:dyDescent="0.15">
      <c r="B9" s="33"/>
      <c r="C9" s="26" t="s">
        <v>200</v>
      </c>
      <c r="D9" s="26" t="s">
        <v>19</v>
      </c>
      <c r="E9" s="16" t="s">
        <v>34</v>
      </c>
      <c r="F9" s="41">
        <f t="shared" si="1"/>
        <v>-12855</v>
      </c>
      <c r="G9" s="41">
        <v>-6343</v>
      </c>
      <c r="H9" s="41">
        <v>-6512</v>
      </c>
      <c r="I9" s="41">
        <v>0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>
        <v>0</v>
      </c>
      <c r="P9" s="41">
        <v>0</v>
      </c>
      <c r="Q9" s="41">
        <v>0</v>
      </c>
      <c r="R9" s="41">
        <v>0</v>
      </c>
      <c r="S9" s="29" t="s">
        <v>35</v>
      </c>
    </row>
    <row r="10" spans="2:19" x14ac:dyDescent="0.15">
      <c r="B10" s="33"/>
      <c r="C10" s="26" t="s">
        <v>200</v>
      </c>
      <c r="D10" s="26" t="s">
        <v>19</v>
      </c>
      <c r="E10" s="16" t="s">
        <v>21</v>
      </c>
      <c r="F10" s="41">
        <f t="shared" si="1"/>
        <v>-10000</v>
      </c>
      <c r="G10" s="41">
        <v>0</v>
      </c>
      <c r="H10" s="41">
        <v>-10000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>
        <v>0</v>
      </c>
      <c r="O10" s="41">
        <v>0</v>
      </c>
      <c r="P10" s="41">
        <v>0</v>
      </c>
      <c r="Q10" s="41">
        <v>0</v>
      </c>
      <c r="R10" s="41">
        <v>0</v>
      </c>
      <c r="S10" s="29" t="s">
        <v>36</v>
      </c>
    </row>
    <row r="11" spans="2:19" x14ac:dyDescent="0.15">
      <c r="B11" s="33"/>
      <c r="C11" s="26" t="s">
        <v>200</v>
      </c>
      <c r="D11" s="26" t="s">
        <v>19</v>
      </c>
      <c r="E11" s="16" t="s">
        <v>16</v>
      </c>
      <c r="F11" s="41">
        <f t="shared" si="1"/>
        <v>-21027</v>
      </c>
      <c r="G11" s="41">
        <v>-15527</v>
      </c>
      <c r="H11" s="41">
        <v>-5500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>
        <v>0</v>
      </c>
      <c r="O11" s="41">
        <v>0</v>
      </c>
      <c r="P11" s="41">
        <v>0</v>
      </c>
      <c r="Q11" s="41">
        <v>0</v>
      </c>
      <c r="R11" s="41">
        <v>0</v>
      </c>
      <c r="S11" s="29" t="s">
        <v>38</v>
      </c>
    </row>
    <row r="12" spans="2:19" x14ac:dyDescent="0.15">
      <c r="B12" s="33"/>
      <c r="C12" s="26" t="s">
        <v>200</v>
      </c>
      <c r="D12" s="26" t="s">
        <v>19</v>
      </c>
      <c r="E12" s="18" t="s">
        <v>22</v>
      </c>
      <c r="F12" s="41">
        <f t="shared" si="1"/>
        <v>-16298</v>
      </c>
      <c r="G12" s="42">
        <v>-8149</v>
      </c>
      <c r="H12" s="42">
        <v>-8149</v>
      </c>
      <c r="I12" s="42">
        <v>0</v>
      </c>
      <c r="J12" s="42">
        <v>0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  <c r="P12" s="42">
        <v>0</v>
      </c>
      <c r="Q12" s="42">
        <v>0</v>
      </c>
      <c r="R12" s="42">
        <v>0</v>
      </c>
      <c r="S12" s="31"/>
    </row>
    <row r="13" spans="2:19" x14ac:dyDescent="0.15">
      <c r="B13" s="33"/>
      <c r="C13" s="26" t="s">
        <v>200</v>
      </c>
      <c r="D13" s="26" t="s">
        <v>19</v>
      </c>
      <c r="E13" s="27" t="s">
        <v>8</v>
      </c>
      <c r="F13" s="41">
        <f t="shared" si="1"/>
        <v>-17195</v>
      </c>
      <c r="G13" s="41">
        <v>-16531</v>
      </c>
      <c r="H13" s="41">
        <v>-664</v>
      </c>
      <c r="I13" s="41">
        <v>0</v>
      </c>
      <c r="J13" s="41">
        <v>0</v>
      </c>
      <c r="K13" s="41">
        <v>0</v>
      </c>
      <c r="L13" s="41">
        <v>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41">
        <v>0</v>
      </c>
      <c r="S13" s="31"/>
    </row>
    <row r="14" spans="2:19" x14ac:dyDescent="0.15">
      <c r="B14" s="33"/>
      <c r="C14" s="26" t="s">
        <v>200</v>
      </c>
      <c r="D14" s="26" t="s">
        <v>19</v>
      </c>
      <c r="E14" s="16" t="s">
        <v>37</v>
      </c>
      <c r="F14" s="41">
        <f t="shared" si="1"/>
        <v>0</v>
      </c>
      <c r="G14" s="41">
        <v>0</v>
      </c>
      <c r="H14" s="41">
        <v>0</v>
      </c>
      <c r="I14" s="41">
        <v>0</v>
      </c>
      <c r="J14" s="41">
        <v>0</v>
      </c>
      <c r="K14" s="41">
        <v>0</v>
      </c>
      <c r="L14" s="41">
        <v>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41">
        <v>0</v>
      </c>
      <c r="S14" s="31"/>
    </row>
    <row r="15" spans="2:19" x14ac:dyDescent="0.15">
      <c r="B15" s="33"/>
      <c r="C15" s="26" t="s">
        <v>200</v>
      </c>
      <c r="D15" s="26" t="s">
        <v>19</v>
      </c>
      <c r="E15" s="16" t="s">
        <v>27</v>
      </c>
      <c r="F15" s="41">
        <f t="shared" si="1"/>
        <v>-909</v>
      </c>
      <c r="G15" s="41">
        <v>-909</v>
      </c>
      <c r="H15" s="41">
        <v>0</v>
      </c>
      <c r="I15" s="41">
        <v>0</v>
      </c>
      <c r="J15" s="41">
        <v>0</v>
      </c>
      <c r="K15" s="41">
        <v>0</v>
      </c>
      <c r="L15" s="41">
        <v>0</v>
      </c>
      <c r="M15" s="41">
        <v>0</v>
      </c>
      <c r="N15" s="41">
        <v>0</v>
      </c>
      <c r="O15" s="41">
        <v>0</v>
      </c>
      <c r="P15" s="41">
        <v>0</v>
      </c>
      <c r="Q15" s="41">
        <v>0</v>
      </c>
      <c r="R15" s="41">
        <v>0</v>
      </c>
      <c r="S15" s="31"/>
    </row>
    <row r="16" spans="2:19" x14ac:dyDescent="0.15">
      <c r="B16" s="33"/>
      <c r="C16" s="26" t="s">
        <v>200</v>
      </c>
      <c r="D16" s="26" t="s">
        <v>19</v>
      </c>
      <c r="E16" s="16" t="s">
        <v>76</v>
      </c>
      <c r="F16" s="41">
        <f t="shared" si="1"/>
        <v>-773</v>
      </c>
      <c r="G16" s="41">
        <v>-773</v>
      </c>
      <c r="H16" s="41">
        <v>0</v>
      </c>
      <c r="I16" s="41">
        <v>0</v>
      </c>
      <c r="J16" s="41">
        <v>0</v>
      </c>
      <c r="K16" s="41">
        <v>0</v>
      </c>
      <c r="L16" s="41">
        <v>0</v>
      </c>
      <c r="M16" s="41">
        <v>0</v>
      </c>
      <c r="N16" s="41">
        <v>0</v>
      </c>
      <c r="O16" s="41">
        <v>0</v>
      </c>
      <c r="P16" s="41">
        <v>0</v>
      </c>
      <c r="Q16" s="41">
        <v>0</v>
      </c>
      <c r="R16" s="41">
        <v>0</v>
      </c>
      <c r="S16" s="31"/>
    </row>
    <row r="17" spans="2:19" x14ac:dyDescent="0.15">
      <c r="B17" s="33"/>
      <c r="C17" s="26" t="s">
        <v>200</v>
      </c>
      <c r="D17" s="26" t="s">
        <v>19</v>
      </c>
      <c r="E17" s="16" t="s">
        <v>9</v>
      </c>
      <c r="F17" s="41">
        <f t="shared" si="1"/>
        <v>-2284</v>
      </c>
      <c r="G17" s="41">
        <v>-2284</v>
      </c>
      <c r="H17" s="41">
        <v>0</v>
      </c>
      <c r="I17" s="41">
        <v>0</v>
      </c>
      <c r="J17" s="41">
        <v>0</v>
      </c>
      <c r="K17" s="41">
        <v>0</v>
      </c>
      <c r="L17" s="41">
        <v>0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41">
        <v>0</v>
      </c>
      <c r="S17" s="31"/>
    </row>
    <row r="18" spans="2:19" x14ac:dyDescent="0.15">
      <c r="B18" s="33"/>
      <c r="C18" s="26" t="s">
        <v>200</v>
      </c>
      <c r="D18" s="26" t="s">
        <v>19</v>
      </c>
      <c r="E18" s="18" t="s">
        <v>51</v>
      </c>
      <c r="F18" s="41">
        <f t="shared" si="1"/>
        <v>0</v>
      </c>
      <c r="G18" s="42">
        <v>0</v>
      </c>
      <c r="H18" s="42">
        <v>0</v>
      </c>
      <c r="I18" s="42">
        <v>0</v>
      </c>
      <c r="J18" s="42">
        <v>0</v>
      </c>
      <c r="K18" s="42">
        <v>0</v>
      </c>
      <c r="L18" s="42">
        <v>0</v>
      </c>
      <c r="M18" s="42">
        <v>0</v>
      </c>
      <c r="N18" s="42">
        <v>0</v>
      </c>
      <c r="O18" s="42">
        <v>0</v>
      </c>
      <c r="P18" s="42">
        <v>0</v>
      </c>
      <c r="Q18" s="42">
        <v>0</v>
      </c>
      <c r="R18" s="42">
        <v>0</v>
      </c>
      <c r="S18" s="31"/>
    </row>
    <row r="19" spans="2:19" x14ac:dyDescent="0.15">
      <c r="B19" s="33"/>
      <c r="C19" s="26" t="s">
        <v>200</v>
      </c>
      <c r="D19" s="43" t="s">
        <v>19</v>
      </c>
      <c r="E19" s="16"/>
      <c r="F19" s="41">
        <f t="shared" si="1"/>
        <v>0</v>
      </c>
      <c r="G19" s="41">
        <v>0</v>
      </c>
      <c r="H19" s="41">
        <v>0</v>
      </c>
      <c r="I19" s="41">
        <v>0</v>
      </c>
      <c r="J19" s="41">
        <v>0</v>
      </c>
      <c r="K19" s="41">
        <v>0</v>
      </c>
      <c r="L19" s="41">
        <v>0</v>
      </c>
      <c r="M19" s="41">
        <v>0</v>
      </c>
      <c r="N19" s="41">
        <v>0</v>
      </c>
      <c r="O19" s="41">
        <v>0</v>
      </c>
      <c r="P19" s="41">
        <v>0</v>
      </c>
      <c r="Q19" s="41">
        <v>0</v>
      </c>
      <c r="R19" s="41">
        <v>0</v>
      </c>
      <c r="S19" s="31"/>
    </row>
    <row r="20" spans="2:19" x14ac:dyDescent="0.15">
      <c r="B20" s="33"/>
      <c r="C20" s="26" t="s">
        <v>200</v>
      </c>
      <c r="D20" s="24" t="s">
        <v>17</v>
      </c>
      <c r="E20" s="27" t="s">
        <v>159</v>
      </c>
      <c r="F20" s="41">
        <f t="shared" si="1"/>
        <v>-13100</v>
      </c>
      <c r="G20" s="41">
        <v>-13100</v>
      </c>
      <c r="H20" s="41">
        <v>0</v>
      </c>
      <c r="I20" s="41">
        <v>0</v>
      </c>
      <c r="J20" s="41">
        <v>0</v>
      </c>
      <c r="K20" s="41">
        <v>0</v>
      </c>
      <c r="L20" s="41">
        <v>0</v>
      </c>
      <c r="M20" s="41">
        <v>0</v>
      </c>
      <c r="N20" s="41">
        <v>0</v>
      </c>
      <c r="O20" s="41">
        <v>0</v>
      </c>
      <c r="P20" s="41">
        <v>0</v>
      </c>
      <c r="Q20" s="41">
        <v>0</v>
      </c>
      <c r="R20" s="41">
        <v>0</v>
      </c>
      <c r="S20" s="29"/>
    </row>
    <row r="21" spans="2:19" x14ac:dyDescent="0.15">
      <c r="B21" s="33"/>
      <c r="C21" s="26" t="s">
        <v>200</v>
      </c>
      <c r="D21" s="26" t="s">
        <v>17</v>
      </c>
      <c r="E21" s="27" t="s">
        <v>161</v>
      </c>
      <c r="F21" s="41">
        <f t="shared" si="1"/>
        <v>0</v>
      </c>
      <c r="G21" s="41">
        <v>0</v>
      </c>
      <c r="H21" s="41">
        <v>0</v>
      </c>
      <c r="I21" s="41">
        <v>0</v>
      </c>
      <c r="J21" s="41">
        <v>0</v>
      </c>
      <c r="K21" s="41">
        <v>0</v>
      </c>
      <c r="L21" s="41">
        <v>0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41">
        <v>0</v>
      </c>
      <c r="S21" s="29"/>
    </row>
    <row r="22" spans="2:19" x14ac:dyDescent="0.15">
      <c r="B22" s="33"/>
      <c r="C22" s="26" t="s">
        <v>200</v>
      </c>
      <c r="D22" s="26" t="s">
        <v>17</v>
      </c>
      <c r="E22" s="27" t="s">
        <v>163</v>
      </c>
      <c r="F22" s="41">
        <f t="shared" si="1"/>
        <v>-428071</v>
      </c>
      <c r="G22" s="41">
        <v>-428071</v>
      </c>
      <c r="H22" s="41">
        <v>0</v>
      </c>
      <c r="I22" s="41">
        <v>0</v>
      </c>
      <c r="J22" s="41">
        <v>0</v>
      </c>
      <c r="K22" s="41">
        <v>0</v>
      </c>
      <c r="L22" s="41">
        <v>0</v>
      </c>
      <c r="M22" s="41">
        <v>0</v>
      </c>
      <c r="N22" s="41">
        <v>0</v>
      </c>
      <c r="O22" s="41">
        <v>0</v>
      </c>
      <c r="P22" s="41">
        <v>0</v>
      </c>
      <c r="Q22" s="41">
        <v>0</v>
      </c>
      <c r="R22" s="41">
        <v>0</v>
      </c>
      <c r="S22" s="29"/>
    </row>
    <row r="23" spans="2:19" x14ac:dyDescent="0.15">
      <c r="B23" s="33"/>
      <c r="C23" s="26" t="s">
        <v>200</v>
      </c>
      <c r="D23" s="26" t="s">
        <v>17</v>
      </c>
      <c r="E23" s="27" t="s">
        <v>272</v>
      </c>
      <c r="F23" s="41">
        <f t="shared" si="1"/>
        <v>0</v>
      </c>
      <c r="G23" s="41">
        <v>0</v>
      </c>
      <c r="H23" s="41">
        <v>0</v>
      </c>
      <c r="I23" s="41">
        <v>0</v>
      </c>
      <c r="J23" s="41">
        <v>0</v>
      </c>
      <c r="K23" s="41">
        <v>0</v>
      </c>
      <c r="L23" s="41">
        <v>0</v>
      </c>
      <c r="M23" s="41">
        <v>0</v>
      </c>
      <c r="N23" s="41">
        <v>0</v>
      </c>
      <c r="O23" s="41">
        <v>0</v>
      </c>
      <c r="P23" s="41">
        <v>0</v>
      </c>
      <c r="Q23" s="41">
        <v>0</v>
      </c>
      <c r="R23" s="41">
        <v>0</v>
      </c>
      <c r="S23" s="29"/>
    </row>
    <row r="24" spans="2:19" x14ac:dyDescent="0.15">
      <c r="B24" s="33"/>
      <c r="C24" s="26" t="s">
        <v>200</v>
      </c>
      <c r="D24" s="26" t="s">
        <v>17</v>
      </c>
      <c r="E24" s="27" t="s">
        <v>165</v>
      </c>
      <c r="F24" s="41">
        <f t="shared" si="1"/>
        <v>0</v>
      </c>
      <c r="G24" s="41">
        <v>0</v>
      </c>
      <c r="H24" s="41">
        <v>0</v>
      </c>
      <c r="I24" s="41">
        <v>0</v>
      </c>
      <c r="J24" s="41">
        <v>0</v>
      </c>
      <c r="K24" s="41">
        <v>0</v>
      </c>
      <c r="L24" s="41">
        <v>0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41">
        <v>0</v>
      </c>
      <c r="S24" s="29"/>
    </row>
    <row r="25" spans="2:19" x14ac:dyDescent="0.15">
      <c r="B25" s="33"/>
      <c r="C25" s="26" t="s">
        <v>200</v>
      </c>
      <c r="D25" s="26" t="s">
        <v>17</v>
      </c>
      <c r="E25" s="27" t="s">
        <v>167</v>
      </c>
      <c r="F25" s="41">
        <f t="shared" si="1"/>
        <v>0</v>
      </c>
      <c r="G25" s="41">
        <v>0</v>
      </c>
      <c r="H25" s="41">
        <v>0</v>
      </c>
      <c r="I25" s="41">
        <v>0</v>
      </c>
      <c r="J25" s="41">
        <v>0</v>
      </c>
      <c r="K25" s="41">
        <v>0</v>
      </c>
      <c r="L25" s="41">
        <v>0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41">
        <v>0</v>
      </c>
      <c r="S25" s="29"/>
    </row>
    <row r="26" spans="2:19" x14ac:dyDescent="0.15">
      <c r="B26" s="33"/>
      <c r="C26" s="26" t="s">
        <v>200</v>
      </c>
      <c r="D26" s="26" t="s">
        <v>17</v>
      </c>
      <c r="E26" s="27" t="s">
        <v>169</v>
      </c>
      <c r="F26" s="41">
        <f t="shared" si="1"/>
        <v>0</v>
      </c>
      <c r="G26" s="41">
        <v>0</v>
      </c>
      <c r="H26" s="41">
        <v>0</v>
      </c>
      <c r="I26" s="41">
        <v>0</v>
      </c>
      <c r="J26" s="41">
        <v>0</v>
      </c>
      <c r="K26" s="41">
        <v>0</v>
      </c>
      <c r="L26" s="41">
        <v>0</v>
      </c>
      <c r="M26" s="41">
        <v>0</v>
      </c>
      <c r="N26" s="41">
        <v>0</v>
      </c>
      <c r="O26" s="41">
        <v>0</v>
      </c>
      <c r="P26" s="41">
        <v>0</v>
      </c>
      <c r="Q26" s="41">
        <v>0</v>
      </c>
      <c r="R26" s="41">
        <v>0</v>
      </c>
      <c r="S26" s="29"/>
    </row>
    <row r="27" spans="2:19" x14ac:dyDescent="0.15">
      <c r="B27" s="33"/>
      <c r="C27" s="26" t="s">
        <v>200</v>
      </c>
      <c r="D27" s="26" t="s">
        <v>17</v>
      </c>
      <c r="E27" s="27" t="s">
        <v>171</v>
      </c>
      <c r="F27" s="41">
        <f t="shared" si="1"/>
        <v>0</v>
      </c>
      <c r="G27" s="41">
        <v>0</v>
      </c>
      <c r="H27" s="41">
        <v>0</v>
      </c>
      <c r="I27" s="41">
        <v>0</v>
      </c>
      <c r="J27" s="41">
        <v>0</v>
      </c>
      <c r="K27" s="41">
        <v>0</v>
      </c>
      <c r="L27" s="41">
        <v>0</v>
      </c>
      <c r="M27" s="41">
        <v>0</v>
      </c>
      <c r="N27" s="41">
        <v>0</v>
      </c>
      <c r="O27" s="41">
        <v>0</v>
      </c>
      <c r="P27" s="41">
        <v>0</v>
      </c>
      <c r="Q27" s="41">
        <v>0</v>
      </c>
      <c r="R27" s="41">
        <v>0</v>
      </c>
      <c r="S27" s="29"/>
    </row>
    <row r="28" spans="2:19" x14ac:dyDescent="0.15">
      <c r="B28" s="33"/>
      <c r="C28" s="26" t="s">
        <v>200</v>
      </c>
      <c r="D28" s="26" t="s">
        <v>17</v>
      </c>
      <c r="E28" s="27" t="s">
        <v>273</v>
      </c>
      <c r="F28" s="41">
        <f t="shared" si="1"/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29"/>
    </row>
    <row r="29" spans="2:19" x14ac:dyDescent="0.15">
      <c r="B29" s="33"/>
      <c r="C29" s="26" t="s">
        <v>200</v>
      </c>
      <c r="D29" s="26" t="s">
        <v>17</v>
      </c>
      <c r="E29" s="18" t="s">
        <v>51</v>
      </c>
      <c r="F29" s="41">
        <f t="shared" si="1"/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0</v>
      </c>
      <c r="N29" s="41">
        <v>0</v>
      </c>
      <c r="O29" s="41">
        <v>0</v>
      </c>
      <c r="P29" s="41">
        <v>0</v>
      </c>
      <c r="Q29" s="41">
        <v>0</v>
      </c>
      <c r="R29" s="41">
        <v>0</v>
      </c>
      <c r="S29" s="29"/>
    </row>
    <row r="30" spans="2:19" x14ac:dyDescent="0.15">
      <c r="B30" s="33"/>
      <c r="C30" s="26" t="s">
        <v>200</v>
      </c>
      <c r="D30" s="43" t="s">
        <v>17</v>
      </c>
      <c r="E30" s="27"/>
      <c r="F30" s="41">
        <f t="shared" si="1"/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41">
        <v>0</v>
      </c>
      <c r="S30" s="29"/>
    </row>
    <row r="31" spans="2:19" x14ac:dyDescent="0.15">
      <c r="B31" s="33"/>
      <c r="C31" s="26" t="s">
        <v>200</v>
      </c>
      <c r="D31" s="24" t="s">
        <v>23</v>
      </c>
      <c r="E31" s="16" t="s">
        <v>202</v>
      </c>
      <c r="F31" s="41">
        <f t="shared" si="1"/>
        <v>0</v>
      </c>
      <c r="G31" s="41">
        <v>0</v>
      </c>
      <c r="H31" s="41">
        <v>0</v>
      </c>
      <c r="I31" s="41">
        <v>0</v>
      </c>
      <c r="J31" s="41">
        <v>0</v>
      </c>
      <c r="K31" s="41">
        <v>0</v>
      </c>
      <c r="L31" s="41">
        <v>0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41">
        <v>0</v>
      </c>
      <c r="S31" s="31"/>
    </row>
    <row r="32" spans="2:19" x14ac:dyDescent="0.15">
      <c r="B32" s="33"/>
      <c r="C32" s="26" t="s">
        <v>200</v>
      </c>
      <c r="D32" s="26" t="s">
        <v>23</v>
      </c>
      <c r="E32" s="16" t="s">
        <v>209</v>
      </c>
      <c r="F32" s="41">
        <f t="shared" si="1"/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41">
        <v>0</v>
      </c>
      <c r="S32" s="31"/>
    </row>
    <row r="33" spans="2:20" x14ac:dyDescent="0.15">
      <c r="B33" s="33"/>
      <c r="C33" s="26" t="s">
        <v>200</v>
      </c>
      <c r="D33" s="26" t="s">
        <v>23</v>
      </c>
      <c r="E33" s="16" t="s">
        <v>206</v>
      </c>
      <c r="F33" s="41">
        <f t="shared" si="1"/>
        <v>0</v>
      </c>
      <c r="G33" s="41">
        <v>0</v>
      </c>
      <c r="H33" s="41">
        <v>0</v>
      </c>
      <c r="I33" s="41">
        <v>0</v>
      </c>
      <c r="J33" s="41">
        <v>0</v>
      </c>
      <c r="K33" s="41">
        <v>0</v>
      </c>
      <c r="L33" s="41">
        <v>0</v>
      </c>
      <c r="M33" s="41">
        <v>0</v>
      </c>
      <c r="N33" s="41">
        <v>0</v>
      </c>
      <c r="O33" s="41">
        <v>0</v>
      </c>
      <c r="P33" s="41">
        <v>0</v>
      </c>
      <c r="Q33" s="41">
        <v>0</v>
      </c>
      <c r="R33" s="41">
        <v>0</v>
      </c>
      <c r="S33" s="31"/>
    </row>
    <row r="34" spans="2:20" x14ac:dyDescent="0.15">
      <c r="B34" s="33"/>
      <c r="C34" s="26" t="s">
        <v>200</v>
      </c>
      <c r="D34" s="26" t="s">
        <v>23</v>
      </c>
      <c r="E34" s="27" t="s">
        <v>208</v>
      </c>
      <c r="F34" s="41">
        <f t="shared" si="1"/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N34" s="41">
        <v>0</v>
      </c>
      <c r="O34" s="41">
        <v>0</v>
      </c>
      <c r="P34" s="41">
        <v>0</v>
      </c>
      <c r="Q34" s="41">
        <v>0</v>
      </c>
      <c r="R34" s="41">
        <v>0</v>
      </c>
      <c r="S34" s="31"/>
      <c r="T34" s="15"/>
    </row>
    <row r="35" spans="2:20" x14ac:dyDescent="0.15">
      <c r="B35" s="33"/>
      <c r="C35" s="26" t="s">
        <v>200</v>
      </c>
      <c r="D35" s="26" t="s">
        <v>23</v>
      </c>
      <c r="E35" s="27" t="s">
        <v>274</v>
      </c>
      <c r="F35" s="41">
        <f t="shared" si="1"/>
        <v>0</v>
      </c>
      <c r="G35" s="41">
        <v>0</v>
      </c>
      <c r="H35" s="41">
        <v>0</v>
      </c>
      <c r="I35" s="41">
        <v>0</v>
      </c>
      <c r="J35" s="41">
        <v>0</v>
      </c>
      <c r="K35" s="41">
        <v>0</v>
      </c>
      <c r="L35" s="41">
        <v>0</v>
      </c>
      <c r="M35" s="41">
        <v>0</v>
      </c>
      <c r="N35" s="41">
        <v>0</v>
      </c>
      <c r="O35" s="41">
        <v>0</v>
      </c>
      <c r="P35" s="41">
        <v>0</v>
      </c>
      <c r="Q35" s="41">
        <v>0</v>
      </c>
      <c r="R35" s="41">
        <v>0</v>
      </c>
      <c r="S35" s="31"/>
    </row>
    <row r="36" spans="2:20" x14ac:dyDescent="0.15">
      <c r="B36" s="33"/>
      <c r="C36" s="26" t="s">
        <v>200</v>
      </c>
      <c r="D36" s="26" t="s">
        <v>23</v>
      </c>
      <c r="E36" s="27" t="s">
        <v>153</v>
      </c>
      <c r="F36" s="41">
        <f t="shared" si="1"/>
        <v>-545454</v>
      </c>
      <c r="G36" s="41">
        <v>-272727</v>
      </c>
      <c r="H36" s="41">
        <v>-272727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N36" s="41">
        <v>0</v>
      </c>
      <c r="O36" s="41">
        <v>0</v>
      </c>
      <c r="P36" s="41">
        <v>0</v>
      </c>
      <c r="Q36" s="41">
        <v>0</v>
      </c>
      <c r="R36" s="41">
        <v>0</v>
      </c>
      <c r="S36" s="31"/>
    </row>
    <row r="37" spans="2:20" x14ac:dyDescent="0.15">
      <c r="B37" s="33"/>
      <c r="C37" s="26" t="s">
        <v>200</v>
      </c>
      <c r="D37" s="26" t="s">
        <v>23</v>
      </c>
      <c r="E37" s="27" t="s">
        <v>51</v>
      </c>
      <c r="F37" s="41">
        <f t="shared" si="1"/>
        <v>-14863</v>
      </c>
      <c r="G37" s="41">
        <v>0</v>
      </c>
      <c r="H37" s="41">
        <v>-14863</v>
      </c>
      <c r="I37" s="41">
        <v>0</v>
      </c>
      <c r="J37" s="41">
        <v>0</v>
      </c>
      <c r="K37" s="41">
        <v>0</v>
      </c>
      <c r="L37" s="41">
        <v>0</v>
      </c>
      <c r="M37" s="41">
        <v>0</v>
      </c>
      <c r="N37" s="41">
        <v>0</v>
      </c>
      <c r="O37" s="41">
        <v>0</v>
      </c>
      <c r="P37" s="41">
        <v>0</v>
      </c>
      <c r="Q37" s="41">
        <v>0</v>
      </c>
      <c r="R37" s="41">
        <v>0</v>
      </c>
      <c r="S37" s="31"/>
    </row>
    <row r="38" spans="2:20" x14ac:dyDescent="0.15">
      <c r="B38" s="33"/>
      <c r="C38" s="26" t="s">
        <v>200</v>
      </c>
      <c r="D38" s="26" t="s">
        <v>23</v>
      </c>
      <c r="E38" s="27"/>
      <c r="F38" s="41">
        <f t="shared" si="1"/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N38" s="41">
        <v>0</v>
      </c>
      <c r="O38" s="41">
        <v>0</v>
      </c>
      <c r="P38" s="41">
        <v>0</v>
      </c>
      <c r="Q38" s="41">
        <v>0</v>
      </c>
      <c r="R38" s="41">
        <v>0</v>
      </c>
      <c r="S38" s="31"/>
    </row>
    <row r="39" spans="2:20" x14ac:dyDescent="0.15">
      <c r="B39" s="33"/>
      <c r="C39" s="26" t="s">
        <v>200</v>
      </c>
      <c r="D39" s="24" t="s">
        <v>39</v>
      </c>
      <c r="E39" s="16" t="s">
        <v>26</v>
      </c>
      <c r="F39" s="41">
        <f t="shared" si="1"/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0</v>
      </c>
      <c r="N39" s="41">
        <v>0</v>
      </c>
      <c r="O39" s="41">
        <v>0</v>
      </c>
      <c r="P39" s="41">
        <v>0</v>
      </c>
      <c r="Q39" s="41">
        <v>0</v>
      </c>
      <c r="R39" s="41">
        <v>0</v>
      </c>
      <c r="S39" s="29" t="s">
        <v>40</v>
      </c>
    </row>
    <row r="40" spans="2:20" x14ac:dyDescent="0.15">
      <c r="B40" s="33"/>
      <c r="C40" s="26" t="s">
        <v>200</v>
      </c>
      <c r="D40" s="26" t="s">
        <v>39</v>
      </c>
      <c r="E40" s="18" t="s">
        <v>10</v>
      </c>
      <c r="F40" s="41">
        <f t="shared" si="1"/>
        <v>0</v>
      </c>
      <c r="G40" s="42">
        <v>0</v>
      </c>
      <c r="H40" s="42">
        <v>0</v>
      </c>
      <c r="I40" s="42">
        <v>0</v>
      </c>
      <c r="J40" s="42">
        <v>0</v>
      </c>
      <c r="K40" s="42">
        <v>0</v>
      </c>
      <c r="L40" s="42">
        <v>0</v>
      </c>
      <c r="M40" s="42">
        <v>0</v>
      </c>
      <c r="N40" s="42">
        <v>0</v>
      </c>
      <c r="O40" s="42">
        <v>0</v>
      </c>
      <c r="P40" s="42">
        <v>0</v>
      </c>
      <c r="Q40" s="42">
        <v>0</v>
      </c>
      <c r="R40" s="42">
        <v>0</v>
      </c>
      <c r="S40" s="29" t="s">
        <v>42</v>
      </c>
    </row>
    <row r="41" spans="2:20" x14ac:dyDescent="0.15">
      <c r="B41" s="33"/>
      <c r="C41" s="26" t="s">
        <v>200</v>
      </c>
      <c r="D41" s="26" t="s">
        <v>39</v>
      </c>
      <c r="E41" s="18" t="s">
        <v>43</v>
      </c>
      <c r="F41" s="41">
        <f t="shared" si="1"/>
        <v>0</v>
      </c>
      <c r="G41" s="42">
        <v>0</v>
      </c>
      <c r="H41" s="42">
        <v>0</v>
      </c>
      <c r="I41" s="42">
        <v>0</v>
      </c>
      <c r="J41" s="42">
        <v>0</v>
      </c>
      <c r="K41" s="42">
        <v>0</v>
      </c>
      <c r="L41" s="42">
        <v>0</v>
      </c>
      <c r="M41" s="42">
        <v>0</v>
      </c>
      <c r="N41" s="42">
        <v>0</v>
      </c>
      <c r="O41" s="42">
        <v>0</v>
      </c>
      <c r="P41" s="42">
        <v>0</v>
      </c>
      <c r="Q41" s="42">
        <v>0</v>
      </c>
      <c r="R41" s="42">
        <v>0</v>
      </c>
      <c r="S41" s="29" t="s">
        <v>44</v>
      </c>
    </row>
    <row r="42" spans="2:20" x14ac:dyDescent="0.15">
      <c r="B42" s="33"/>
      <c r="C42" s="26" t="s">
        <v>200</v>
      </c>
      <c r="D42" s="26" t="s">
        <v>39</v>
      </c>
      <c r="E42" s="18" t="s">
        <v>45</v>
      </c>
      <c r="F42" s="41">
        <f t="shared" si="1"/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  <c r="O42" s="42">
        <v>0</v>
      </c>
      <c r="P42" s="42">
        <v>0</v>
      </c>
      <c r="Q42" s="42">
        <v>0</v>
      </c>
      <c r="R42" s="42">
        <v>0</v>
      </c>
      <c r="S42" s="31"/>
    </row>
    <row r="43" spans="2:20" x14ac:dyDescent="0.15">
      <c r="B43" s="33"/>
      <c r="C43" s="26" t="s">
        <v>200</v>
      </c>
      <c r="D43" s="26" t="s">
        <v>39</v>
      </c>
      <c r="E43" s="18" t="s">
        <v>46</v>
      </c>
      <c r="F43" s="41">
        <f t="shared" si="1"/>
        <v>0</v>
      </c>
      <c r="G43" s="42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42">
        <v>0</v>
      </c>
      <c r="N43" s="42">
        <v>0</v>
      </c>
      <c r="O43" s="42">
        <v>0</v>
      </c>
      <c r="P43" s="42">
        <v>0</v>
      </c>
      <c r="Q43" s="42">
        <v>0</v>
      </c>
      <c r="R43" s="42">
        <v>0</v>
      </c>
      <c r="S43" s="29" t="s">
        <v>47</v>
      </c>
    </row>
    <row r="44" spans="2:20" x14ac:dyDescent="0.15">
      <c r="B44" s="33"/>
      <c r="C44" s="26" t="s">
        <v>200</v>
      </c>
      <c r="D44" s="26" t="s">
        <v>39</v>
      </c>
      <c r="E44" s="18" t="s">
        <v>51</v>
      </c>
      <c r="F44" s="41">
        <f t="shared" si="1"/>
        <v>0</v>
      </c>
      <c r="G44" s="42">
        <v>0</v>
      </c>
      <c r="H44" s="42">
        <v>0</v>
      </c>
      <c r="I44" s="42">
        <v>0</v>
      </c>
      <c r="J44" s="42">
        <v>0</v>
      </c>
      <c r="K44" s="42">
        <v>0</v>
      </c>
      <c r="L44" s="42">
        <v>0</v>
      </c>
      <c r="M44" s="42">
        <v>0</v>
      </c>
      <c r="N44" s="42">
        <v>0</v>
      </c>
      <c r="O44" s="42">
        <v>0</v>
      </c>
      <c r="P44" s="42">
        <v>0</v>
      </c>
      <c r="Q44" s="42">
        <v>0</v>
      </c>
      <c r="R44" s="42">
        <v>0</v>
      </c>
      <c r="S44" s="29"/>
    </row>
    <row r="45" spans="2:20" x14ac:dyDescent="0.15">
      <c r="B45" s="33"/>
      <c r="C45" s="26" t="s">
        <v>200</v>
      </c>
      <c r="D45" s="43" t="s">
        <v>39</v>
      </c>
      <c r="E45" s="18"/>
      <c r="F45" s="41">
        <f t="shared" si="1"/>
        <v>0</v>
      </c>
      <c r="G45" s="42">
        <v>0</v>
      </c>
      <c r="H45" s="42">
        <v>0</v>
      </c>
      <c r="I45" s="42">
        <v>0</v>
      </c>
      <c r="J45" s="42">
        <v>0</v>
      </c>
      <c r="K45" s="42">
        <v>0</v>
      </c>
      <c r="L45" s="42">
        <v>0</v>
      </c>
      <c r="M45" s="42">
        <v>0</v>
      </c>
      <c r="N45" s="42">
        <v>0</v>
      </c>
      <c r="O45" s="42">
        <v>0</v>
      </c>
      <c r="P45" s="42">
        <v>0</v>
      </c>
      <c r="Q45" s="42">
        <v>0</v>
      </c>
      <c r="R45" s="42">
        <v>0</v>
      </c>
      <c r="S45" s="31"/>
    </row>
    <row r="46" spans="2:20" x14ac:dyDescent="0.15">
      <c r="B46" s="33"/>
      <c r="C46" s="26" t="s">
        <v>200</v>
      </c>
      <c r="D46" s="24" t="s">
        <v>51</v>
      </c>
      <c r="E46" s="18" t="s">
        <v>51</v>
      </c>
      <c r="F46" s="41">
        <f t="shared" si="1"/>
        <v>0</v>
      </c>
      <c r="G46" s="42">
        <v>0</v>
      </c>
      <c r="H46" s="42">
        <v>0</v>
      </c>
      <c r="I46" s="42">
        <v>0</v>
      </c>
      <c r="J46" s="42">
        <v>0</v>
      </c>
      <c r="K46" s="42">
        <v>0</v>
      </c>
      <c r="L46" s="42">
        <v>0</v>
      </c>
      <c r="M46" s="42">
        <v>0</v>
      </c>
      <c r="N46" s="42">
        <v>0</v>
      </c>
      <c r="O46" s="42">
        <v>0</v>
      </c>
      <c r="P46" s="42">
        <v>0</v>
      </c>
      <c r="Q46" s="42">
        <v>0</v>
      </c>
      <c r="R46" s="42">
        <v>0</v>
      </c>
      <c r="S46" s="31"/>
    </row>
    <row r="47" spans="2:20" x14ac:dyDescent="0.15">
      <c r="B47" s="33"/>
      <c r="C47" s="43" t="s">
        <v>200</v>
      </c>
      <c r="D47" s="43" t="s">
        <v>51</v>
      </c>
      <c r="E47" s="18"/>
      <c r="F47" s="41">
        <f t="shared" si="1"/>
        <v>0</v>
      </c>
      <c r="G47" s="42">
        <v>0</v>
      </c>
      <c r="H47" s="42">
        <v>0</v>
      </c>
      <c r="I47" s="42">
        <v>0</v>
      </c>
      <c r="J47" s="42">
        <v>0</v>
      </c>
      <c r="K47" s="42">
        <v>0</v>
      </c>
      <c r="L47" s="42">
        <v>0</v>
      </c>
      <c r="M47" s="42">
        <v>0</v>
      </c>
      <c r="N47" s="42">
        <v>0</v>
      </c>
      <c r="O47" s="42">
        <v>0</v>
      </c>
      <c r="P47" s="42">
        <v>0</v>
      </c>
      <c r="Q47" s="42">
        <v>0</v>
      </c>
      <c r="R47" s="42">
        <v>0</v>
      </c>
      <c r="S47" s="31"/>
    </row>
    <row r="48" spans="2:20" x14ac:dyDescent="0.15">
      <c r="B48" s="33"/>
      <c r="C48" s="28" t="s">
        <v>188</v>
      </c>
      <c r="D48" s="25" t="s">
        <v>189</v>
      </c>
      <c r="E48" s="53" t="s">
        <v>192</v>
      </c>
      <c r="F48" s="41">
        <f t="shared" ref="F48:F59" si="2">SUM(G48:R48)</f>
        <v>0</v>
      </c>
      <c r="G48" s="42">
        <v>0</v>
      </c>
      <c r="H48" s="42">
        <v>0</v>
      </c>
      <c r="I48" s="42">
        <v>0</v>
      </c>
      <c r="J48" s="42">
        <v>0</v>
      </c>
      <c r="K48" s="42">
        <v>0</v>
      </c>
      <c r="L48" s="42">
        <v>0</v>
      </c>
      <c r="M48" s="42">
        <v>0</v>
      </c>
      <c r="N48" s="42">
        <v>0</v>
      </c>
      <c r="O48" s="42">
        <v>0</v>
      </c>
      <c r="P48" s="42">
        <v>0</v>
      </c>
      <c r="Q48" s="42">
        <v>0</v>
      </c>
      <c r="R48" s="42">
        <v>0</v>
      </c>
      <c r="S48" s="31"/>
    </row>
    <row r="49" spans="2:19" x14ac:dyDescent="0.15">
      <c r="B49" s="33"/>
      <c r="C49" s="26" t="s">
        <v>188</v>
      </c>
      <c r="D49" s="26" t="s">
        <v>189</v>
      </c>
      <c r="E49" s="53" t="s">
        <v>52</v>
      </c>
      <c r="F49" s="41">
        <f t="shared" si="2"/>
        <v>0</v>
      </c>
      <c r="G49" s="42">
        <v>0</v>
      </c>
      <c r="H49" s="42">
        <v>0</v>
      </c>
      <c r="I49" s="42">
        <v>0</v>
      </c>
      <c r="J49" s="42">
        <v>0</v>
      </c>
      <c r="K49" s="42">
        <v>0</v>
      </c>
      <c r="L49" s="42">
        <v>0</v>
      </c>
      <c r="M49" s="42">
        <v>0</v>
      </c>
      <c r="N49" s="42">
        <v>0</v>
      </c>
      <c r="O49" s="42">
        <v>0</v>
      </c>
      <c r="P49" s="42">
        <v>0</v>
      </c>
      <c r="Q49" s="42">
        <v>0</v>
      </c>
      <c r="R49" s="42">
        <v>0</v>
      </c>
      <c r="S49" s="31"/>
    </row>
    <row r="50" spans="2:19" x14ac:dyDescent="0.15">
      <c r="B50" s="33"/>
      <c r="C50" s="26" t="s">
        <v>188</v>
      </c>
      <c r="D50" s="26" t="s">
        <v>189</v>
      </c>
      <c r="E50" s="53" t="s">
        <v>190</v>
      </c>
      <c r="F50" s="41">
        <f t="shared" si="2"/>
        <v>0</v>
      </c>
      <c r="G50" s="42">
        <v>0</v>
      </c>
      <c r="H50" s="42">
        <v>0</v>
      </c>
      <c r="I50" s="42">
        <v>0</v>
      </c>
      <c r="J50" s="42">
        <v>0</v>
      </c>
      <c r="K50" s="42">
        <v>0</v>
      </c>
      <c r="L50" s="42">
        <v>0</v>
      </c>
      <c r="M50" s="42">
        <v>0</v>
      </c>
      <c r="N50" s="42">
        <v>0</v>
      </c>
      <c r="O50" s="42">
        <v>0</v>
      </c>
      <c r="P50" s="42">
        <v>0</v>
      </c>
      <c r="Q50" s="42">
        <v>0</v>
      </c>
      <c r="R50" s="42">
        <v>0</v>
      </c>
      <c r="S50" s="31"/>
    </row>
    <row r="51" spans="2:19" x14ac:dyDescent="0.15">
      <c r="B51" s="33"/>
      <c r="C51" s="26" t="s">
        <v>188</v>
      </c>
      <c r="D51" s="26" t="s">
        <v>189</v>
      </c>
      <c r="E51" s="53" t="s">
        <v>124</v>
      </c>
      <c r="F51" s="41">
        <f t="shared" si="2"/>
        <v>0</v>
      </c>
      <c r="G51" s="42">
        <v>0</v>
      </c>
      <c r="H51" s="42">
        <v>0</v>
      </c>
      <c r="I51" s="42">
        <v>0</v>
      </c>
      <c r="J51" s="42">
        <v>0</v>
      </c>
      <c r="K51" s="42">
        <v>0</v>
      </c>
      <c r="L51" s="42">
        <v>0</v>
      </c>
      <c r="M51" s="42">
        <v>0</v>
      </c>
      <c r="N51" s="42">
        <v>0</v>
      </c>
      <c r="O51" s="42">
        <v>0</v>
      </c>
      <c r="P51" s="42">
        <v>0</v>
      </c>
      <c r="Q51" s="42">
        <v>0</v>
      </c>
      <c r="R51" s="42">
        <v>0</v>
      </c>
      <c r="S51" s="31"/>
    </row>
    <row r="52" spans="2:19" x14ac:dyDescent="0.15">
      <c r="B52" s="33"/>
      <c r="C52" s="26" t="s">
        <v>188</v>
      </c>
      <c r="D52" s="26" t="s">
        <v>189</v>
      </c>
      <c r="E52" s="53" t="s">
        <v>127</v>
      </c>
      <c r="F52" s="41">
        <f t="shared" si="2"/>
        <v>0</v>
      </c>
      <c r="G52" s="42">
        <v>0</v>
      </c>
      <c r="H52" s="42">
        <v>0</v>
      </c>
      <c r="I52" s="42">
        <v>0</v>
      </c>
      <c r="J52" s="42">
        <v>0</v>
      </c>
      <c r="K52" s="42">
        <v>0</v>
      </c>
      <c r="L52" s="42">
        <v>0</v>
      </c>
      <c r="M52" s="42">
        <v>0</v>
      </c>
      <c r="N52" s="42">
        <v>0</v>
      </c>
      <c r="O52" s="42">
        <v>0</v>
      </c>
      <c r="P52" s="42">
        <v>0</v>
      </c>
      <c r="Q52" s="42">
        <v>0</v>
      </c>
      <c r="R52" s="42">
        <v>0</v>
      </c>
      <c r="S52" s="31"/>
    </row>
    <row r="53" spans="2:19" x14ac:dyDescent="0.15">
      <c r="B53" s="33"/>
      <c r="C53" s="26" t="s">
        <v>188</v>
      </c>
      <c r="D53" s="26" t="s">
        <v>189</v>
      </c>
      <c r="E53" s="53" t="s">
        <v>132</v>
      </c>
      <c r="F53" s="41">
        <f t="shared" si="2"/>
        <v>0</v>
      </c>
      <c r="G53" s="42">
        <v>0</v>
      </c>
      <c r="H53" s="42">
        <v>0</v>
      </c>
      <c r="I53" s="42">
        <v>0</v>
      </c>
      <c r="J53" s="42">
        <v>0</v>
      </c>
      <c r="K53" s="42">
        <v>0</v>
      </c>
      <c r="L53" s="42">
        <v>0</v>
      </c>
      <c r="M53" s="42">
        <v>0</v>
      </c>
      <c r="N53" s="42">
        <v>0</v>
      </c>
      <c r="O53" s="42">
        <v>0</v>
      </c>
      <c r="P53" s="42">
        <v>0</v>
      </c>
      <c r="Q53" s="42">
        <v>0</v>
      </c>
      <c r="R53" s="42">
        <v>0</v>
      </c>
      <c r="S53" s="29"/>
    </row>
    <row r="54" spans="2:19" x14ac:dyDescent="0.15">
      <c r="B54" s="33"/>
      <c r="C54" s="26" t="s">
        <v>188</v>
      </c>
      <c r="D54" s="26" t="s">
        <v>189</v>
      </c>
      <c r="E54" s="53" t="s">
        <v>135</v>
      </c>
      <c r="F54" s="41">
        <f t="shared" si="2"/>
        <v>0</v>
      </c>
      <c r="G54" s="42">
        <v>0</v>
      </c>
      <c r="H54" s="42">
        <v>0</v>
      </c>
      <c r="I54" s="42">
        <v>0</v>
      </c>
      <c r="J54" s="42">
        <v>0</v>
      </c>
      <c r="K54" s="42">
        <v>0</v>
      </c>
      <c r="L54" s="42">
        <v>0</v>
      </c>
      <c r="M54" s="42">
        <v>0</v>
      </c>
      <c r="N54" s="42">
        <v>0</v>
      </c>
      <c r="O54" s="42">
        <v>0</v>
      </c>
      <c r="P54" s="42">
        <v>0</v>
      </c>
      <c r="Q54" s="42">
        <v>0</v>
      </c>
      <c r="R54" s="42">
        <v>0</v>
      </c>
      <c r="S54" s="29"/>
    </row>
    <row r="55" spans="2:19" x14ac:dyDescent="0.15">
      <c r="B55" s="33"/>
      <c r="C55" s="26" t="s">
        <v>188</v>
      </c>
      <c r="D55" s="26" t="s">
        <v>189</v>
      </c>
      <c r="E55" s="53" t="s">
        <v>191</v>
      </c>
      <c r="F55" s="41">
        <f t="shared" si="2"/>
        <v>-47789</v>
      </c>
      <c r="G55" s="42">
        <v>-24789</v>
      </c>
      <c r="H55" s="42">
        <v>-23000</v>
      </c>
      <c r="I55" s="42">
        <v>0</v>
      </c>
      <c r="J55" s="42">
        <v>0</v>
      </c>
      <c r="K55" s="42">
        <v>0</v>
      </c>
      <c r="L55" s="42">
        <v>0</v>
      </c>
      <c r="M55" s="42">
        <v>0</v>
      </c>
      <c r="N55" s="42">
        <v>0</v>
      </c>
      <c r="O55" s="42">
        <v>0</v>
      </c>
      <c r="P55" s="42">
        <v>0</v>
      </c>
      <c r="Q55" s="42">
        <v>0</v>
      </c>
      <c r="R55" s="42">
        <v>0</v>
      </c>
      <c r="S55" s="29"/>
    </row>
    <row r="56" spans="2:19" x14ac:dyDescent="0.15">
      <c r="B56" s="33"/>
      <c r="C56" s="26" t="s">
        <v>188</v>
      </c>
      <c r="D56" s="26" t="s">
        <v>189</v>
      </c>
      <c r="E56" s="53" t="s">
        <v>193</v>
      </c>
      <c r="F56" s="41">
        <f t="shared" si="2"/>
        <v>-2130600</v>
      </c>
      <c r="G56" s="42">
        <v>-1065300</v>
      </c>
      <c r="H56" s="42">
        <v>-1065300</v>
      </c>
      <c r="I56" s="42">
        <v>0</v>
      </c>
      <c r="J56" s="42">
        <v>0</v>
      </c>
      <c r="K56" s="42">
        <v>0</v>
      </c>
      <c r="L56" s="42">
        <v>0</v>
      </c>
      <c r="M56" s="42">
        <v>0</v>
      </c>
      <c r="N56" s="42">
        <v>0</v>
      </c>
      <c r="O56" s="42">
        <v>0</v>
      </c>
      <c r="P56" s="42">
        <v>0</v>
      </c>
      <c r="Q56" s="42">
        <v>0</v>
      </c>
      <c r="R56" s="42">
        <v>0</v>
      </c>
      <c r="S56" s="29"/>
    </row>
    <row r="57" spans="2:19" x14ac:dyDescent="0.15">
      <c r="B57" s="33"/>
      <c r="C57" s="26" t="s">
        <v>188</v>
      </c>
      <c r="D57" s="26" t="s">
        <v>189</v>
      </c>
      <c r="E57" s="53" t="s">
        <v>194</v>
      </c>
      <c r="F57" s="41">
        <f t="shared" si="2"/>
        <v>0</v>
      </c>
      <c r="G57" s="42">
        <v>0</v>
      </c>
      <c r="H57" s="42">
        <v>0</v>
      </c>
      <c r="I57" s="42">
        <v>0</v>
      </c>
      <c r="J57" s="42">
        <v>0</v>
      </c>
      <c r="K57" s="42">
        <v>0</v>
      </c>
      <c r="L57" s="42">
        <v>0</v>
      </c>
      <c r="M57" s="42">
        <v>0</v>
      </c>
      <c r="N57" s="42">
        <v>0</v>
      </c>
      <c r="O57" s="42">
        <v>0</v>
      </c>
      <c r="P57" s="42">
        <v>0</v>
      </c>
      <c r="Q57" s="42">
        <v>0</v>
      </c>
      <c r="R57" s="42">
        <v>0</v>
      </c>
      <c r="S57" s="29"/>
    </row>
    <row r="58" spans="2:19" x14ac:dyDescent="0.15">
      <c r="B58" s="33"/>
      <c r="C58" s="26" t="s">
        <v>188</v>
      </c>
      <c r="D58" s="26" t="s">
        <v>189</v>
      </c>
      <c r="E58" s="53" t="s">
        <v>198</v>
      </c>
      <c r="F58" s="41">
        <f t="shared" si="2"/>
        <v>0</v>
      </c>
      <c r="G58" s="42">
        <v>0</v>
      </c>
      <c r="H58" s="42">
        <v>0</v>
      </c>
      <c r="I58" s="42">
        <v>0</v>
      </c>
      <c r="J58" s="42">
        <v>0</v>
      </c>
      <c r="K58" s="42">
        <v>0</v>
      </c>
      <c r="L58" s="42">
        <v>0</v>
      </c>
      <c r="M58" s="42">
        <v>0</v>
      </c>
      <c r="N58" s="42">
        <v>0</v>
      </c>
      <c r="O58" s="42">
        <v>0</v>
      </c>
      <c r="P58" s="42">
        <v>0</v>
      </c>
      <c r="Q58" s="42">
        <v>0</v>
      </c>
      <c r="R58" s="42">
        <v>0</v>
      </c>
      <c r="S58" s="29"/>
    </row>
    <row r="59" spans="2:19" x14ac:dyDescent="0.15">
      <c r="B59" s="33"/>
      <c r="C59" s="26" t="s">
        <v>188</v>
      </c>
      <c r="D59" s="26" t="s">
        <v>189</v>
      </c>
      <c r="E59" s="53" t="s">
        <v>51</v>
      </c>
      <c r="F59" s="41">
        <f t="shared" si="2"/>
        <v>0</v>
      </c>
      <c r="G59" s="42">
        <v>0</v>
      </c>
      <c r="H59" s="42">
        <v>0</v>
      </c>
      <c r="I59" s="42">
        <v>0</v>
      </c>
      <c r="J59" s="42">
        <v>0</v>
      </c>
      <c r="K59" s="42">
        <v>0</v>
      </c>
      <c r="L59" s="42">
        <v>0</v>
      </c>
      <c r="M59" s="42">
        <v>0</v>
      </c>
      <c r="N59" s="42">
        <v>0</v>
      </c>
      <c r="O59" s="42">
        <v>0</v>
      </c>
      <c r="P59" s="42">
        <v>0</v>
      </c>
      <c r="Q59" s="42">
        <v>0</v>
      </c>
      <c r="R59" s="42">
        <v>0</v>
      </c>
      <c r="S59" s="29"/>
    </row>
    <row r="60" spans="2:19" x14ac:dyDescent="0.15">
      <c r="B60" s="33"/>
      <c r="C60" s="26" t="s">
        <v>188</v>
      </c>
      <c r="D60" s="26" t="s">
        <v>189</v>
      </c>
      <c r="E60" s="53"/>
      <c r="F60" s="41">
        <f t="shared" ref="F60" si="3">SUM(G60:R60)</f>
        <v>0</v>
      </c>
      <c r="G60" s="42">
        <v>0</v>
      </c>
      <c r="H60" s="42">
        <v>0</v>
      </c>
      <c r="I60" s="42">
        <v>0</v>
      </c>
      <c r="J60" s="42">
        <v>0</v>
      </c>
      <c r="K60" s="42">
        <v>0</v>
      </c>
      <c r="L60" s="42">
        <v>0</v>
      </c>
      <c r="M60" s="42">
        <v>0</v>
      </c>
      <c r="N60" s="42">
        <v>0</v>
      </c>
      <c r="O60" s="42">
        <v>0</v>
      </c>
      <c r="P60" s="42">
        <v>0</v>
      </c>
      <c r="Q60" s="42">
        <v>0</v>
      </c>
      <c r="R60" s="42">
        <v>0</v>
      </c>
      <c r="S60" s="29"/>
    </row>
    <row r="61" spans="2:19" x14ac:dyDescent="0.15">
      <c r="B61" s="33"/>
      <c r="C61" s="26" t="s">
        <v>188</v>
      </c>
      <c r="D61" s="24" t="s">
        <v>275</v>
      </c>
      <c r="E61" s="125" t="s">
        <v>55</v>
      </c>
      <c r="F61" s="41">
        <f t="shared" ref="F61:F66" si="4">SUM(G61:R61)</f>
        <v>0</v>
      </c>
      <c r="G61" s="41">
        <v>0</v>
      </c>
      <c r="H61" s="41">
        <v>0</v>
      </c>
      <c r="I61" s="41">
        <v>0</v>
      </c>
      <c r="J61" s="41">
        <v>0</v>
      </c>
      <c r="K61" s="41">
        <v>0</v>
      </c>
      <c r="L61" s="41">
        <v>0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41">
        <v>0</v>
      </c>
      <c r="S61" s="29" t="s">
        <v>56</v>
      </c>
    </row>
    <row r="62" spans="2:19" x14ac:dyDescent="0.15">
      <c r="B62" s="33"/>
      <c r="C62" s="26" t="s">
        <v>188</v>
      </c>
      <c r="D62" s="26" t="s">
        <v>277</v>
      </c>
      <c r="E62" s="126" t="s">
        <v>60</v>
      </c>
      <c r="F62" s="41">
        <f t="shared" si="4"/>
        <v>0</v>
      </c>
      <c r="G62" s="41">
        <v>0</v>
      </c>
      <c r="H62" s="41">
        <v>0</v>
      </c>
      <c r="I62" s="41">
        <v>0</v>
      </c>
      <c r="J62" s="41">
        <v>0</v>
      </c>
      <c r="K62" s="41">
        <v>0</v>
      </c>
      <c r="L62" s="41">
        <v>0</v>
      </c>
      <c r="M62" s="41">
        <v>0</v>
      </c>
      <c r="N62" s="41">
        <v>0</v>
      </c>
      <c r="O62" s="41">
        <v>0</v>
      </c>
      <c r="P62" s="41">
        <v>0</v>
      </c>
      <c r="Q62" s="41">
        <v>0</v>
      </c>
      <c r="R62" s="41">
        <v>0</v>
      </c>
      <c r="S62" s="29" t="s">
        <v>61</v>
      </c>
    </row>
    <row r="63" spans="2:19" x14ac:dyDescent="0.15">
      <c r="B63" s="33"/>
      <c r="C63" s="26" t="s">
        <v>188</v>
      </c>
      <c r="D63" s="26" t="s">
        <v>277</v>
      </c>
      <c r="E63" s="126" t="s">
        <v>25</v>
      </c>
      <c r="F63" s="41">
        <f t="shared" si="4"/>
        <v>0</v>
      </c>
      <c r="G63" s="41">
        <v>0</v>
      </c>
      <c r="H63" s="41">
        <v>0</v>
      </c>
      <c r="I63" s="41">
        <v>0</v>
      </c>
      <c r="J63" s="41">
        <v>0</v>
      </c>
      <c r="K63" s="41">
        <v>0</v>
      </c>
      <c r="L63" s="41">
        <v>0</v>
      </c>
      <c r="M63" s="41">
        <v>0</v>
      </c>
      <c r="N63" s="41">
        <v>0</v>
      </c>
      <c r="O63" s="41">
        <v>0</v>
      </c>
      <c r="P63" s="41">
        <v>0</v>
      </c>
      <c r="Q63" s="41">
        <v>0</v>
      </c>
      <c r="R63" s="41">
        <v>0</v>
      </c>
      <c r="S63" s="29" t="s">
        <v>62</v>
      </c>
    </row>
    <row r="64" spans="2:19" x14ac:dyDescent="0.15">
      <c r="B64" s="33"/>
      <c r="C64" s="26" t="s">
        <v>188</v>
      </c>
      <c r="D64" s="26" t="s">
        <v>277</v>
      </c>
      <c r="E64" s="126" t="s">
        <v>24</v>
      </c>
      <c r="F64" s="41">
        <f t="shared" si="4"/>
        <v>0</v>
      </c>
      <c r="G64" s="41">
        <v>0</v>
      </c>
      <c r="H64" s="41">
        <v>0</v>
      </c>
      <c r="I64" s="41">
        <v>0</v>
      </c>
      <c r="J64" s="41">
        <v>0</v>
      </c>
      <c r="K64" s="41">
        <v>0</v>
      </c>
      <c r="L64" s="41">
        <v>0</v>
      </c>
      <c r="M64" s="41">
        <v>0</v>
      </c>
      <c r="N64" s="41">
        <v>0</v>
      </c>
      <c r="O64" s="41">
        <v>0</v>
      </c>
      <c r="P64" s="41">
        <v>0</v>
      </c>
      <c r="Q64" s="41">
        <v>0</v>
      </c>
      <c r="R64" s="41">
        <v>0</v>
      </c>
      <c r="S64" s="31"/>
    </row>
    <row r="65" spans="2:19" x14ac:dyDescent="0.15">
      <c r="B65" s="33"/>
      <c r="C65" s="26" t="s">
        <v>188</v>
      </c>
      <c r="D65" s="26" t="s">
        <v>277</v>
      </c>
      <c r="E65" s="126" t="s">
        <v>28</v>
      </c>
      <c r="F65" s="41">
        <f t="shared" si="4"/>
        <v>0</v>
      </c>
      <c r="G65" s="41">
        <v>0</v>
      </c>
      <c r="H65" s="41">
        <v>0</v>
      </c>
      <c r="I65" s="41">
        <v>0</v>
      </c>
      <c r="J65" s="41">
        <v>0</v>
      </c>
      <c r="K65" s="41">
        <v>0</v>
      </c>
      <c r="L65" s="41">
        <v>0</v>
      </c>
      <c r="M65" s="41">
        <v>0</v>
      </c>
      <c r="N65" s="41">
        <v>0</v>
      </c>
      <c r="O65" s="41">
        <v>0</v>
      </c>
      <c r="P65" s="41">
        <v>0</v>
      </c>
      <c r="Q65" s="41">
        <v>0</v>
      </c>
      <c r="R65" s="41">
        <v>0</v>
      </c>
      <c r="S65" s="31"/>
    </row>
    <row r="66" spans="2:19" x14ac:dyDescent="0.15">
      <c r="B66" s="33"/>
      <c r="C66" s="26" t="s">
        <v>188</v>
      </c>
      <c r="D66" s="26" t="s">
        <v>277</v>
      </c>
      <c r="E66" s="126"/>
      <c r="F66" s="41">
        <f t="shared" si="4"/>
        <v>0</v>
      </c>
      <c r="G66" s="41">
        <v>0</v>
      </c>
      <c r="H66" s="41">
        <v>0</v>
      </c>
      <c r="I66" s="41">
        <v>0</v>
      </c>
      <c r="J66" s="41">
        <v>0</v>
      </c>
      <c r="K66" s="41">
        <v>0</v>
      </c>
      <c r="L66" s="41">
        <v>0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41">
        <v>0</v>
      </c>
      <c r="S66" s="31"/>
    </row>
    <row r="67" spans="2:19" x14ac:dyDescent="0.15">
      <c r="B67" s="33"/>
      <c r="C67" s="26" t="s">
        <v>188</v>
      </c>
      <c r="D67" s="24" t="s">
        <v>276</v>
      </c>
      <c r="E67" s="126" t="s">
        <v>49</v>
      </c>
      <c r="F67" s="41"/>
      <c r="G67" s="41">
        <v>0</v>
      </c>
      <c r="H67" s="41">
        <v>0</v>
      </c>
      <c r="I67" s="41">
        <v>0</v>
      </c>
      <c r="J67" s="41">
        <v>0</v>
      </c>
      <c r="K67" s="41">
        <v>0</v>
      </c>
      <c r="L67" s="41">
        <v>0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41">
        <v>0</v>
      </c>
      <c r="S67" s="31"/>
    </row>
    <row r="68" spans="2:19" x14ac:dyDescent="0.15">
      <c r="B68" s="33"/>
      <c r="C68" s="26" t="s">
        <v>188</v>
      </c>
      <c r="D68" s="26" t="s">
        <v>276</v>
      </c>
      <c r="E68" s="126" t="s">
        <v>28</v>
      </c>
      <c r="F68" s="41"/>
      <c r="G68" s="41">
        <v>0</v>
      </c>
      <c r="H68" s="41">
        <v>0</v>
      </c>
      <c r="I68" s="41">
        <v>0</v>
      </c>
      <c r="J68" s="41">
        <v>0</v>
      </c>
      <c r="K68" s="41">
        <v>0</v>
      </c>
      <c r="L68" s="41">
        <v>0</v>
      </c>
      <c r="M68" s="41">
        <v>0</v>
      </c>
      <c r="N68" s="41">
        <v>0</v>
      </c>
      <c r="O68" s="41">
        <v>0</v>
      </c>
      <c r="P68" s="41">
        <v>0</v>
      </c>
      <c r="Q68" s="41">
        <v>0</v>
      </c>
      <c r="R68" s="41">
        <v>0</v>
      </c>
      <c r="S68" s="31"/>
    </row>
    <row r="69" spans="2:19" x14ac:dyDescent="0.15">
      <c r="B69" s="44"/>
      <c r="C69" s="43" t="s">
        <v>188</v>
      </c>
      <c r="D69" s="43" t="s">
        <v>276</v>
      </c>
      <c r="E69" s="126"/>
      <c r="F69" s="41"/>
      <c r="G69" s="41">
        <v>0</v>
      </c>
      <c r="H69" s="41">
        <v>0</v>
      </c>
      <c r="I69" s="41">
        <v>0</v>
      </c>
      <c r="J69" s="41">
        <v>0</v>
      </c>
      <c r="K69" s="41">
        <v>0</v>
      </c>
      <c r="L69" s="41">
        <v>0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41">
        <v>0</v>
      </c>
      <c r="S69" s="31"/>
    </row>
  </sheetData>
  <phoneticPr fontId="6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合計データ読み取り">
                <anchor moveWithCells="1" sizeWithCells="1">
                  <from>
                    <xdr:col>2</xdr:col>
                    <xdr:colOff>47625</xdr:colOff>
                    <xdr:row>0</xdr:row>
                    <xdr:rowOff>142875</xdr:rowOff>
                  </from>
                  <to>
                    <xdr:col>3</xdr:col>
                    <xdr:colOff>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データクリア">
                <anchor moveWithCells="1" sizeWithCells="1">
                  <from>
                    <xdr:col>3</xdr:col>
                    <xdr:colOff>104775</xdr:colOff>
                    <xdr:row>0</xdr:row>
                    <xdr:rowOff>142875</xdr:rowOff>
                  </from>
                  <to>
                    <xdr:col>3</xdr:col>
                    <xdr:colOff>1171575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AFEC2-853E-4B69-AE46-3B76AEA0AB30}">
  <sheetPr codeName="Sheet26"/>
  <dimension ref="B1:T69"/>
  <sheetViews>
    <sheetView showGridLines="0" zoomScale="115" zoomScaleNormal="115" workbookViewId="0">
      <pane xSplit="6" ySplit="2" topLeftCell="G3" activePane="bottomRight" state="frozen"/>
      <selection activeCell="D52" sqref="D52"/>
      <selection pane="topRight" activeCell="D52" sqref="D52"/>
      <selection pane="bottomLeft" activeCell="D52" sqref="D52"/>
      <selection pane="bottomRight" activeCell="C58" sqref="C58"/>
    </sheetView>
  </sheetViews>
  <sheetFormatPr defaultColWidth="4.125" defaultRowHeight="13.5" x14ac:dyDescent="0.15"/>
  <cols>
    <col min="1" max="1" width="2.125" style="17" customWidth="1"/>
    <col min="2" max="2" width="6.625" style="17" customWidth="1"/>
    <col min="3" max="3" width="15.5" style="17" customWidth="1"/>
    <col min="4" max="4" width="17.25" style="17" bestFit="1" customWidth="1"/>
    <col min="5" max="5" width="22" style="32" bestFit="1" customWidth="1"/>
    <col min="6" max="6" width="13.75" style="32" bestFit="1" customWidth="1"/>
    <col min="7" max="10" width="11.5" style="32" bestFit="1" customWidth="1"/>
    <col min="11" max="11" width="12.625" style="32" bestFit="1" customWidth="1"/>
    <col min="12" max="17" width="11.5" style="32" bestFit="1" customWidth="1"/>
    <col min="18" max="18" width="12.625" style="32" bestFit="1" customWidth="1"/>
    <col min="19" max="19" width="51.375" style="17" customWidth="1"/>
    <col min="20" max="16384" width="4.125" style="17"/>
  </cols>
  <sheetData>
    <row r="1" spans="2:19" ht="44.25" customHeight="1" x14ac:dyDescent="0.15">
      <c r="E1" s="97" t="s">
        <v>271</v>
      </c>
      <c r="F1" s="95">
        <f t="shared" ref="F1:R1" si="0">SUM(F3:F69)</f>
        <v>-660308</v>
      </c>
      <c r="G1" s="95">
        <f t="shared" si="0"/>
        <v>-354123</v>
      </c>
      <c r="H1" s="95">
        <f t="shared" si="0"/>
        <v>-306185</v>
      </c>
      <c r="I1" s="95">
        <f t="shared" si="0"/>
        <v>0</v>
      </c>
      <c r="J1" s="95">
        <f t="shared" si="0"/>
        <v>0</v>
      </c>
      <c r="K1" s="95">
        <f t="shared" si="0"/>
        <v>0</v>
      </c>
      <c r="L1" s="95">
        <f t="shared" si="0"/>
        <v>0</v>
      </c>
      <c r="M1" s="95">
        <f t="shared" si="0"/>
        <v>0</v>
      </c>
      <c r="N1" s="95">
        <f t="shared" si="0"/>
        <v>0</v>
      </c>
      <c r="O1" s="95">
        <f t="shared" si="0"/>
        <v>0</v>
      </c>
      <c r="P1" s="95">
        <f t="shared" si="0"/>
        <v>0</v>
      </c>
      <c r="Q1" s="95">
        <f t="shared" si="0"/>
        <v>0</v>
      </c>
      <c r="R1" s="95">
        <f t="shared" si="0"/>
        <v>0</v>
      </c>
    </row>
    <row r="2" spans="2:19" ht="35.25" customHeight="1" x14ac:dyDescent="0.15">
      <c r="B2" s="36" t="s">
        <v>78</v>
      </c>
      <c r="C2" s="36" t="s">
        <v>12</v>
      </c>
      <c r="D2" s="36" t="s">
        <v>13</v>
      </c>
      <c r="E2" s="83" t="s">
        <v>14</v>
      </c>
      <c r="F2" s="38" t="s">
        <v>80</v>
      </c>
      <c r="G2" s="39">
        <v>202007</v>
      </c>
      <c r="H2" s="39">
        <v>202008</v>
      </c>
      <c r="I2" s="39">
        <v>202009</v>
      </c>
      <c r="J2" s="39">
        <v>202010</v>
      </c>
      <c r="K2" s="39">
        <v>202011</v>
      </c>
      <c r="L2" s="39">
        <v>202012</v>
      </c>
      <c r="M2" s="39">
        <v>202101</v>
      </c>
      <c r="N2" s="39">
        <v>202102</v>
      </c>
      <c r="O2" s="39">
        <v>202103</v>
      </c>
      <c r="P2" s="39">
        <v>202104</v>
      </c>
      <c r="Q2" s="39">
        <v>202105</v>
      </c>
      <c r="R2" s="39">
        <v>202106</v>
      </c>
      <c r="S2" s="40" t="s">
        <v>15</v>
      </c>
    </row>
    <row r="3" spans="2:19" x14ac:dyDescent="0.15">
      <c r="B3" s="34" t="s">
        <v>79</v>
      </c>
      <c r="C3" s="24" t="s">
        <v>200</v>
      </c>
      <c r="D3" s="28" t="s">
        <v>155</v>
      </c>
      <c r="E3" s="16" t="s">
        <v>20</v>
      </c>
      <c r="F3" s="41">
        <f>SUM(G3:R3)</f>
        <v>-91278</v>
      </c>
      <c r="G3" s="41">
        <v>-45345</v>
      </c>
      <c r="H3" s="41">
        <v>-45933</v>
      </c>
      <c r="I3" s="41">
        <v>0</v>
      </c>
      <c r="J3" s="41">
        <v>0</v>
      </c>
      <c r="K3" s="41">
        <v>0</v>
      </c>
      <c r="L3" s="41">
        <v>0</v>
      </c>
      <c r="M3" s="41">
        <v>0</v>
      </c>
      <c r="N3" s="41">
        <v>0</v>
      </c>
      <c r="O3" s="41">
        <v>0</v>
      </c>
      <c r="P3" s="41">
        <v>0</v>
      </c>
      <c r="Q3" s="41">
        <v>0</v>
      </c>
      <c r="R3" s="41">
        <v>0</v>
      </c>
      <c r="S3" s="31"/>
    </row>
    <row r="4" spans="2:19" x14ac:dyDescent="0.15">
      <c r="B4" s="33"/>
      <c r="C4" s="26" t="s">
        <v>200</v>
      </c>
      <c r="D4" s="26" t="s">
        <v>154</v>
      </c>
      <c r="E4" s="18" t="s">
        <v>21</v>
      </c>
      <c r="F4" s="41">
        <f t="shared" ref="F4:F67" si="1">SUM(G4:R4)</f>
        <v>0</v>
      </c>
      <c r="G4" s="42">
        <v>0</v>
      </c>
      <c r="H4" s="42">
        <v>0</v>
      </c>
      <c r="I4" s="42">
        <v>0</v>
      </c>
      <c r="J4" s="42">
        <v>0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  <c r="P4" s="42">
        <v>0</v>
      </c>
      <c r="Q4" s="42">
        <v>0</v>
      </c>
      <c r="R4" s="42">
        <v>0</v>
      </c>
      <c r="S4" s="31"/>
    </row>
    <row r="5" spans="2:19" x14ac:dyDescent="0.15">
      <c r="B5" s="33"/>
      <c r="C5" s="26" t="s">
        <v>200</v>
      </c>
      <c r="D5" s="26" t="s">
        <v>154</v>
      </c>
      <c r="E5" s="16" t="s">
        <v>28</v>
      </c>
      <c r="F5" s="41">
        <f t="shared" si="1"/>
        <v>0</v>
      </c>
      <c r="G5" s="41">
        <v>0</v>
      </c>
      <c r="H5" s="41">
        <v>0</v>
      </c>
      <c r="I5" s="41">
        <v>0</v>
      </c>
      <c r="J5" s="41">
        <v>0</v>
      </c>
      <c r="K5" s="41">
        <v>0</v>
      </c>
      <c r="L5" s="41">
        <v>0</v>
      </c>
      <c r="M5" s="41">
        <v>0</v>
      </c>
      <c r="N5" s="41">
        <v>0</v>
      </c>
      <c r="O5" s="41">
        <v>0</v>
      </c>
      <c r="P5" s="41">
        <v>0</v>
      </c>
      <c r="Q5" s="41">
        <v>0</v>
      </c>
      <c r="R5" s="41">
        <v>0</v>
      </c>
      <c r="S5" s="29" t="s">
        <v>59</v>
      </c>
    </row>
    <row r="6" spans="2:19" x14ac:dyDescent="0.15">
      <c r="B6" s="33"/>
      <c r="C6" s="26" t="s">
        <v>200</v>
      </c>
      <c r="D6" s="43" t="s">
        <v>154</v>
      </c>
      <c r="E6" s="27"/>
      <c r="F6" s="41">
        <f t="shared" si="1"/>
        <v>0</v>
      </c>
      <c r="G6" s="41">
        <v>0</v>
      </c>
      <c r="H6" s="41">
        <v>0</v>
      </c>
      <c r="I6" s="41">
        <v>0</v>
      </c>
      <c r="J6" s="41">
        <v>0</v>
      </c>
      <c r="K6" s="41">
        <v>0</v>
      </c>
      <c r="L6" s="41">
        <v>0</v>
      </c>
      <c r="M6" s="41">
        <v>0</v>
      </c>
      <c r="N6" s="41">
        <v>0</v>
      </c>
      <c r="O6" s="41">
        <v>0</v>
      </c>
      <c r="P6" s="41">
        <v>0</v>
      </c>
      <c r="Q6" s="41">
        <v>0</v>
      </c>
      <c r="R6" s="41">
        <v>0</v>
      </c>
      <c r="S6" s="31"/>
    </row>
    <row r="7" spans="2:19" x14ac:dyDescent="0.15">
      <c r="B7" s="33"/>
      <c r="C7" s="26" t="s">
        <v>200</v>
      </c>
      <c r="D7" s="24" t="s">
        <v>19</v>
      </c>
      <c r="E7" s="16" t="s">
        <v>32</v>
      </c>
      <c r="F7" s="41">
        <f t="shared" si="1"/>
        <v>-4536</v>
      </c>
      <c r="G7" s="41">
        <v>-2268</v>
      </c>
      <c r="H7" s="41">
        <v>-2268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>
        <v>0</v>
      </c>
      <c r="O7" s="41">
        <v>0</v>
      </c>
      <c r="P7" s="41">
        <v>0</v>
      </c>
      <c r="Q7" s="41">
        <v>0</v>
      </c>
      <c r="R7" s="41">
        <v>0</v>
      </c>
      <c r="S7" s="31"/>
    </row>
    <row r="8" spans="2:19" x14ac:dyDescent="0.15">
      <c r="B8" s="33"/>
      <c r="C8" s="26" t="s">
        <v>200</v>
      </c>
      <c r="D8" s="26" t="s">
        <v>19</v>
      </c>
      <c r="E8" s="16" t="s">
        <v>33</v>
      </c>
      <c r="F8" s="41">
        <f t="shared" si="1"/>
        <v>-3628</v>
      </c>
      <c r="G8" s="41">
        <v>-3628</v>
      </c>
      <c r="H8" s="41">
        <v>0</v>
      </c>
      <c r="I8" s="41">
        <v>0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>
        <v>0</v>
      </c>
      <c r="P8" s="41">
        <v>0</v>
      </c>
      <c r="Q8" s="41">
        <v>0</v>
      </c>
      <c r="R8" s="41">
        <v>0</v>
      </c>
      <c r="S8" s="31"/>
    </row>
    <row r="9" spans="2:19" x14ac:dyDescent="0.15">
      <c r="B9" s="33"/>
      <c r="C9" s="26" t="s">
        <v>200</v>
      </c>
      <c r="D9" s="26" t="s">
        <v>19</v>
      </c>
      <c r="E9" s="16" t="s">
        <v>34</v>
      </c>
      <c r="F9" s="41">
        <f t="shared" si="1"/>
        <v>-1285</v>
      </c>
      <c r="G9" s="41">
        <v>-634</v>
      </c>
      <c r="H9" s="41">
        <v>-651</v>
      </c>
      <c r="I9" s="41">
        <v>0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>
        <v>0</v>
      </c>
      <c r="P9" s="41">
        <v>0</v>
      </c>
      <c r="Q9" s="41">
        <v>0</v>
      </c>
      <c r="R9" s="41">
        <v>0</v>
      </c>
      <c r="S9" s="29" t="s">
        <v>35</v>
      </c>
    </row>
    <row r="10" spans="2:19" x14ac:dyDescent="0.15">
      <c r="B10" s="33"/>
      <c r="C10" s="26" t="s">
        <v>200</v>
      </c>
      <c r="D10" s="26" t="s">
        <v>19</v>
      </c>
      <c r="E10" s="16" t="s">
        <v>21</v>
      </c>
      <c r="F10" s="41">
        <f t="shared" si="1"/>
        <v>0</v>
      </c>
      <c r="G10" s="41">
        <v>0</v>
      </c>
      <c r="H10" s="41">
        <v>0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>
        <v>0</v>
      </c>
      <c r="O10" s="41">
        <v>0</v>
      </c>
      <c r="P10" s="41">
        <v>0</v>
      </c>
      <c r="Q10" s="41">
        <v>0</v>
      </c>
      <c r="R10" s="41">
        <v>0</v>
      </c>
      <c r="S10" s="29" t="s">
        <v>36</v>
      </c>
    </row>
    <row r="11" spans="2:19" x14ac:dyDescent="0.15">
      <c r="B11" s="33"/>
      <c r="C11" s="26" t="s">
        <v>200</v>
      </c>
      <c r="D11" s="26" t="s">
        <v>19</v>
      </c>
      <c r="E11" s="16" t="s">
        <v>16</v>
      </c>
      <c r="F11" s="41">
        <f t="shared" si="1"/>
        <v>-2103</v>
      </c>
      <c r="G11" s="41">
        <v>-1553</v>
      </c>
      <c r="H11" s="41">
        <v>-550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>
        <v>0</v>
      </c>
      <c r="O11" s="41">
        <v>0</v>
      </c>
      <c r="P11" s="41">
        <v>0</v>
      </c>
      <c r="Q11" s="41">
        <v>0</v>
      </c>
      <c r="R11" s="41">
        <v>0</v>
      </c>
      <c r="S11" s="29" t="s">
        <v>38</v>
      </c>
    </row>
    <row r="12" spans="2:19" x14ac:dyDescent="0.15">
      <c r="B12" s="33"/>
      <c r="C12" s="26" t="s">
        <v>200</v>
      </c>
      <c r="D12" s="26" t="s">
        <v>19</v>
      </c>
      <c r="E12" s="18" t="s">
        <v>22</v>
      </c>
      <c r="F12" s="41">
        <f t="shared" si="1"/>
        <v>-1630</v>
      </c>
      <c r="G12" s="42">
        <v>-815</v>
      </c>
      <c r="H12" s="42">
        <v>-815</v>
      </c>
      <c r="I12" s="42">
        <v>0</v>
      </c>
      <c r="J12" s="42">
        <v>0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  <c r="P12" s="42">
        <v>0</v>
      </c>
      <c r="Q12" s="42">
        <v>0</v>
      </c>
      <c r="R12" s="42">
        <v>0</v>
      </c>
      <c r="S12" s="31"/>
    </row>
    <row r="13" spans="2:19" x14ac:dyDescent="0.15">
      <c r="B13" s="33"/>
      <c r="C13" s="26" t="s">
        <v>200</v>
      </c>
      <c r="D13" s="26" t="s">
        <v>19</v>
      </c>
      <c r="E13" s="27" t="s">
        <v>8</v>
      </c>
      <c r="F13" s="41">
        <f t="shared" si="1"/>
        <v>-1019</v>
      </c>
      <c r="G13" s="41">
        <v>-953</v>
      </c>
      <c r="H13" s="41">
        <v>-66</v>
      </c>
      <c r="I13" s="41">
        <v>0</v>
      </c>
      <c r="J13" s="41">
        <v>0</v>
      </c>
      <c r="K13" s="41">
        <v>0</v>
      </c>
      <c r="L13" s="41">
        <v>0</v>
      </c>
      <c r="M13" s="41">
        <v>0</v>
      </c>
      <c r="N13" s="41">
        <v>0</v>
      </c>
      <c r="O13" s="41">
        <v>0</v>
      </c>
      <c r="P13" s="41">
        <v>0</v>
      </c>
      <c r="Q13" s="41">
        <v>0</v>
      </c>
      <c r="R13" s="41">
        <v>0</v>
      </c>
      <c r="S13" s="31"/>
    </row>
    <row r="14" spans="2:19" x14ac:dyDescent="0.15">
      <c r="B14" s="33"/>
      <c r="C14" s="26" t="s">
        <v>200</v>
      </c>
      <c r="D14" s="26" t="s">
        <v>19</v>
      </c>
      <c r="E14" s="16" t="s">
        <v>37</v>
      </c>
      <c r="F14" s="41">
        <f t="shared" si="1"/>
        <v>0</v>
      </c>
      <c r="G14" s="41">
        <v>0</v>
      </c>
      <c r="H14" s="41">
        <v>0</v>
      </c>
      <c r="I14" s="41">
        <v>0</v>
      </c>
      <c r="J14" s="41">
        <v>0</v>
      </c>
      <c r="K14" s="41">
        <v>0</v>
      </c>
      <c r="L14" s="41">
        <v>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41">
        <v>0</v>
      </c>
      <c r="S14" s="31"/>
    </row>
    <row r="15" spans="2:19" x14ac:dyDescent="0.15">
      <c r="B15" s="33"/>
      <c r="C15" s="26" t="s">
        <v>200</v>
      </c>
      <c r="D15" s="26" t="s">
        <v>19</v>
      </c>
      <c r="E15" s="16" t="s">
        <v>27</v>
      </c>
      <c r="F15" s="41">
        <f t="shared" si="1"/>
        <v>-91</v>
      </c>
      <c r="G15" s="41">
        <v>-91</v>
      </c>
      <c r="H15" s="41">
        <v>0</v>
      </c>
      <c r="I15" s="41">
        <v>0</v>
      </c>
      <c r="J15" s="41">
        <v>0</v>
      </c>
      <c r="K15" s="41">
        <v>0</v>
      </c>
      <c r="L15" s="41">
        <v>0</v>
      </c>
      <c r="M15" s="41">
        <v>0</v>
      </c>
      <c r="N15" s="41">
        <v>0</v>
      </c>
      <c r="O15" s="41">
        <v>0</v>
      </c>
      <c r="P15" s="41">
        <v>0</v>
      </c>
      <c r="Q15" s="41">
        <v>0</v>
      </c>
      <c r="R15" s="41">
        <v>0</v>
      </c>
      <c r="S15" s="31"/>
    </row>
    <row r="16" spans="2:19" x14ac:dyDescent="0.15">
      <c r="B16" s="33"/>
      <c r="C16" s="26" t="s">
        <v>200</v>
      </c>
      <c r="D16" s="26" t="s">
        <v>19</v>
      </c>
      <c r="E16" s="16" t="s">
        <v>76</v>
      </c>
      <c r="F16" s="41">
        <f t="shared" si="1"/>
        <v>-77</v>
      </c>
      <c r="G16" s="41">
        <v>-77</v>
      </c>
      <c r="H16" s="41">
        <v>0</v>
      </c>
      <c r="I16" s="41">
        <v>0</v>
      </c>
      <c r="J16" s="41">
        <v>0</v>
      </c>
      <c r="K16" s="41">
        <v>0</v>
      </c>
      <c r="L16" s="41">
        <v>0</v>
      </c>
      <c r="M16" s="41">
        <v>0</v>
      </c>
      <c r="N16" s="41">
        <v>0</v>
      </c>
      <c r="O16" s="41">
        <v>0</v>
      </c>
      <c r="P16" s="41">
        <v>0</v>
      </c>
      <c r="Q16" s="41">
        <v>0</v>
      </c>
      <c r="R16" s="41">
        <v>0</v>
      </c>
      <c r="S16" s="31"/>
    </row>
    <row r="17" spans="2:19" x14ac:dyDescent="0.15">
      <c r="B17" s="33"/>
      <c r="C17" s="26" t="s">
        <v>200</v>
      </c>
      <c r="D17" s="26" t="s">
        <v>19</v>
      </c>
      <c r="E17" s="16" t="s">
        <v>9</v>
      </c>
      <c r="F17" s="41">
        <f t="shared" si="1"/>
        <v>-228</v>
      </c>
      <c r="G17" s="41">
        <v>-228</v>
      </c>
      <c r="H17" s="41">
        <v>0</v>
      </c>
      <c r="I17" s="41">
        <v>0</v>
      </c>
      <c r="J17" s="41">
        <v>0</v>
      </c>
      <c r="K17" s="41">
        <v>0</v>
      </c>
      <c r="L17" s="41">
        <v>0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41">
        <v>0</v>
      </c>
      <c r="S17" s="31"/>
    </row>
    <row r="18" spans="2:19" x14ac:dyDescent="0.15">
      <c r="B18" s="33"/>
      <c r="C18" s="26" t="s">
        <v>200</v>
      </c>
      <c r="D18" s="26" t="s">
        <v>19</v>
      </c>
      <c r="E18" s="18" t="s">
        <v>51</v>
      </c>
      <c r="F18" s="41">
        <f t="shared" si="1"/>
        <v>0</v>
      </c>
      <c r="G18" s="42">
        <v>0</v>
      </c>
      <c r="H18" s="42">
        <v>0</v>
      </c>
      <c r="I18" s="42">
        <v>0</v>
      </c>
      <c r="J18" s="42">
        <v>0</v>
      </c>
      <c r="K18" s="42">
        <v>0</v>
      </c>
      <c r="L18" s="42">
        <v>0</v>
      </c>
      <c r="M18" s="42">
        <v>0</v>
      </c>
      <c r="N18" s="42">
        <v>0</v>
      </c>
      <c r="O18" s="42">
        <v>0</v>
      </c>
      <c r="P18" s="42">
        <v>0</v>
      </c>
      <c r="Q18" s="42">
        <v>0</v>
      </c>
      <c r="R18" s="42">
        <v>0</v>
      </c>
      <c r="S18" s="31"/>
    </row>
    <row r="19" spans="2:19" x14ac:dyDescent="0.15">
      <c r="B19" s="33"/>
      <c r="C19" s="26" t="s">
        <v>200</v>
      </c>
      <c r="D19" s="43" t="s">
        <v>19</v>
      </c>
      <c r="E19" s="16"/>
      <c r="F19" s="41">
        <f t="shared" si="1"/>
        <v>0</v>
      </c>
      <c r="G19" s="41">
        <v>0</v>
      </c>
      <c r="H19" s="41">
        <v>0</v>
      </c>
      <c r="I19" s="41">
        <v>0</v>
      </c>
      <c r="J19" s="41">
        <v>0</v>
      </c>
      <c r="K19" s="41">
        <v>0</v>
      </c>
      <c r="L19" s="41">
        <v>0</v>
      </c>
      <c r="M19" s="41">
        <v>0</v>
      </c>
      <c r="N19" s="41">
        <v>0</v>
      </c>
      <c r="O19" s="41">
        <v>0</v>
      </c>
      <c r="P19" s="41">
        <v>0</v>
      </c>
      <c r="Q19" s="41">
        <v>0</v>
      </c>
      <c r="R19" s="41">
        <v>0</v>
      </c>
      <c r="S19" s="31"/>
    </row>
    <row r="20" spans="2:19" x14ac:dyDescent="0.15">
      <c r="B20" s="33"/>
      <c r="C20" s="26" t="s">
        <v>200</v>
      </c>
      <c r="D20" s="24" t="s">
        <v>17</v>
      </c>
      <c r="E20" s="27" t="s">
        <v>159</v>
      </c>
      <c r="F20" s="41">
        <f t="shared" si="1"/>
        <v>-1310</v>
      </c>
      <c r="G20" s="41">
        <v>-1310</v>
      </c>
      <c r="H20" s="41">
        <v>0</v>
      </c>
      <c r="I20" s="41">
        <v>0</v>
      </c>
      <c r="J20" s="41">
        <v>0</v>
      </c>
      <c r="K20" s="41">
        <v>0</v>
      </c>
      <c r="L20" s="41">
        <v>0</v>
      </c>
      <c r="M20" s="41">
        <v>0</v>
      </c>
      <c r="N20" s="41">
        <v>0</v>
      </c>
      <c r="O20" s="41">
        <v>0</v>
      </c>
      <c r="P20" s="41">
        <v>0</v>
      </c>
      <c r="Q20" s="41">
        <v>0</v>
      </c>
      <c r="R20" s="41">
        <v>0</v>
      </c>
      <c r="S20" s="29" t="s">
        <v>176</v>
      </c>
    </row>
    <row r="21" spans="2:19" x14ac:dyDescent="0.15">
      <c r="B21" s="33"/>
      <c r="C21" s="26" t="s">
        <v>200</v>
      </c>
      <c r="D21" s="26" t="s">
        <v>17</v>
      </c>
      <c r="E21" s="27" t="s">
        <v>161</v>
      </c>
      <c r="F21" s="41">
        <f t="shared" si="1"/>
        <v>0</v>
      </c>
      <c r="G21" s="41">
        <v>0</v>
      </c>
      <c r="H21" s="41">
        <v>0</v>
      </c>
      <c r="I21" s="41">
        <v>0</v>
      </c>
      <c r="J21" s="41">
        <v>0</v>
      </c>
      <c r="K21" s="41">
        <v>0</v>
      </c>
      <c r="L21" s="41">
        <v>0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41">
        <v>0</v>
      </c>
      <c r="S21" s="29" t="s">
        <v>177</v>
      </c>
    </row>
    <row r="22" spans="2:19" x14ac:dyDescent="0.15">
      <c r="B22" s="33"/>
      <c r="C22" s="26" t="s">
        <v>200</v>
      </c>
      <c r="D22" s="26" t="s">
        <v>17</v>
      </c>
      <c r="E22" s="27" t="s">
        <v>163</v>
      </c>
      <c r="F22" s="41">
        <f t="shared" si="1"/>
        <v>-42806</v>
      </c>
      <c r="G22" s="41">
        <v>-42806</v>
      </c>
      <c r="H22" s="41">
        <v>0</v>
      </c>
      <c r="I22" s="41">
        <v>0</v>
      </c>
      <c r="J22" s="41">
        <v>0</v>
      </c>
      <c r="K22" s="41">
        <v>0</v>
      </c>
      <c r="L22" s="41">
        <v>0</v>
      </c>
      <c r="M22" s="41">
        <v>0</v>
      </c>
      <c r="N22" s="41">
        <v>0</v>
      </c>
      <c r="O22" s="41">
        <v>0</v>
      </c>
      <c r="P22" s="41">
        <v>0</v>
      </c>
      <c r="Q22" s="41">
        <v>0</v>
      </c>
      <c r="R22" s="41">
        <v>0</v>
      </c>
      <c r="S22" s="29" t="s">
        <v>178</v>
      </c>
    </row>
    <row r="23" spans="2:19" x14ac:dyDescent="0.15">
      <c r="B23" s="33"/>
      <c r="C23" s="26" t="s">
        <v>200</v>
      </c>
      <c r="D23" s="26" t="s">
        <v>17</v>
      </c>
      <c r="E23" s="27" t="s">
        <v>272</v>
      </c>
      <c r="F23" s="41">
        <f t="shared" si="1"/>
        <v>0</v>
      </c>
      <c r="G23" s="41">
        <v>0</v>
      </c>
      <c r="H23" s="41">
        <v>0</v>
      </c>
      <c r="I23" s="41">
        <v>0</v>
      </c>
      <c r="J23" s="41">
        <v>0</v>
      </c>
      <c r="K23" s="41">
        <v>0</v>
      </c>
      <c r="L23" s="41">
        <v>0</v>
      </c>
      <c r="M23" s="41">
        <v>0</v>
      </c>
      <c r="N23" s="41">
        <v>0</v>
      </c>
      <c r="O23" s="41">
        <v>0</v>
      </c>
      <c r="P23" s="41">
        <v>0</v>
      </c>
      <c r="Q23" s="41">
        <v>0</v>
      </c>
      <c r="R23" s="41">
        <v>0</v>
      </c>
      <c r="S23" s="29" t="s">
        <v>179</v>
      </c>
    </row>
    <row r="24" spans="2:19" x14ac:dyDescent="0.15">
      <c r="B24" s="33"/>
      <c r="C24" s="26" t="s">
        <v>200</v>
      </c>
      <c r="D24" s="26" t="s">
        <v>17</v>
      </c>
      <c r="E24" s="27" t="s">
        <v>165</v>
      </c>
      <c r="F24" s="41">
        <f t="shared" si="1"/>
        <v>0</v>
      </c>
      <c r="G24" s="41">
        <v>0</v>
      </c>
      <c r="H24" s="41">
        <v>0</v>
      </c>
      <c r="I24" s="41">
        <v>0</v>
      </c>
      <c r="J24" s="41">
        <v>0</v>
      </c>
      <c r="K24" s="41">
        <v>0</v>
      </c>
      <c r="L24" s="41">
        <v>0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41">
        <v>0</v>
      </c>
      <c r="S24" s="29" t="s">
        <v>180</v>
      </c>
    </row>
    <row r="25" spans="2:19" x14ac:dyDescent="0.15">
      <c r="B25" s="33"/>
      <c r="C25" s="26" t="s">
        <v>200</v>
      </c>
      <c r="D25" s="26" t="s">
        <v>17</v>
      </c>
      <c r="E25" s="27" t="s">
        <v>167</v>
      </c>
      <c r="F25" s="41">
        <f t="shared" si="1"/>
        <v>0</v>
      </c>
      <c r="G25" s="41">
        <v>0</v>
      </c>
      <c r="H25" s="41">
        <v>0</v>
      </c>
      <c r="I25" s="41">
        <v>0</v>
      </c>
      <c r="J25" s="41">
        <v>0</v>
      </c>
      <c r="K25" s="41">
        <v>0</v>
      </c>
      <c r="L25" s="41">
        <v>0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41">
        <v>0</v>
      </c>
      <c r="S25" s="29" t="s">
        <v>181</v>
      </c>
    </row>
    <row r="26" spans="2:19" x14ac:dyDescent="0.15">
      <c r="B26" s="33"/>
      <c r="C26" s="26" t="s">
        <v>200</v>
      </c>
      <c r="D26" s="26" t="s">
        <v>17</v>
      </c>
      <c r="E26" s="27" t="s">
        <v>169</v>
      </c>
      <c r="F26" s="41">
        <f t="shared" si="1"/>
        <v>0</v>
      </c>
      <c r="G26" s="41">
        <v>0</v>
      </c>
      <c r="H26" s="41">
        <v>0</v>
      </c>
      <c r="I26" s="41">
        <v>0</v>
      </c>
      <c r="J26" s="41">
        <v>0</v>
      </c>
      <c r="K26" s="41">
        <v>0</v>
      </c>
      <c r="L26" s="41">
        <v>0</v>
      </c>
      <c r="M26" s="41">
        <v>0</v>
      </c>
      <c r="N26" s="41">
        <v>0</v>
      </c>
      <c r="O26" s="41">
        <v>0</v>
      </c>
      <c r="P26" s="41">
        <v>0</v>
      </c>
      <c r="Q26" s="41">
        <v>0</v>
      </c>
      <c r="R26" s="41">
        <v>0</v>
      </c>
      <c r="S26" s="29" t="s">
        <v>182</v>
      </c>
    </row>
    <row r="27" spans="2:19" x14ac:dyDescent="0.15">
      <c r="B27" s="33"/>
      <c r="C27" s="26" t="s">
        <v>200</v>
      </c>
      <c r="D27" s="26" t="s">
        <v>17</v>
      </c>
      <c r="E27" s="27" t="s">
        <v>171</v>
      </c>
      <c r="F27" s="41">
        <f t="shared" si="1"/>
        <v>0</v>
      </c>
      <c r="G27" s="41">
        <v>0</v>
      </c>
      <c r="H27" s="41">
        <v>0</v>
      </c>
      <c r="I27" s="41">
        <v>0</v>
      </c>
      <c r="J27" s="41">
        <v>0</v>
      </c>
      <c r="K27" s="41">
        <v>0</v>
      </c>
      <c r="L27" s="41">
        <v>0</v>
      </c>
      <c r="M27" s="41">
        <v>0</v>
      </c>
      <c r="N27" s="41">
        <v>0</v>
      </c>
      <c r="O27" s="41">
        <v>0</v>
      </c>
      <c r="P27" s="41">
        <v>0</v>
      </c>
      <c r="Q27" s="41">
        <v>0</v>
      </c>
      <c r="R27" s="41">
        <v>0</v>
      </c>
      <c r="S27" s="29" t="s">
        <v>183</v>
      </c>
    </row>
    <row r="28" spans="2:19" x14ac:dyDescent="0.15">
      <c r="B28" s="33"/>
      <c r="C28" s="26" t="s">
        <v>200</v>
      </c>
      <c r="D28" s="26" t="s">
        <v>17</v>
      </c>
      <c r="E28" s="27" t="s">
        <v>273</v>
      </c>
      <c r="F28" s="41">
        <f t="shared" si="1"/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29" t="s">
        <v>183</v>
      </c>
    </row>
    <row r="29" spans="2:19" x14ac:dyDescent="0.15">
      <c r="B29" s="33"/>
      <c r="C29" s="26" t="s">
        <v>200</v>
      </c>
      <c r="D29" s="26" t="s">
        <v>17</v>
      </c>
      <c r="E29" s="18" t="s">
        <v>51</v>
      </c>
      <c r="F29" s="41">
        <f t="shared" si="1"/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0</v>
      </c>
      <c r="N29" s="41">
        <v>0</v>
      </c>
      <c r="O29" s="41">
        <v>0</v>
      </c>
      <c r="P29" s="41">
        <v>0</v>
      </c>
      <c r="Q29" s="41">
        <v>0</v>
      </c>
      <c r="R29" s="41">
        <v>0</v>
      </c>
      <c r="S29" s="29" t="s">
        <v>184</v>
      </c>
    </row>
    <row r="30" spans="2:19" x14ac:dyDescent="0.15">
      <c r="B30" s="33"/>
      <c r="C30" s="26" t="s">
        <v>200</v>
      </c>
      <c r="D30" s="43" t="s">
        <v>17</v>
      </c>
      <c r="E30" s="27"/>
      <c r="F30" s="41">
        <f t="shared" si="1"/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41">
        <v>0</v>
      </c>
      <c r="S30" s="29" t="s">
        <v>185</v>
      </c>
    </row>
    <row r="31" spans="2:19" x14ac:dyDescent="0.15">
      <c r="B31" s="33"/>
      <c r="C31" s="26" t="s">
        <v>200</v>
      </c>
      <c r="D31" s="24" t="s">
        <v>23</v>
      </c>
      <c r="E31" s="16" t="s">
        <v>202</v>
      </c>
      <c r="F31" s="41">
        <f t="shared" si="1"/>
        <v>0</v>
      </c>
      <c r="G31" s="41">
        <v>0</v>
      </c>
      <c r="H31" s="41">
        <v>0</v>
      </c>
      <c r="I31" s="41">
        <v>0</v>
      </c>
      <c r="J31" s="41">
        <v>0</v>
      </c>
      <c r="K31" s="41">
        <v>0</v>
      </c>
      <c r="L31" s="41">
        <v>0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41">
        <v>0</v>
      </c>
      <c r="S31" s="29" t="s">
        <v>185</v>
      </c>
    </row>
    <row r="32" spans="2:19" x14ac:dyDescent="0.15">
      <c r="B32" s="33"/>
      <c r="C32" s="26" t="s">
        <v>200</v>
      </c>
      <c r="D32" s="26" t="s">
        <v>23</v>
      </c>
      <c r="E32" s="16" t="s">
        <v>209</v>
      </c>
      <c r="F32" s="41">
        <f t="shared" si="1"/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41">
        <v>0</v>
      </c>
      <c r="S32" s="31"/>
    </row>
    <row r="33" spans="2:20" x14ac:dyDescent="0.15">
      <c r="B33" s="33"/>
      <c r="C33" s="26" t="s">
        <v>200</v>
      </c>
      <c r="D33" s="26" t="s">
        <v>23</v>
      </c>
      <c r="E33" s="16" t="s">
        <v>206</v>
      </c>
      <c r="F33" s="41">
        <f t="shared" si="1"/>
        <v>0</v>
      </c>
      <c r="G33" s="41">
        <v>0</v>
      </c>
      <c r="H33" s="41">
        <v>0</v>
      </c>
      <c r="I33" s="41">
        <v>0</v>
      </c>
      <c r="J33" s="41">
        <v>0</v>
      </c>
      <c r="K33" s="41">
        <v>0</v>
      </c>
      <c r="L33" s="41">
        <v>0</v>
      </c>
      <c r="M33" s="41">
        <v>0</v>
      </c>
      <c r="N33" s="41">
        <v>0</v>
      </c>
      <c r="O33" s="41">
        <v>0</v>
      </c>
      <c r="P33" s="41">
        <v>0</v>
      </c>
      <c r="Q33" s="41">
        <v>0</v>
      </c>
      <c r="R33" s="41">
        <v>0</v>
      </c>
      <c r="S33" s="31"/>
    </row>
    <row r="34" spans="2:20" x14ac:dyDescent="0.15">
      <c r="B34" s="33"/>
      <c r="C34" s="26" t="s">
        <v>200</v>
      </c>
      <c r="D34" s="26" t="s">
        <v>23</v>
      </c>
      <c r="E34" s="27" t="s">
        <v>208</v>
      </c>
      <c r="F34" s="41">
        <f t="shared" si="1"/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N34" s="41">
        <v>0</v>
      </c>
      <c r="O34" s="41">
        <v>0</v>
      </c>
      <c r="P34" s="41">
        <v>0</v>
      </c>
      <c r="Q34" s="41">
        <v>0</v>
      </c>
      <c r="R34" s="41">
        <v>0</v>
      </c>
      <c r="S34" s="29" t="s">
        <v>56</v>
      </c>
    </row>
    <row r="35" spans="2:20" x14ac:dyDescent="0.15">
      <c r="B35" s="33"/>
      <c r="C35" s="26" t="s">
        <v>200</v>
      </c>
      <c r="D35" s="26" t="s">
        <v>23</v>
      </c>
      <c r="E35" s="27" t="s">
        <v>274</v>
      </c>
      <c r="F35" s="41">
        <f t="shared" si="1"/>
        <v>0</v>
      </c>
      <c r="G35" s="41">
        <v>0</v>
      </c>
      <c r="H35" s="41">
        <v>0</v>
      </c>
      <c r="I35" s="41">
        <v>0</v>
      </c>
      <c r="J35" s="41">
        <v>0</v>
      </c>
      <c r="K35" s="41">
        <v>0</v>
      </c>
      <c r="L35" s="41">
        <v>0</v>
      </c>
      <c r="M35" s="41">
        <v>0</v>
      </c>
      <c r="N35" s="41">
        <v>0</v>
      </c>
      <c r="O35" s="41">
        <v>0</v>
      </c>
      <c r="P35" s="41">
        <v>0</v>
      </c>
      <c r="Q35" s="41">
        <v>0</v>
      </c>
      <c r="R35" s="41">
        <v>0</v>
      </c>
      <c r="S35" s="29" t="s">
        <v>61</v>
      </c>
    </row>
    <row r="36" spans="2:20" x14ac:dyDescent="0.15">
      <c r="B36" s="33"/>
      <c r="C36" s="26" t="s">
        <v>200</v>
      </c>
      <c r="D36" s="26" t="s">
        <v>23</v>
      </c>
      <c r="E36" s="27" t="s">
        <v>153</v>
      </c>
      <c r="F36" s="41">
        <f t="shared" si="1"/>
        <v>-454284</v>
      </c>
      <c r="G36" s="41">
        <v>-227142</v>
      </c>
      <c r="H36" s="41">
        <v>-227142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N36" s="41">
        <v>0</v>
      </c>
      <c r="O36" s="41">
        <v>0</v>
      </c>
      <c r="P36" s="41">
        <v>0</v>
      </c>
      <c r="Q36" s="41">
        <v>0</v>
      </c>
      <c r="R36" s="41">
        <v>0</v>
      </c>
      <c r="S36" s="29" t="s">
        <v>62</v>
      </c>
    </row>
    <row r="37" spans="2:20" x14ac:dyDescent="0.15">
      <c r="B37" s="33"/>
      <c r="C37" s="26" t="s">
        <v>200</v>
      </c>
      <c r="D37" s="26" t="s">
        <v>23</v>
      </c>
      <c r="E37" s="27" t="s">
        <v>51</v>
      </c>
      <c r="F37" s="41">
        <f t="shared" si="1"/>
        <v>0</v>
      </c>
      <c r="G37" s="41">
        <v>0</v>
      </c>
      <c r="H37" s="41">
        <v>0</v>
      </c>
      <c r="I37" s="41">
        <v>0</v>
      </c>
      <c r="J37" s="41">
        <v>0</v>
      </c>
      <c r="K37" s="41">
        <v>0</v>
      </c>
      <c r="L37" s="41">
        <v>0</v>
      </c>
      <c r="M37" s="41">
        <v>0</v>
      </c>
      <c r="N37" s="41">
        <v>0</v>
      </c>
      <c r="O37" s="41">
        <v>0</v>
      </c>
      <c r="P37" s="41">
        <v>0</v>
      </c>
      <c r="Q37" s="41">
        <v>0</v>
      </c>
      <c r="R37" s="41">
        <v>0</v>
      </c>
      <c r="S37" s="31"/>
    </row>
    <row r="38" spans="2:20" x14ac:dyDescent="0.15">
      <c r="B38" s="33"/>
      <c r="C38" s="26" t="s">
        <v>200</v>
      </c>
      <c r="D38" s="26" t="s">
        <v>23</v>
      </c>
      <c r="E38" s="27"/>
      <c r="F38" s="41">
        <f t="shared" si="1"/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N38" s="41">
        <v>0</v>
      </c>
      <c r="O38" s="41">
        <v>0</v>
      </c>
      <c r="P38" s="41">
        <v>0</v>
      </c>
      <c r="Q38" s="41">
        <v>0</v>
      </c>
      <c r="R38" s="41">
        <v>0</v>
      </c>
      <c r="S38" s="31"/>
    </row>
    <row r="39" spans="2:20" x14ac:dyDescent="0.15">
      <c r="B39" s="33"/>
      <c r="C39" s="26" t="s">
        <v>200</v>
      </c>
      <c r="D39" s="24" t="s">
        <v>39</v>
      </c>
      <c r="E39" s="16" t="s">
        <v>26</v>
      </c>
      <c r="F39" s="41">
        <f t="shared" si="1"/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0</v>
      </c>
      <c r="N39" s="41">
        <v>0</v>
      </c>
      <c r="O39" s="41">
        <v>0</v>
      </c>
      <c r="P39" s="41">
        <v>0</v>
      </c>
      <c r="Q39" s="41">
        <v>0</v>
      </c>
      <c r="R39" s="41">
        <v>0</v>
      </c>
      <c r="S39" s="31"/>
    </row>
    <row r="40" spans="2:20" x14ac:dyDescent="0.15">
      <c r="B40" s="33"/>
      <c r="C40" s="26" t="s">
        <v>200</v>
      </c>
      <c r="D40" s="26" t="s">
        <v>39</v>
      </c>
      <c r="E40" s="18" t="s">
        <v>10</v>
      </c>
      <c r="F40" s="41">
        <f t="shared" si="1"/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N40" s="41">
        <v>0</v>
      </c>
      <c r="O40" s="41">
        <v>0</v>
      </c>
      <c r="P40" s="41">
        <v>0</v>
      </c>
      <c r="Q40" s="41">
        <v>0</v>
      </c>
      <c r="R40" s="41">
        <v>0</v>
      </c>
      <c r="S40" s="31"/>
    </row>
    <row r="41" spans="2:20" x14ac:dyDescent="0.15">
      <c r="B41" s="33"/>
      <c r="C41" s="26" t="s">
        <v>200</v>
      </c>
      <c r="D41" s="26" t="s">
        <v>39</v>
      </c>
      <c r="E41" s="18" t="s">
        <v>43</v>
      </c>
      <c r="F41" s="41">
        <f t="shared" si="1"/>
        <v>0</v>
      </c>
      <c r="G41" s="41">
        <v>0</v>
      </c>
      <c r="H41" s="41">
        <v>0</v>
      </c>
      <c r="I41" s="41">
        <v>0</v>
      </c>
      <c r="J41" s="41">
        <v>0</v>
      </c>
      <c r="K41" s="41">
        <v>0</v>
      </c>
      <c r="L41" s="41">
        <v>0</v>
      </c>
      <c r="M41" s="41">
        <v>0</v>
      </c>
      <c r="N41" s="41">
        <v>0</v>
      </c>
      <c r="O41" s="41">
        <v>0</v>
      </c>
      <c r="P41" s="41">
        <v>0</v>
      </c>
      <c r="Q41" s="41">
        <v>0</v>
      </c>
      <c r="R41" s="41">
        <v>0</v>
      </c>
      <c r="S41" s="29"/>
    </row>
    <row r="42" spans="2:20" x14ac:dyDescent="0.15">
      <c r="B42" s="33"/>
      <c r="C42" s="26" t="s">
        <v>200</v>
      </c>
      <c r="D42" s="26" t="s">
        <v>39</v>
      </c>
      <c r="E42" s="18" t="s">
        <v>45</v>
      </c>
      <c r="F42" s="41">
        <f t="shared" si="1"/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N42" s="41">
        <v>0</v>
      </c>
      <c r="O42" s="41">
        <v>0</v>
      </c>
      <c r="P42" s="41">
        <v>0</v>
      </c>
      <c r="Q42" s="41">
        <v>0</v>
      </c>
      <c r="R42" s="41">
        <v>0</v>
      </c>
      <c r="S42" s="29"/>
    </row>
    <row r="43" spans="2:20" x14ac:dyDescent="0.15">
      <c r="B43" s="33"/>
      <c r="C43" s="26" t="s">
        <v>200</v>
      </c>
      <c r="D43" s="26" t="s">
        <v>39</v>
      </c>
      <c r="E43" s="18" t="s">
        <v>46</v>
      </c>
      <c r="F43" s="41">
        <f t="shared" si="1"/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N43" s="41">
        <v>0</v>
      </c>
      <c r="O43" s="41">
        <v>0</v>
      </c>
      <c r="P43" s="41">
        <v>0</v>
      </c>
      <c r="Q43" s="41">
        <v>0</v>
      </c>
      <c r="R43" s="41">
        <v>0</v>
      </c>
      <c r="S43" s="29" t="s">
        <v>48</v>
      </c>
      <c r="T43" s="15"/>
    </row>
    <row r="44" spans="2:20" x14ac:dyDescent="0.15">
      <c r="B44" s="33"/>
      <c r="C44" s="26" t="s">
        <v>200</v>
      </c>
      <c r="D44" s="26" t="s">
        <v>39</v>
      </c>
      <c r="E44" s="18" t="s">
        <v>51</v>
      </c>
      <c r="F44" s="41">
        <f t="shared" si="1"/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N44" s="41">
        <v>0</v>
      </c>
      <c r="O44" s="41">
        <v>0</v>
      </c>
      <c r="P44" s="41">
        <v>0</v>
      </c>
      <c r="Q44" s="41">
        <v>0</v>
      </c>
      <c r="R44" s="41">
        <v>0</v>
      </c>
      <c r="S44" s="29" t="s">
        <v>48</v>
      </c>
      <c r="T44" s="15"/>
    </row>
    <row r="45" spans="2:20" x14ac:dyDescent="0.15">
      <c r="B45" s="33"/>
      <c r="C45" s="26" t="s">
        <v>200</v>
      </c>
      <c r="D45" s="43" t="s">
        <v>39</v>
      </c>
      <c r="E45" s="18"/>
      <c r="F45" s="41">
        <f t="shared" si="1"/>
        <v>0</v>
      </c>
      <c r="G45" s="41">
        <v>0</v>
      </c>
      <c r="H45" s="41">
        <v>0</v>
      </c>
      <c r="I45" s="41">
        <v>0</v>
      </c>
      <c r="J45" s="41">
        <v>0</v>
      </c>
      <c r="K45" s="41">
        <v>0</v>
      </c>
      <c r="L45" s="41">
        <v>0</v>
      </c>
      <c r="M45" s="41">
        <v>0</v>
      </c>
      <c r="N45" s="41">
        <v>0</v>
      </c>
      <c r="O45" s="41">
        <v>0</v>
      </c>
      <c r="P45" s="41">
        <v>0</v>
      </c>
      <c r="Q45" s="41">
        <v>0</v>
      </c>
      <c r="R45" s="41">
        <v>0</v>
      </c>
      <c r="S45" s="29"/>
    </row>
    <row r="46" spans="2:20" x14ac:dyDescent="0.15">
      <c r="B46" s="33"/>
      <c r="C46" s="26" t="s">
        <v>200</v>
      </c>
      <c r="D46" s="24" t="s">
        <v>51</v>
      </c>
      <c r="E46" s="18" t="s">
        <v>51</v>
      </c>
      <c r="F46" s="41">
        <f t="shared" si="1"/>
        <v>-54546</v>
      </c>
      <c r="G46" s="41">
        <v>-27273</v>
      </c>
      <c r="H46" s="41">
        <v>-27273</v>
      </c>
      <c r="I46" s="41">
        <v>0</v>
      </c>
      <c r="J46" s="41">
        <v>0</v>
      </c>
      <c r="K46" s="41">
        <v>0</v>
      </c>
      <c r="L46" s="41">
        <v>0</v>
      </c>
      <c r="M46" s="41">
        <v>0</v>
      </c>
      <c r="N46" s="41">
        <v>0</v>
      </c>
      <c r="O46" s="41">
        <v>0</v>
      </c>
      <c r="P46" s="41">
        <v>0</v>
      </c>
      <c r="Q46" s="41">
        <v>0</v>
      </c>
      <c r="R46" s="41">
        <v>0</v>
      </c>
      <c r="S46" s="29"/>
    </row>
    <row r="47" spans="2:20" x14ac:dyDescent="0.15">
      <c r="B47" s="33"/>
      <c r="C47" s="43" t="s">
        <v>200</v>
      </c>
      <c r="D47" s="43" t="s">
        <v>51</v>
      </c>
      <c r="E47" s="18"/>
      <c r="F47" s="41">
        <f t="shared" si="1"/>
        <v>-1487</v>
      </c>
      <c r="G47" s="41">
        <v>0</v>
      </c>
      <c r="H47" s="41">
        <v>-1487</v>
      </c>
      <c r="I47" s="41">
        <v>0</v>
      </c>
      <c r="J47" s="41">
        <v>0</v>
      </c>
      <c r="K47" s="41">
        <v>0</v>
      </c>
      <c r="L47" s="41">
        <v>0</v>
      </c>
      <c r="M47" s="41">
        <v>0</v>
      </c>
      <c r="N47" s="41">
        <v>0</v>
      </c>
      <c r="O47" s="41">
        <v>0</v>
      </c>
      <c r="P47" s="41">
        <v>0</v>
      </c>
      <c r="Q47" s="41">
        <v>0</v>
      </c>
      <c r="R47" s="41">
        <v>0</v>
      </c>
      <c r="S47" s="29"/>
    </row>
    <row r="48" spans="2:20" x14ac:dyDescent="0.15">
      <c r="B48" s="33"/>
      <c r="C48" s="28" t="s">
        <v>188</v>
      </c>
      <c r="D48" s="25" t="s">
        <v>189</v>
      </c>
      <c r="E48" s="53" t="s">
        <v>192</v>
      </c>
      <c r="F48" s="41">
        <f t="shared" si="1"/>
        <v>0</v>
      </c>
      <c r="G48" s="41">
        <v>0</v>
      </c>
      <c r="H48" s="41">
        <v>0</v>
      </c>
      <c r="I48" s="41">
        <v>0</v>
      </c>
      <c r="J48" s="41">
        <v>0</v>
      </c>
      <c r="K48" s="41">
        <v>0</v>
      </c>
      <c r="L48" s="41">
        <v>0</v>
      </c>
      <c r="M48" s="41">
        <v>0</v>
      </c>
      <c r="N48" s="41">
        <v>0</v>
      </c>
      <c r="O48" s="41">
        <v>0</v>
      </c>
      <c r="P48" s="41">
        <v>0</v>
      </c>
      <c r="Q48" s="41">
        <v>0</v>
      </c>
      <c r="R48" s="41">
        <v>0</v>
      </c>
      <c r="S48" s="31"/>
    </row>
    <row r="49" spans="2:19" x14ac:dyDescent="0.15">
      <c r="B49" s="33"/>
      <c r="C49" s="26" t="s">
        <v>188</v>
      </c>
      <c r="D49" s="26" t="s">
        <v>189</v>
      </c>
      <c r="E49" s="53" t="s">
        <v>52</v>
      </c>
      <c r="F49" s="41">
        <f t="shared" si="1"/>
        <v>0</v>
      </c>
      <c r="G49" s="41">
        <v>0</v>
      </c>
      <c r="H49" s="41">
        <v>0</v>
      </c>
      <c r="I49" s="41">
        <v>0</v>
      </c>
      <c r="J49" s="41">
        <v>0</v>
      </c>
      <c r="K49" s="41">
        <v>0</v>
      </c>
      <c r="L49" s="41">
        <v>0</v>
      </c>
      <c r="M49" s="41">
        <v>0</v>
      </c>
      <c r="N49" s="41">
        <v>0</v>
      </c>
      <c r="O49" s="41">
        <v>0</v>
      </c>
      <c r="P49" s="41">
        <v>0</v>
      </c>
      <c r="Q49" s="41">
        <v>0</v>
      </c>
      <c r="R49" s="41">
        <v>0</v>
      </c>
      <c r="S49" s="29" t="s">
        <v>40</v>
      </c>
    </row>
    <row r="50" spans="2:19" x14ac:dyDescent="0.15">
      <c r="B50" s="33"/>
      <c r="C50" s="26" t="s">
        <v>188</v>
      </c>
      <c r="D50" s="26" t="s">
        <v>189</v>
      </c>
      <c r="E50" s="53" t="s">
        <v>190</v>
      </c>
      <c r="F50" s="41">
        <f t="shared" si="1"/>
        <v>0</v>
      </c>
      <c r="G50" s="42">
        <v>0</v>
      </c>
      <c r="H50" s="42">
        <v>0</v>
      </c>
      <c r="I50" s="42">
        <v>0</v>
      </c>
      <c r="J50" s="42">
        <v>0</v>
      </c>
      <c r="K50" s="42">
        <v>0</v>
      </c>
      <c r="L50" s="42">
        <v>0</v>
      </c>
      <c r="M50" s="42">
        <v>0</v>
      </c>
      <c r="N50" s="42">
        <v>0</v>
      </c>
      <c r="O50" s="42">
        <v>0</v>
      </c>
      <c r="P50" s="42">
        <v>0</v>
      </c>
      <c r="Q50" s="42">
        <v>0</v>
      </c>
      <c r="R50" s="42">
        <v>0</v>
      </c>
      <c r="S50" s="29" t="s">
        <v>42</v>
      </c>
    </row>
    <row r="51" spans="2:19" x14ac:dyDescent="0.15">
      <c r="B51" s="33"/>
      <c r="C51" s="26" t="s">
        <v>188</v>
      </c>
      <c r="D51" s="26" t="s">
        <v>189</v>
      </c>
      <c r="E51" s="53" t="s">
        <v>124</v>
      </c>
      <c r="F51" s="41">
        <f t="shared" si="1"/>
        <v>0</v>
      </c>
      <c r="G51" s="42">
        <v>0</v>
      </c>
      <c r="H51" s="42">
        <v>0</v>
      </c>
      <c r="I51" s="42">
        <v>0</v>
      </c>
      <c r="J51" s="42">
        <v>0</v>
      </c>
      <c r="K51" s="42">
        <v>0</v>
      </c>
      <c r="L51" s="42">
        <v>0</v>
      </c>
      <c r="M51" s="42">
        <v>0</v>
      </c>
      <c r="N51" s="42">
        <v>0</v>
      </c>
      <c r="O51" s="42">
        <v>0</v>
      </c>
      <c r="P51" s="42">
        <v>0</v>
      </c>
      <c r="Q51" s="42">
        <v>0</v>
      </c>
      <c r="R51" s="42">
        <v>0</v>
      </c>
      <c r="S51" s="29" t="s">
        <v>44</v>
      </c>
    </row>
    <row r="52" spans="2:19" x14ac:dyDescent="0.15">
      <c r="B52" s="33"/>
      <c r="C52" s="26" t="s">
        <v>188</v>
      </c>
      <c r="D52" s="26" t="s">
        <v>189</v>
      </c>
      <c r="E52" s="53" t="s">
        <v>127</v>
      </c>
      <c r="F52" s="41">
        <f t="shared" si="1"/>
        <v>0</v>
      </c>
      <c r="G52" s="42">
        <v>0</v>
      </c>
      <c r="H52" s="42">
        <v>0</v>
      </c>
      <c r="I52" s="42">
        <v>0</v>
      </c>
      <c r="J52" s="42">
        <v>0</v>
      </c>
      <c r="K52" s="42">
        <v>0</v>
      </c>
      <c r="L52" s="42">
        <v>0</v>
      </c>
      <c r="M52" s="42">
        <v>0</v>
      </c>
      <c r="N52" s="42">
        <v>0</v>
      </c>
      <c r="O52" s="42">
        <v>0</v>
      </c>
      <c r="P52" s="42">
        <v>0</v>
      </c>
      <c r="Q52" s="42">
        <v>0</v>
      </c>
      <c r="R52" s="42">
        <v>0</v>
      </c>
      <c r="S52" s="31"/>
    </row>
    <row r="53" spans="2:19" x14ac:dyDescent="0.15">
      <c r="B53" s="33"/>
      <c r="C53" s="26" t="s">
        <v>188</v>
      </c>
      <c r="D53" s="26" t="s">
        <v>189</v>
      </c>
      <c r="E53" s="53" t="s">
        <v>132</v>
      </c>
      <c r="F53" s="41">
        <f t="shared" si="1"/>
        <v>0</v>
      </c>
      <c r="G53" s="42">
        <v>0</v>
      </c>
      <c r="H53" s="42">
        <v>0</v>
      </c>
      <c r="I53" s="42">
        <v>0</v>
      </c>
      <c r="J53" s="42">
        <v>0</v>
      </c>
      <c r="K53" s="42">
        <v>0</v>
      </c>
      <c r="L53" s="42">
        <v>0</v>
      </c>
      <c r="M53" s="42">
        <v>0</v>
      </c>
      <c r="N53" s="42">
        <v>0</v>
      </c>
      <c r="O53" s="42">
        <v>0</v>
      </c>
      <c r="P53" s="42">
        <v>0</v>
      </c>
      <c r="Q53" s="42">
        <v>0</v>
      </c>
      <c r="R53" s="42">
        <v>0</v>
      </c>
      <c r="S53" s="29" t="s">
        <v>47</v>
      </c>
    </row>
    <row r="54" spans="2:19" x14ac:dyDescent="0.15">
      <c r="B54" s="33"/>
      <c r="C54" s="26" t="s">
        <v>188</v>
      </c>
      <c r="D54" s="26" t="s">
        <v>189</v>
      </c>
      <c r="E54" s="53" t="s">
        <v>135</v>
      </c>
      <c r="F54" s="41">
        <f t="shared" si="1"/>
        <v>0</v>
      </c>
      <c r="G54" s="42">
        <v>0</v>
      </c>
      <c r="H54" s="42">
        <v>0</v>
      </c>
      <c r="I54" s="42">
        <v>0</v>
      </c>
      <c r="J54" s="42">
        <v>0</v>
      </c>
      <c r="K54" s="42">
        <v>0</v>
      </c>
      <c r="L54" s="42">
        <v>0</v>
      </c>
      <c r="M54" s="42">
        <v>0</v>
      </c>
      <c r="N54" s="42">
        <v>0</v>
      </c>
      <c r="O54" s="42">
        <v>0</v>
      </c>
      <c r="P54" s="42">
        <v>0</v>
      </c>
      <c r="Q54" s="42">
        <v>0</v>
      </c>
      <c r="R54" s="42">
        <v>0</v>
      </c>
      <c r="S54" s="29"/>
    </row>
    <row r="55" spans="2:19" x14ac:dyDescent="0.15">
      <c r="B55" s="33"/>
      <c r="C55" s="26" t="s">
        <v>188</v>
      </c>
      <c r="D55" s="26" t="s">
        <v>189</v>
      </c>
      <c r="E55" s="53" t="s">
        <v>191</v>
      </c>
      <c r="F55" s="41">
        <f t="shared" si="1"/>
        <v>0</v>
      </c>
      <c r="G55" s="42">
        <v>0</v>
      </c>
      <c r="H55" s="42">
        <v>0</v>
      </c>
      <c r="I55" s="42">
        <v>0</v>
      </c>
      <c r="J55" s="42">
        <v>0</v>
      </c>
      <c r="K55" s="42">
        <v>0</v>
      </c>
      <c r="L55" s="42">
        <v>0</v>
      </c>
      <c r="M55" s="42">
        <v>0</v>
      </c>
      <c r="N55" s="42">
        <v>0</v>
      </c>
      <c r="O55" s="42">
        <v>0</v>
      </c>
      <c r="P55" s="42">
        <v>0</v>
      </c>
      <c r="Q55" s="42">
        <v>0</v>
      </c>
      <c r="R55" s="42">
        <v>0</v>
      </c>
      <c r="S55" s="31"/>
    </row>
    <row r="56" spans="2:19" x14ac:dyDescent="0.15">
      <c r="B56" s="33"/>
      <c r="C56" s="26" t="s">
        <v>188</v>
      </c>
      <c r="D56" s="26" t="s">
        <v>189</v>
      </c>
      <c r="E56" s="53" t="s">
        <v>193</v>
      </c>
      <c r="F56" s="41">
        <f t="shared" si="1"/>
        <v>0</v>
      </c>
      <c r="G56" s="42">
        <v>0</v>
      </c>
      <c r="H56" s="42">
        <v>0</v>
      </c>
      <c r="I56" s="42">
        <v>0</v>
      </c>
      <c r="J56" s="42">
        <v>0</v>
      </c>
      <c r="K56" s="42">
        <v>0</v>
      </c>
      <c r="L56" s="42">
        <v>0</v>
      </c>
      <c r="M56" s="42">
        <v>0</v>
      </c>
      <c r="N56" s="42">
        <v>0</v>
      </c>
      <c r="O56" s="42">
        <v>0</v>
      </c>
      <c r="P56" s="42">
        <v>0</v>
      </c>
      <c r="Q56" s="42">
        <v>0</v>
      </c>
      <c r="R56" s="42">
        <v>0</v>
      </c>
      <c r="S56" s="29" t="s">
        <v>50</v>
      </c>
    </row>
    <row r="57" spans="2:19" x14ac:dyDescent="0.15">
      <c r="B57" s="33"/>
      <c r="C57" s="26" t="s">
        <v>188</v>
      </c>
      <c r="D57" s="26" t="s">
        <v>189</v>
      </c>
      <c r="E57" s="53" t="s">
        <v>194</v>
      </c>
      <c r="F57" s="41">
        <f t="shared" si="1"/>
        <v>0</v>
      </c>
      <c r="G57" s="42">
        <v>0</v>
      </c>
      <c r="H57" s="42">
        <v>0</v>
      </c>
      <c r="I57" s="42">
        <v>0</v>
      </c>
      <c r="J57" s="42">
        <v>0</v>
      </c>
      <c r="K57" s="42">
        <v>0</v>
      </c>
      <c r="L57" s="42">
        <v>0</v>
      </c>
      <c r="M57" s="42">
        <v>0</v>
      </c>
      <c r="N57" s="42">
        <v>0</v>
      </c>
      <c r="O57" s="42">
        <v>0</v>
      </c>
      <c r="P57" s="42">
        <v>0</v>
      </c>
      <c r="Q57" s="42">
        <v>0</v>
      </c>
      <c r="R57" s="42">
        <v>0</v>
      </c>
      <c r="S57" s="31"/>
    </row>
    <row r="58" spans="2:19" x14ac:dyDescent="0.15">
      <c r="B58" s="33"/>
      <c r="C58" s="26" t="s">
        <v>188</v>
      </c>
      <c r="D58" s="26" t="s">
        <v>189</v>
      </c>
      <c r="E58" s="53" t="s">
        <v>198</v>
      </c>
      <c r="F58" s="41">
        <f t="shared" si="1"/>
        <v>0</v>
      </c>
      <c r="G58" s="42">
        <v>0</v>
      </c>
      <c r="H58" s="42">
        <v>0</v>
      </c>
      <c r="I58" s="42">
        <v>0</v>
      </c>
      <c r="J58" s="42">
        <v>0</v>
      </c>
      <c r="K58" s="42">
        <v>0</v>
      </c>
      <c r="L58" s="42">
        <v>0</v>
      </c>
      <c r="M58" s="42">
        <v>0</v>
      </c>
      <c r="N58" s="42">
        <v>0</v>
      </c>
      <c r="O58" s="42">
        <v>0</v>
      </c>
      <c r="P58" s="42">
        <v>0</v>
      </c>
      <c r="Q58" s="42">
        <v>0</v>
      </c>
      <c r="R58" s="42">
        <v>0</v>
      </c>
      <c r="S58" s="31"/>
    </row>
    <row r="59" spans="2:19" x14ac:dyDescent="0.15">
      <c r="B59" s="33"/>
      <c r="C59" s="26" t="s">
        <v>188</v>
      </c>
      <c r="D59" s="26" t="s">
        <v>189</v>
      </c>
      <c r="E59" s="53" t="s">
        <v>51</v>
      </c>
      <c r="F59" s="41">
        <f t="shared" si="1"/>
        <v>0</v>
      </c>
      <c r="G59" s="42">
        <v>0</v>
      </c>
      <c r="H59" s="42">
        <v>0</v>
      </c>
      <c r="I59" s="42">
        <v>0</v>
      </c>
      <c r="J59" s="42">
        <v>0</v>
      </c>
      <c r="K59" s="42">
        <v>0</v>
      </c>
      <c r="L59" s="42">
        <v>0</v>
      </c>
      <c r="M59" s="42">
        <v>0</v>
      </c>
      <c r="N59" s="42">
        <v>0</v>
      </c>
      <c r="O59" s="42">
        <v>0</v>
      </c>
      <c r="P59" s="42">
        <v>0</v>
      </c>
      <c r="Q59" s="42">
        <v>0</v>
      </c>
      <c r="R59" s="42">
        <v>0</v>
      </c>
      <c r="S59" s="31"/>
    </row>
    <row r="60" spans="2:19" x14ac:dyDescent="0.15">
      <c r="B60" s="33"/>
      <c r="C60" s="26" t="s">
        <v>188</v>
      </c>
      <c r="D60" s="26" t="s">
        <v>189</v>
      </c>
      <c r="E60" s="53"/>
      <c r="F60" s="41">
        <f t="shared" si="1"/>
        <v>0</v>
      </c>
      <c r="G60" s="42">
        <v>0</v>
      </c>
      <c r="H60" s="42">
        <v>0</v>
      </c>
      <c r="I60" s="42">
        <v>0</v>
      </c>
      <c r="J60" s="42">
        <v>0</v>
      </c>
      <c r="K60" s="42">
        <v>0</v>
      </c>
      <c r="L60" s="42">
        <v>0</v>
      </c>
      <c r="M60" s="42">
        <v>0</v>
      </c>
      <c r="N60" s="42">
        <v>0</v>
      </c>
      <c r="O60" s="42">
        <v>0</v>
      </c>
      <c r="P60" s="42">
        <v>0</v>
      </c>
      <c r="Q60" s="42">
        <v>0</v>
      </c>
      <c r="R60" s="42">
        <v>0</v>
      </c>
      <c r="S60" s="31"/>
    </row>
    <row r="61" spans="2:19" x14ac:dyDescent="0.15">
      <c r="B61" s="33"/>
      <c r="C61" s="26" t="s">
        <v>188</v>
      </c>
      <c r="D61" s="24" t="s">
        <v>275</v>
      </c>
      <c r="E61" s="125" t="s">
        <v>55</v>
      </c>
      <c r="F61" s="41">
        <f t="shared" si="1"/>
        <v>0</v>
      </c>
      <c r="G61" s="42">
        <v>0</v>
      </c>
      <c r="H61" s="42">
        <v>0</v>
      </c>
      <c r="I61" s="42">
        <v>0</v>
      </c>
      <c r="J61" s="42">
        <v>0</v>
      </c>
      <c r="K61" s="42">
        <v>0</v>
      </c>
      <c r="L61" s="42">
        <v>0</v>
      </c>
      <c r="M61" s="42">
        <v>0</v>
      </c>
      <c r="N61" s="42">
        <v>0</v>
      </c>
      <c r="O61" s="42">
        <v>0</v>
      </c>
      <c r="P61" s="42">
        <v>0</v>
      </c>
      <c r="Q61" s="42">
        <v>0</v>
      </c>
      <c r="R61" s="42">
        <v>0</v>
      </c>
      <c r="S61" s="31"/>
    </row>
    <row r="62" spans="2:19" x14ac:dyDescent="0.15">
      <c r="B62" s="33"/>
      <c r="C62" s="26" t="s">
        <v>188</v>
      </c>
      <c r="D62" s="26" t="s">
        <v>277</v>
      </c>
      <c r="E62" s="126" t="s">
        <v>60</v>
      </c>
      <c r="F62" s="41">
        <f t="shared" si="1"/>
        <v>0</v>
      </c>
      <c r="G62" s="42">
        <v>0</v>
      </c>
      <c r="H62" s="42">
        <v>0</v>
      </c>
      <c r="I62" s="42">
        <v>0</v>
      </c>
      <c r="J62" s="42">
        <v>0</v>
      </c>
      <c r="K62" s="42">
        <v>0</v>
      </c>
      <c r="L62" s="42">
        <v>0</v>
      </c>
      <c r="M62" s="42">
        <v>0</v>
      </c>
      <c r="N62" s="42">
        <v>0</v>
      </c>
      <c r="O62" s="42">
        <v>0</v>
      </c>
      <c r="P62" s="42">
        <v>0</v>
      </c>
      <c r="Q62" s="42">
        <v>0</v>
      </c>
      <c r="R62" s="42">
        <v>0</v>
      </c>
      <c r="S62" s="31"/>
    </row>
    <row r="63" spans="2:19" x14ac:dyDescent="0.15">
      <c r="B63" s="33"/>
      <c r="C63" s="26" t="s">
        <v>188</v>
      </c>
      <c r="D63" s="26" t="s">
        <v>277</v>
      </c>
      <c r="E63" s="126" t="s">
        <v>25</v>
      </c>
      <c r="F63" s="41">
        <f t="shared" si="1"/>
        <v>0</v>
      </c>
      <c r="G63" s="42">
        <v>0</v>
      </c>
      <c r="H63" s="42">
        <v>0</v>
      </c>
      <c r="I63" s="42">
        <v>0</v>
      </c>
      <c r="J63" s="42">
        <v>0</v>
      </c>
      <c r="K63" s="42">
        <v>0</v>
      </c>
      <c r="L63" s="42">
        <v>0</v>
      </c>
      <c r="M63" s="42">
        <v>0</v>
      </c>
      <c r="N63" s="42">
        <v>0</v>
      </c>
      <c r="O63" s="42">
        <v>0</v>
      </c>
      <c r="P63" s="42">
        <v>0</v>
      </c>
      <c r="Q63" s="42">
        <v>0</v>
      </c>
      <c r="R63" s="42">
        <v>0</v>
      </c>
      <c r="S63" s="31"/>
    </row>
    <row r="64" spans="2:19" x14ac:dyDescent="0.15">
      <c r="B64" s="33"/>
      <c r="C64" s="26" t="s">
        <v>188</v>
      </c>
      <c r="D64" s="26" t="s">
        <v>277</v>
      </c>
      <c r="E64" s="126" t="s">
        <v>24</v>
      </c>
      <c r="F64" s="41">
        <f t="shared" si="1"/>
        <v>0</v>
      </c>
      <c r="G64" s="42">
        <v>0</v>
      </c>
      <c r="H64" s="42">
        <v>0</v>
      </c>
      <c r="I64" s="42">
        <v>0</v>
      </c>
      <c r="J64" s="42">
        <v>0</v>
      </c>
      <c r="K64" s="42">
        <v>0</v>
      </c>
      <c r="L64" s="42">
        <v>0</v>
      </c>
      <c r="M64" s="42">
        <v>0</v>
      </c>
      <c r="N64" s="42">
        <v>0</v>
      </c>
      <c r="O64" s="42">
        <v>0</v>
      </c>
      <c r="P64" s="42">
        <v>0</v>
      </c>
      <c r="Q64" s="42">
        <v>0</v>
      </c>
      <c r="R64" s="42">
        <v>0</v>
      </c>
      <c r="S64" s="31"/>
    </row>
    <row r="65" spans="2:19" x14ac:dyDescent="0.15">
      <c r="B65" s="33"/>
      <c r="C65" s="26" t="s">
        <v>188</v>
      </c>
      <c r="D65" s="26" t="s">
        <v>277</v>
      </c>
      <c r="E65" s="126" t="s">
        <v>28</v>
      </c>
      <c r="F65" s="41">
        <f t="shared" si="1"/>
        <v>0</v>
      </c>
      <c r="G65" s="42">
        <v>0</v>
      </c>
      <c r="H65" s="42">
        <v>0</v>
      </c>
      <c r="I65" s="42">
        <v>0</v>
      </c>
      <c r="J65" s="42">
        <v>0</v>
      </c>
      <c r="K65" s="42">
        <v>0</v>
      </c>
      <c r="L65" s="42">
        <v>0</v>
      </c>
      <c r="M65" s="42">
        <v>0</v>
      </c>
      <c r="N65" s="42">
        <v>0</v>
      </c>
      <c r="O65" s="42">
        <v>0</v>
      </c>
      <c r="P65" s="42">
        <v>0</v>
      </c>
      <c r="Q65" s="42">
        <v>0</v>
      </c>
      <c r="R65" s="42">
        <v>0</v>
      </c>
      <c r="S65" s="31"/>
    </row>
    <row r="66" spans="2:19" x14ac:dyDescent="0.15">
      <c r="B66" s="33"/>
      <c r="C66" s="26" t="s">
        <v>188</v>
      </c>
      <c r="D66" s="26" t="s">
        <v>277</v>
      </c>
      <c r="E66" s="126"/>
      <c r="F66" s="41">
        <f t="shared" si="1"/>
        <v>0</v>
      </c>
      <c r="G66" s="42">
        <v>0</v>
      </c>
      <c r="H66" s="42">
        <v>0</v>
      </c>
      <c r="I66" s="42">
        <v>0</v>
      </c>
      <c r="J66" s="42">
        <v>0</v>
      </c>
      <c r="K66" s="42">
        <v>0</v>
      </c>
      <c r="L66" s="42">
        <v>0</v>
      </c>
      <c r="M66" s="42">
        <v>0</v>
      </c>
      <c r="N66" s="42">
        <v>0</v>
      </c>
      <c r="O66" s="42">
        <v>0</v>
      </c>
      <c r="P66" s="42">
        <v>0</v>
      </c>
      <c r="Q66" s="42">
        <v>0</v>
      </c>
      <c r="R66" s="42">
        <v>0</v>
      </c>
      <c r="S66" s="31"/>
    </row>
    <row r="67" spans="2:19" x14ac:dyDescent="0.15">
      <c r="B67" s="33"/>
      <c r="C67" s="26" t="s">
        <v>188</v>
      </c>
      <c r="D67" s="24" t="s">
        <v>276</v>
      </c>
      <c r="E67" s="126" t="s">
        <v>49</v>
      </c>
      <c r="F67" s="41">
        <f t="shared" si="1"/>
        <v>0</v>
      </c>
      <c r="G67" s="42">
        <v>0</v>
      </c>
      <c r="H67" s="42">
        <v>0</v>
      </c>
      <c r="I67" s="42">
        <v>0</v>
      </c>
      <c r="J67" s="42">
        <v>0</v>
      </c>
      <c r="K67" s="42">
        <v>0</v>
      </c>
      <c r="L67" s="42">
        <v>0</v>
      </c>
      <c r="M67" s="42">
        <v>0</v>
      </c>
      <c r="N67" s="42">
        <v>0</v>
      </c>
      <c r="O67" s="42">
        <v>0</v>
      </c>
      <c r="P67" s="42">
        <v>0</v>
      </c>
      <c r="Q67" s="42">
        <v>0</v>
      </c>
      <c r="R67" s="42">
        <v>0</v>
      </c>
      <c r="S67" s="31"/>
    </row>
    <row r="68" spans="2:19" x14ac:dyDescent="0.15">
      <c r="B68" s="33"/>
      <c r="C68" s="26" t="s">
        <v>188</v>
      </c>
      <c r="D68" s="26" t="s">
        <v>276</v>
      </c>
      <c r="E68" s="126" t="s">
        <v>28</v>
      </c>
      <c r="F68" s="41">
        <f t="shared" ref="F68:F69" si="2">SUM(G68:R68)</f>
        <v>0</v>
      </c>
      <c r="G68" s="42">
        <v>0</v>
      </c>
      <c r="H68" s="42">
        <v>0</v>
      </c>
      <c r="I68" s="42">
        <v>0</v>
      </c>
      <c r="J68" s="42">
        <v>0</v>
      </c>
      <c r="K68" s="42">
        <v>0</v>
      </c>
      <c r="L68" s="42">
        <v>0</v>
      </c>
      <c r="M68" s="42">
        <v>0</v>
      </c>
      <c r="N68" s="42">
        <v>0</v>
      </c>
      <c r="O68" s="42">
        <v>0</v>
      </c>
      <c r="P68" s="42">
        <v>0</v>
      </c>
      <c r="Q68" s="42">
        <v>0</v>
      </c>
      <c r="R68" s="42">
        <v>0</v>
      </c>
      <c r="S68" s="31"/>
    </row>
    <row r="69" spans="2:19" x14ac:dyDescent="0.15">
      <c r="B69" s="44"/>
      <c r="C69" s="43" t="s">
        <v>188</v>
      </c>
      <c r="D69" s="43" t="s">
        <v>276</v>
      </c>
      <c r="E69" s="126"/>
      <c r="F69" s="41">
        <f t="shared" si="2"/>
        <v>0</v>
      </c>
      <c r="G69" s="42">
        <v>0</v>
      </c>
      <c r="H69" s="42">
        <v>0</v>
      </c>
      <c r="I69" s="42">
        <v>0</v>
      </c>
      <c r="J69" s="42">
        <v>0</v>
      </c>
      <c r="K69" s="42">
        <v>0</v>
      </c>
      <c r="L69" s="42">
        <v>0</v>
      </c>
      <c r="M69" s="42">
        <v>0</v>
      </c>
      <c r="N69" s="42">
        <v>0</v>
      </c>
      <c r="O69" s="42">
        <v>0</v>
      </c>
      <c r="P69" s="42">
        <v>0</v>
      </c>
      <c r="Q69" s="42">
        <v>0</v>
      </c>
      <c r="R69" s="42">
        <v>0</v>
      </c>
      <c r="S69" s="31"/>
    </row>
  </sheetData>
  <phoneticPr fontId="6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消費税データ読み取り">
                <anchor moveWithCells="1" sizeWithCells="1">
                  <from>
                    <xdr:col>2</xdr:col>
                    <xdr:colOff>38100</xdr:colOff>
                    <xdr:row>0</xdr:row>
                    <xdr:rowOff>142875</xdr:rowOff>
                  </from>
                  <to>
                    <xdr:col>2</xdr:col>
                    <xdr:colOff>1143000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データクリア">
                <anchor moveWithCells="1" sizeWithCells="1">
                  <from>
                    <xdr:col>3</xdr:col>
                    <xdr:colOff>85725</xdr:colOff>
                    <xdr:row>0</xdr:row>
                    <xdr:rowOff>142875</xdr:rowOff>
                  </from>
                  <to>
                    <xdr:col>3</xdr:col>
                    <xdr:colOff>1152525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0397D-FD5F-4068-9371-1A9138B38173}">
  <sheetPr codeName="Sheet27"/>
  <dimension ref="B1:T98"/>
  <sheetViews>
    <sheetView showGridLines="0" zoomScaleNormal="100" workbookViewId="0">
      <pane xSplit="6" ySplit="2" topLeftCell="G3" activePane="bottomRight" state="frozen"/>
      <selection activeCell="D52" sqref="D52"/>
      <selection pane="topRight" activeCell="D52" sqref="D52"/>
      <selection pane="bottomLeft" activeCell="D52" sqref="D52"/>
      <selection pane="bottomRight" activeCell="F86" sqref="F86"/>
    </sheetView>
  </sheetViews>
  <sheetFormatPr defaultColWidth="4.125" defaultRowHeight="13.5" x14ac:dyDescent="0.15"/>
  <cols>
    <col min="1" max="1" width="2.125" style="17" customWidth="1"/>
    <col min="2" max="2" width="6.625" style="17" customWidth="1"/>
    <col min="3" max="3" width="19.625" style="17" bestFit="1" customWidth="1"/>
    <col min="4" max="4" width="17.25" style="17" bestFit="1" customWidth="1"/>
    <col min="5" max="5" width="26.625" style="32" bestFit="1" customWidth="1"/>
    <col min="6" max="6" width="13.75" style="32" bestFit="1" customWidth="1"/>
    <col min="7" max="7" width="14.125" style="32" bestFit="1" customWidth="1"/>
    <col min="8" max="10" width="11.5" style="32" bestFit="1" customWidth="1"/>
    <col min="11" max="11" width="12.625" style="32" bestFit="1" customWidth="1"/>
    <col min="12" max="17" width="11.5" style="32" bestFit="1" customWidth="1"/>
    <col min="18" max="18" width="12.625" style="32" bestFit="1" customWidth="1"/>
    <col min="19" max="19" width="57.375" style="17" customWidth="1"/>
    <col min="20" max="16384" width="4.125" style="17"/>
  </cols>
  <sheetData>
    <row r="1" spans="2:19" ht="44.25" customHeight="1" x14ac:dyDescent="0.15">
      <c r="E1" s="97" t="s">
        <v>118</v>
      </c>
      <c r="F1" s="86">
        <f>SUM(G1:R1)</f>
        <v>-1082268</v>
      </c>
      <c r="G1" s="95">
        <f t="shared" ref="G1:R1" si="0">SUM(G3:G50)</f>
        <v>-1082268</v>
      </c>
      <c r="H1" s="95">
        <f t="shared" si="0"/>
        <v>0</v>
      </c>
      <c r="I1" s="95">
        <f t="shared" si="0"/>
        <v>0</v>
      </c>
      <c r="J1" s="95">
        <f t="shared" si="0"/>
        <v>0</v>
      </c>
      <c r="K1" s="95">
        <f t="shared" si="0"/>
        <v>0</v>
      </c>
      <c r="L1" s="95">
        <f t="shared" si="0"/>
        <v>0</v>
      </c>
      <c r="M1" s="95">
        <f t="shared" si="0"/>
        <v>0</v>
      </c>
      <c r="N1" s="95">
        <f t="shared" si="0"/>
        <v>0</v>
      </c>
      <c r="O1" s="95">
        <f t="shared" si="0"/>
        <v>0</v>
      </c>
      <c r="P1" s="95">
        <f t="shared" si="0"/>
        <v>0</v>
      </c>
      <c r="Q1" s="95">
        <f t="shared" si="0"/>
        <v>0</v>
      </c>
      <c r="R1" s="95">
        <f t="shared" si="0"/>
        <v>0</v>
      </c>
    </row>
    <row r="2" spans="2:19" ht="35.25" customHeight="1" x14ac:dyDescent="0.15">
      <c r="B2" s="36" t="s">
        <v>78</v>
      </c>
      <c r="C2" s="36" t="s">
        <v>12</v>
      </c>
      <c r="D2" s="36" t="s">
        <v>13</v>
      </c>
      <c r="E2" s="83" t="s">
        <v>14</v>
      </c>
      <c r="F2" s="96" t="s">
        <v>80</v>
      </c>
      <c r="G2" s="39">
        <v>202007</v>
      </c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40" t="s">
        <v>15</v>
      </c>
    </row>
    <row r="3" spans="2:19" x14ac:dyDescent="0.15">
      <c r="B3" s="34" t="s">
        <v>79</v>
      </c>
      <c r="C3" s="24" t="s">
        <v>200</v>
      </c>
      <c r="D3" s="28" t="s">
        <v>155</v>
      </c>
      <c r="E3" s="16" t="s">
        <v>20</v>
      </c>
      <c r="F3" s="106">
        <f>SUM(G3:R3)</f>
        <v>-427653</v>
      </c>
      <c r="G3" s="107">
        <v>-427653</v>
      </c>
      <c r="H3" s="107"/>
      <c r="I3" s="107"/>
      <c r="J3" s="107"/>
      <c r="K3" s="107"/>
      <c r="L3" s="107"/>
      <c r="M3" s="108"/>
      <c r="N3" s="108"/>
      <c r="O3" s="108"/>
      <c r="P3" s="108"/>
      <c r="Q3" s="108"/>
      <c r="R3" s="108"/>
      <c r="S3" s="109"/>
    </row>
    <row r="4" spans="2:19" x14ac:dyDescent="0.15">
      <c r="B4" s="33"/>
      <c r="C4" s="26" t="s">
        <v>200</v>
      </c>
      <c r="D4" s="26" t="s">
        <v>154</v>
      </c>
      <c r="E4" s="18" t="s">
        <v>21</v>
      </c>
      <c r="F4" s="106">
        <f t="shared" ref="F4:F48" si="1">SUM(G4:R4)</f>
        <v>-71143</v>
      </c>
      <c r="G4" s="42">
        <v>-71143</v>
      </c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31"/>
    </row>
    <row r="5" spans="2:19" x14ac:dyDescent="0.15">
      <c r="B5" s="33"/>
      <c r="C5" s="26" t="s">
        <v>200</v>
      </c>
      <c r="D5" s="26" t="s">
        <v>154</v>
      </c>
      <c r="E5" s="16" t="s">
        <v>28</v>
      </c>
      <c r="F5" s="106">
        <f t="shared" si="1"/>
        <v>0</v>
      </c>
      <c r="G5" s="41">
        <v>0</v>
      </c>
      <c r="H5" s="41"/>
      <c r="I5" s="41"/>
      <c r="J5" s="41"/>
      <c r="K5" s="41"/>
      <c r="L5" s="41"/>
      <c r="M5" s="42"/>
      <c r="N5" s="42"/>
      <c r="O5" s="42"/>
      <c r="P5" s="42"/>
      <c r="Q5" s="42"/>
      <c r="R5" s="42"/>
      <c r="S5" s="29" t="s">
        <v>59</v>
      </c>
    </row>
    <row r="6" spans="2:19" x14ac:dyDescent="0.15">
      <c r="B6" s="33"/>
      <c r="C6" s="26" t="s">
        <v>200</v>
      </c>
      <c r="D6" s="43" t="s">
        <v>154</v>
      </c>
      <c r="E6" s="27"/>
      <c r="F6" s="106">
        <f t="shared" si="1"/>
        <v>0</v>
      </c>
      <c r="G6" s="41">
        <v>0</v>
      </c>
      <c r="H6" s="41"/>
      <c r="I6" s="41"/>
      <c r="J6" s="41"/>
      <c r="K6" s="41"/>
      <c r="L6" s="41"/>
      <c r="M6" s="42"/>
      <c r="N6" s="42"/>
      <c r="O6" s="42"/>
      <c r="P6" s="42"/>
      <c r="Q6" s="42"/>
      <c r="R6" s="42"/>
      <c r="S6" s="31"/>
    </row>
    <row r="7" spans="2:19" x14ac:dyDescent="0.15">
      <c r="B7" s="33"/>
      <c r="C7" s="26" t="s">
        <v>200</v>
      </c>
      <c r="D7" s="24" t="s">
        <v>19</v>
      </c>
      <c r="E7" s="16" t="s">
        <v>32</v>
      </c>
      <c r="F7" s="106">
        <f t="shared" si="1"/>
        <v>-24948</v>
      </c>
      <c r="G7" s="41">
        <v>-24948</v>
      </c>
      <c r="H7" s="41"/>
      <c r="I7" s="41"/>
      <c r="J7" s="41"/>
      <c r="K7" s="41"/>
      <c r="L7" s="41"/>
      <c r="M7" s="42"/>
      <c r="N7" s="42"/>
      <c r="O7" s="42"/>
      <c r="P7" s="42"/>
      <c r="Q7" s="42"/>
      <c r="R7" s="42"/>
      <c r="S7" s="31"/>
    </row>
    <row r="8" spans="2:19" x14ac:dyDescent="0.15">
      <c r="B8" s="33"/>
      <c r="C8" s="26" t="s">
        <v>200</v>
      </c>
      <c r="D8" s="26" t="s">
        <v>19</v>
      </c>
      <c r="E8" s="16" t="s">
        <v>33</v>
      </c>
      <c r="F8" s="106">
        <f t="shared" si="1"/>
        <v>-39916</v>
      </c>
      <c r="G8" s="41">
        <v>-39916</v>
      </c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31"/>
    </row>
    <row r="9" spans="2:19" x14ac:dyDescent="0.15">
      <c r="B9" s="33"/>
      <c r="C9" s="26" t="s">
        <v>200</v>
      </c>
      <c r="D9" s="26" t="s">
        <v>19</v>
      </c>
      <c r="E9" s="16" t="s">
        <v>34</v>
      </c>
      <c r="F9" s="106">
        <f t="shared" si="1"/>
        <v>-6977</v>
      </c>
      <c r="G9" s="41">
        <v>-6977</v>
      </c>
      <c r="H9" s="41"/>
      <c r="I9" s="41"/>
      <c r="J9" s="41"/>
      <c r="K9" s="41"/>
      <c r="L9" s="41"/>
      <c r="M9" s="42"/>
      <c r="N9" s="42"/>
      <c r="O9" s="42"/>
      <c r="P9" s="42"/>
      <c r="Q9" s="42"/>
      <c r="R9" s="42"/>
      <c r="S9" s="29" t="s">
        <v>35</v>
      </c>
    </row>
    <row r="10" spans="2:19" x14ac:dyDescent="0.15">
      <c r="B10" s="33"/>
      <c r="C10" s="26" t="s">
        <v>200</v>
      </c>
      <c r="D10" s="26" t="s">
        <v>19</v>
      </c>
      <c r="E10" s="16" t="s">
        <v>21</v>
      </c>
      <c r="F10" s="106">
        <f t="shared" si="1"/>
        <v>0</v>
      </c>
      <c r="G10" s="41">
        <v>0</v>
      </c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29" t="s">
        <v>36</v>
      </c>
    </row>
    <row r="11" spans="2:19" x14ac:dyDescent="0.15">
      <c r="B11" s="33"/>
      <c r="C11" s="26" t="s">
        <v>200</v>
      </c>
      <c r="D11" s="26" t="s">
        <v>19</v>
      </c>
      <c r="E11" s="16" t="s">
        <v>16</v>
      </c>
      <c r="F11" s="106">
        <f t="shared" si="1"/>
        <v>-17080</v>
      </c>
      <c r="G11" s="41">
        <v>-17080</v>
      </c>
      <c r="H11" s="41"/>
      <c r="I11" s="41"/>
      <c r="J11" s="41"/>
      <c r="K11" s="41"/>
      <c r="L11" s="41"/>
      <c r="M11" s="42"/>
      <c r="N11" s="42"/>
      <c r="O11" s="42"/>
      <c r="P11" s="42"/>
      <c r="Q11" s="42"/>
      <c r="R11" s="42"/>
      <c r="S11" s="29" t="s">
        <v>38</v>
      </c>
    </row>
    <row r="12" spans="2:19" x14ac:dyDescent="0.15">
      <c r="B12" s="33"/>
      <c r="C12" s="26" t="s">
        <v>200</v>
      </c>
      <c r="D12" s="26" t="s">
        <v>19</v>
      </c>
      <c r="E12" s="18" t="s">
        <v>22</v>
      </c>
      <c r="F12" s="106">
        <f t="shared" si="1"/>
        <v>-8964</v>
      </c>
      <c r="G12" s="42">
        <v>-8964</v>
      </c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31"/>
    </row>
    <row r="13" spans="2:19" x14ac:dyDescent="0.15">
      <c r="B13" s="33"/>
      <c r="C13" s="26" t="s">
        <v>200</v>
      </c>
      <c r="D13" s="26" t="s">
        <v>19</v>
      </c>
      <c r="E13" s="27" t="s">
        <v>8</v>
      </c>
      <c r="F13" s="106">
        <f t="shared" si="1"/>
        <v>0</v>
      </c>
      <c r="G13" s="41">
        <v>0</v>
      </c>
      <c r="H13" s="41"/>
      <c r="I13" s="41"/>
      <c r="J13" s="41"/>
      <c r="K13" s="41"/>
      <c r="L13" s="41"/>
      <c r="M13" s="42"/>
      <c r="N13" s="42"/>
      <c r="O13" s="42"/>
      <c r="P13" s="42"/>
      <c r="Q13" s="42"/>
      <c r="R13" s="42"/>
      <c r="S13" s="31"/>
    </row>
    <row r="14" spans="2:19" x14ac:dyDescent="0.15">
      <c r="B14" s="33"/>
      <c r="C14" s="26" t="s">
        <v>200</v>
      </c>
      <c r="D14" s="26" t="s">
        <v>19</v>
      </c>
      <c r="E14" s="16" t="s">
        <v>37</v>
      </c>
      <c r="F14" s="106">
        <f t="shared" si="1"/>
        <v>0</v>
      </c>
      <c r="G14" s="41">
        <v>0</v>
      </c>
      <c r="H14" s="41"/>
      <c r="I14" s="41"/>
      <c r="J14" s="41"/>
      <c r="K14" s="41"/>
      <c r="L14" s="41"/>
      <c r="M14" s="42"/>
      <c r="N14" s="42"/>
      <c r="O14" s="42"/>
      <c r="P14" s="42"/>
      <c r="Q14" s="42"/>
      <c r="R14" s="42"/>
      <c r="S14" s="29" t="s">
        <v>56</v>
      </c>
    </row>
    <row r="15" spans="2:19" x14ac:dyDescent="0.15">
      <c r="B15" s="33"/>
      <c r="C15" s="26" t="s">
        <v>200</v>
      </c>
      <c r="D15" s="26" t="s">
        <v>19</v>
      </c>
      <c r="E15" s="16" t="s">
        <v>27</v>
      </c>
      <c r="F15" s="106">
        <f t="shared" si="1"/>
        <v>0</v>
      </c>
      <c r="G15" s="41">
        <v>0</v>
      </c>
      <c r="H15" s="41"/>
      <c r="I15" s="41"/>
      <c r="J15" s="41"/>
      <c r="K15" s="41"/>
      <c r="L15" s="41"/>
      <c r="M15" s="42"/>
      <c r="N15" s="42"/>
      <c r="O15" s="42"/>
      <c r="P15" s="42"/>
      <c r="Q15" s="42"/>
      <c r="R15" s="42"/>
      <c r="S15" s="29" t="s">
        <v>61</v>
      </c>
    </row>
    <row r="16" spans="2:19" x14ac:dyDescent="0.15">
      <c r="B16" s="33"/>
      <c r="C16" s="26" t="s">
        <v>200</v>
      </c>
      <c r="D16" s="26" t="s">
        <v>19</v>
      </c>
      <c r="E16" s="16" t="s">
        <v>76</v>
      </c>
      <c r="F16" s="106">
        <f t="shared" si="1"/>
        <v>0</v>
      </c>
      <c r="G16" s="41">
        <v>0</v>
      </c>
      <c r="H16" s="41"/>
      <c r="I16" s="41"/>
      <c r="J16" s="41"/>
      <c r="K16" s="41"/>
      <c r="L16" s="41"/>
      <c r="M16" s="42"/>
      <c r="N16" s="42"/>
      <c r="O16" s="42"/>
      <c r="P16" s="42"/>
      <c r="Q16" s="42"/>
      <c r="R16" s="42"/>
      <c r="S16" s="29" t="s">
        <v>62</v>
      </c>
    </row>
    <row r="17" spans="2:20" x14ac:dyDescent="0.15">
      <c r="B17" s="33"/>
      <c r="C17" s="26" t="s">
        <v>200</v>
      </c>
      <c r="D17" s="26" t="s">
        <v>19</v>
      </c>
      <c r="E17" s="16" t="s">
        <v>9</v>
      </c>
      <c r="F17" s="106">
        <f t="shared" si="1"/>
        <v>0</v>
      </c>
      <c r="G17" s="41">
        <v>0</v>
      </c>
      <c r="H17" s="41"/>
      <c r="I17" s="41"/>
      <c r="J17" s="41"/>
      <c r="K17" s="41"/>
      <c r="L17" s="41"/>
      <c r="M17" s="42"/>
      <c r="N17" s="42"/>
      <c r="O17" s="42"/>
      <c r="P17" s="42"/>
      <c r="Q17" s="42"/>
      <c r="R17" s="42"/>
      <c r="S17" s="31"/>
    </row>
    <row r="18" spans="2:20" x14ac:dyDescent="0.15">
      <c r="B18" s="33"/>
      <c r="C18" s="26" t="s">
        <v>200</v>
      </c>
      <c r="D18" s="26" t="s">
        <v>19</v>
      </c>
      <c r="E18" s="18" t="s">
        <v>51</v>
      </c>
      <c r="F18" s="106">
        <f t="shared" si="1"/>
        <v>0</v>
      </c>
      <c r="G18" s="41">
        <v>0</v>
      </c>
      <c r="H18" s="41"/>
      <c r="I18" s="41"/>
      <c r="J18" s="41"/>
      <c r="K18" s="41"/>
      <c r="L18" s="41"/>
      <c r="M18" s="42"/>
      <c r="N18" s="42"/>
      <c r="O18" s="42"/>
      <c r="P18" s="42"/>
      <c r="Q18" s="42"/>
      <c r="R18" s="42"/>
      <c r="S18" s="31"/>
    </row>
    <row r="19" spans="2:20" x14ac:dyDescent="0.15">
      <c r="B19" s="33"/>
      <c r="C19" s="26" t="s">
        <v>200</v>
      </c>
      <c r="D19" s="43" t="s">
        <v>19</v>
      </c>
      <c r="E19" s="16"/>
      <c r="F19" s="106">
        <f t="shared" si="1"/>
        <v>-300</v>
      </c>
      <c r="G19" s="41">
        <v>-300</v>
      </c>
      <c r="H19" s="41"/>
      <c r="I19" s="41"/>
      <c r="J19" s="41"/>
      <c r="K19" s="41"/>
      <c r="L19" s="41"/>
      <c r="M19" s="42"/>
      <c r="N19" s="42"/>
      <c r="O19" s="42"/>
      <c r="P19" s="42"/>
      <c r="Q19" s="42"/>
      <c r="R19" s="42"/>
      <c r="S19" s="31"/>
    </row>
    <row r="20" spans="2:20" x14ac:dyDescent="0.15">
      <c r="B20" s="33"/>
      <c r="C20" s="26" t="s">
        <v>200</v>
      </c>
      <c r="D20" s="24" t="s">
        <v>17</v>
      </c>
      <c r="E20" s="27" t="s">
        <v>159</v>
      </c>
      <c r="F20" s="106">
        <f t="shared" si="1"/>
        <v>0</v>
      </c>
      <c r="G20" s="41">
        <v>0</v>
      </c>
      <c r="H20" s="41"/>
      <c r="I20" s="41"/>
      <c r="J20" s="41"/>
      <c r="K20" s="41"/>
      <c r="L20" s="41"/>
      <c r="M20" s="42"/>
      <c r="N20" s="42"/>
      <c r="O20" s="42"/>
      <c r="P20" s="42"/>
      <c r="Q20" s="42"/>
      <c r="R20" s="42"/>
      <c r="S20" s="31"/>
    </row>
    <row r="21" spans="2:20" x14ac:dyDescent="0.15">
      <c r="B21" s="33"/>
      <c r="C21" s="26" t="s">
        <v>200</v>
      </c>
      <c r="D21" s="26" t="s">
        <v>17</v>
      </c>
      <c r="E21" s="27" t="s">
        <v>161</v>
      </c>
      <c r="F21" s="106">
        <f t="shared" si="1"/>
        <v>0</v>
      </c>
      <c r="G21" s="42">
        <v>0</v>
      </c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31"/>
    </row>
    <row r="22" spans="2:20" x14ac:dyDescent="0.15">
      <c r="B22" s="33"/>
      <c r="C22" s="26" t="s">
        <v>200</v>
      </c>
      <c r="D22" s="26" t="s">
        <v>17</v>
      </c>
      <c r="E22" s="27" t="s">
        <v>163</v>
      </c>
      <c r="F22" s="106">
        <f t="shared" si="1"/>
        <v>0</v>
      </c>
      <c r="G22" s="41">
        <v>0</v>
      </c>
      <c r="H22" s="41"/>
      <c r="I22" s="41"/>
      <c r="J22" s="41"/>
      <c r="K22" s="41"/>
      <c r="L22" s="41"/>
      <c r="M22" s="42"/>
      <c r="N22" s="42"/>
      <c r="O22" s="42"/>
      <c r="P22" s="42"/>
      <c r="Q22" s="42"/>
      <c r="R22" s="42"/>
      <c r="S22" s="31"/>
    </row>
    <row r="23" spans="2:20" x14ac:dyDescent="0.15">
      <c r="B23" s="33"/>
      <c r="C23" s="26" t="s">
        <v>200</v>
      </c>
      <c r="D23" s="26" t="s">
        <v>17</v>
      </c>
      <c r="E23" s="27" t="s">
        <v>272</v>
      </c>
      <c r="F23" s="106">
        <f t="shared" si="1"/>
        <v>0</v>
      </c>
      <c r="G23" s="41">
        <v>0</v>
      </c>
      <c r="H23" s="41"/>
      <c r="I23" s="41"/>
      <c r="J23" s="41"/>
      <c r="K23" s="41"/>
      <c r="L23" s="41"/>
      <c r="M23" s="42"/>
      <c r="N23" s="42"/>
      <c r="O23" s="42"/>
      <c r="P23" s="42"/>
      <c r="Q23" s="42"/>
      <c r="R23" s="42"/>
      <c r="S23" s="31"/>
    </row>
    <row r="24" spans="2:20" x14ac:dyDescent="0.15">
      <c r="B24" s="33"/>
      <c r="C24" s="26" t="s">
        <v>200</v>
      </c>
      <c r="D24" s="26" t="s">
        <v>17</v>
      </c>
      <c r="E24" s="27" t="s">
        <v>165</v>
      </c>
      <c r="F24" s="106">
        <f t="shared" si="1"/>
        <v>0</v>
      </c>
      <c r="G24" s="41">
        <v>0</v>
      </c>
      <c r="H24" s="41"/>
      <c r="I24" s="41"/>
      <c r="J24" s="41"/>
      <c r="K24" s="41"/>
      <c r="L24" s="41"/>
      <c r="M24" s="42"/>
      <c r="N24" s="42"/>
      <c r="O24" s="42"/>
      <c r="P24" s="42"/>
      <c r="Q24" s="42"/>
      <c r="R24" s="42"/>
      <c r="S24" s="29"/>
    </row>
    <row r="25" spans="2:20" x14ac:dyDescent="0.15">
      <c r="B25" s="33"/>
      <c r="C25" s="26" t="s">
        <v>200</v>
      </c>
      <c r="D25" s="26" t="s">
        <v>17</v>
      </c>
      <c r="E25" s="27" t="s">
        <v>167</v>
      </c>
      <c r="F25" s="106">
        <f t="shared" si="1"/>
        <v>0</v>
      </c>
      <c r="G25" s="41">
        <v>0</v>
      </c>
      <c r="H25" s="41"/>
      <c r="I25" s="41"/>
      <c r="J25" s="41"/>
      <c r="K25" s="41"/>
      <c r="L25" s="41"/>
      <c r="M25" s="42"/>
      <c r="N25" s="42"/>
      <c r="O25" s="42"/>
      <c r="P25" s="42"/>
      <c r="Q25" s="42"/>
      <c r="R25" s="42"/>
      <c r="S25" s="31"/>
    </row>
    <row r="26" spans="2:20" x14ac:dyDescent="0.15">
      <c r="B26" s="33"/>
      <c r="C26" s="26" t="s">
        <v>200</v>
      </c>
      <c r="D26" s="26" t="s">
        <v>17</v>
      </c>
      <c r="E26" s="27" t="s">
        <v>169</v>
      </c>
      <c r="F26" s="106">
        <f t="shared" si="1"/>
        <v>0</v>
      </c>
      <c r="G26" s="41">
        <v>0</v>
      </c>
      <c r="H26" s="41"/>
      <c r="I26" s="41"/>
      <c r="J26" s="41"/>
      <c r="K26" s="41"/>
      <c r="L26" s="41"/>
      <c r="M26" s="42"/>
      <c r="N26" s="42"/>
      <c r="O26" s="42"/>
      <c r="P26" s="42"/>
      <c r="Q26" s="42"/>
      <c r="R26" s="42"/>
      <c r="S26" s="29"/>
    </row>
    <row r="27" spans="2:20" x14ac:dyDescent="0.15">
      <c r="B27" s="33"/>
      <c r="C27" s="26" t="s">
        <v>200</v>
      </c>
      <c r="D27" s="26" t="s">
        <v>17</v>
      </c>
      <c r="E27" s="27" t="s">
        <v>171</v>
      </c>
      <c r="F27" s="106">
        <f t="shared" si="1"/>
        <v>0</v>
      </c>
      <c r="G27" s="41">
        <v>0</v>
      </c>
      <c r="H27" s="41"/>
      <c r="I27" s="41"/>
      <c r="J27" s="41"/>
      <c r="K27" s="41"/>
      <c r="L27" s="41"/>
      <c r="M27" s="42"/>
      <c r="N27" s="42"/>
      <c r="O27" s="42"/>
      <c r="P27" s="42"/>
      <c r="Q27" s="42"/>
      <c r="R27" s="42"/>
      <c r="S27" s="29" t="s">
        <v>48</v>
      </c>
      <c r="T27" s="15"/>
    </row>
    <row r="28" spans="2:20" x14ac:dyDescent="0.15">
      <c r="B28" s="33"/>
      <c r="C28" s="26" t="s">
        <v>200</v>
      </c>
      <c r="D28" s="26" t="s">
        <v>17</v>
      </c>
      <c r="E28" s="27" t="s">
        <v>273</v>
      </c>
      <c r="F28" s="106">
        <f t="shared" si="1"/>
        <v>0</v>
      </c>
      <c r="G28" s="41">
        <v>0</v>
      </c>
      <c r="H28" s="41"/>
      <c r="I28" s="41"/>
      <c r="J28" s="41"/>
      <c r="K28" s="41"/>
      <c r="L28" s="41"/>
      <c r="M28" s="42"/>
      <c r="N28" s="42"/>
      <c r="O28" s="42"/>
      <c r="P28" s="42"/>
      <c r="Q28" s="42"/>
      <c r="R28" s="42"/>
      <c r="S28" s="29"/>
    </row>
    <row r="29" spans="2:20" x14ac:dyDescent="0.15">
      <c r="B29" s="33"/>
      <c r="C29" s="26" t="s">
        <v>200</v>
      </c>
      <c r="D29" s="26" t="s">
        <v>17</v>
      </c>
      <c r="E29" s="18" t="s">
        <v>51</v>
      </c>
      <c r="F29" s="106">
        <f t="shared" si="1"/>
        <v>0</v>
      </c>
      <c r="G29" s="41">
        <v>0</v>
      </c>
      <c r="H29" s="41"/>
      <c r="I29" s="41"/>
      <c r="J29" s="41"/>
      <c r="K29" s="41"/>
      <c r="L29" s="41"/>
      <c r="M29" s="42"/>
      <c r="N29" s="42"/>
      <c r="O29" s="42"/>
      <c r="P29" s="42"/>
      <c r="Q29" s="42"/>
      <c r="R29" s="42"/>
      <c r="S29" s="31"/>
    </row>
    <row r="30" spans="2:20" x14ac:dyDescent="0.15">
      <c r="B30" s="33"/>
      <c r="C30" s="26" t="s">
        <v>200</v>
      </c>
      <c r="D30" s="43" t="s">
        <v>17</v>
      </c>
      <c r="E30" s="27"/>
      <c r="F30" s="106">
        <f t="shared" si="1"/>
        <v>-14410</v>
      </c>
      <c r="G30" s="41">
        <v>-14410</v>
      </c>
      <c r="H30" s="41"/>
      <c r="I30" s="41"/>
      <c r="J30" s="41"/>
      <c r="K30" s="41"/>
      <c r="L30" s="41"/>
      <c r="M30" s="42"/>
      <c r="N30" s="42"/>
      <c r="O30" s="42"/>
      <c r="P30" s="42"/>
      <c r="Q30" s="42"/>
      <c r="R30" s="42"/>
      <c r="S30" s="29" t="s">
        <v>18</v>
      </c>
    </row>
    <row r="31" spans="2:20" x14ac:dyDescent="0.15">
      <c r="B31" s="33"/>
      <c r="C31" s="26" t="s">
        <v>200</v>
      </c>
      <c r="D31" s="24" t="s">
        <v>23</v>
      </c>
      <c r="E31" s="16" t="s">
        <v>202</v>
      </c>
      <c r="F31" s="106">
        <f t="shared" si="1"/>
        <v>0</v>
      </c>
      <c r="G31" s="41">
        <v>0</v>
      </c>
      <c r="H31" s="41"/>
      <c r="I31" s="41"/>
      <c r="J31" s="41"/>
      <c r="K31" s="41"/>
      <c r="L31" s="41"/>
      <c r="M31" s="42"/>
      <c r="N31" s="42"/>
      <c r="O31" s="42"/>
      <c r="P31" s="42"/>
      <c r="Q31" s="42"/>
      <c r="R31" s="42"/>
      <c r="S31" s="29" t="s">
        <v>30</v>
      </c>
    </row>
    <row r="32" spans="2:20" x14ac:dyDescent="0.15">
      <c r="B32" s="33"/>
      <c r="C32" s="26" t="s">
        <v>200</v>
      </c>
      <c r="D32" s="26" t="s">
        <v>23</v>
      </c>
      <c r="E32" s="16" t="s">
        <v>209</v>
      </c>
      <c r="F32" s="106">
        <f t="shared" si="1"/>
        <v>-470877</v>
      </c>
      <c r="G32" s="41">
        <v>-470877</v>
      </c>
      <c r="H32" s="41"/>
      <c r="I32" s="41"/>
      <c r="J32" s="41"/>
      <c r="K32" s="41"/>
      <c r="L32" s="41"/>
      <c r="M32" s="42"/>
      <c r="N32" s="42"/>
      <c r="O32" s="42"/>
      <c r="P32" s="42"/>
      <c r="Q32" s="42"/>
      <c r="R32" s="42"/>
      <c r="S32" s="29" t="s">
        <v>30</v>
      </c>
    </row>
    <row r="33" spans="2:19" x14ac:dyDescent="0.15">
      <c r="B33" s="33"/>
      <c r="C33" s="26" t="s">
        <v>200</v>
      </c>
      <c r="D33" s="26" t="s">
        <v>23</v>
      </c>
      <c r="E33" s="16" t="s">
        <v>206</v>
      </c>
      <c r="F33" s="106">
        <f t="shared" si="1"/>
        <v>0</v>
      </c>
      <c r="G33" s="41">
        <v>0</v>
      </c>
      <c r="H33" s="41"/>
      <c r="I33" s="41"/>
      <c r="J33" s="41"/>
      <c r="K33" s="41"/>
      <c r="L33" s="41"/>
      <c r="M33" s="42"/>
      <c r="N33" s="42"/>
      <c r="O33" s="42"/>
      <c r="P33" s="42"/>
      <c r="Q33" s="42"/>
      <c r="R33" s="42"/>
      <c r="S33" s="29" t="s">
        <v>30</v>
      </c>
    </row>
    <row r="34" spans="2:19" x14ac:dyDescent="0.15">
      <c r="B34" s="33"/>
      <c r="C34" s="26" t="s">
        <v>200</v>
      </c>
      <c r="D34" s="26" t="s">
        <v>23</v>
      </c>
      <c r="E34" s="27" t="s">
        <v>208</v>
      </c>
      <c r="F34" s="106">
        <f t="shared" si="1"/>
        <v>0</v>
      </c>
      <c r="G34" s="41">
        <v>0</v>
      </c>
      <c r="H34" s="41"/>
      <c r="I34" s="41"/>
      <c r="J34" s="41"/>
      <c r="K34" s="41"/>
      <c r="L34" s="41"/>
      <c r="M34" s="42"/>
      <c r="N34" s="42"/>
      <c r="O34" s="42"/>
      <c r="P34" s="42"/>
      <c r="Q34" s="42"/>
      <c r="R34" s="42"/>
      <c r="S34" s="29" t="s">
        <v>30</v>
      </c>
    </row>
    <row r="35" spans="2:19" x14ac:dyDescent="0.15">
      <c r="B35" s="33"/>
      <c r="C35" s="26" t="s">
        <v>200</v>
      </c>
      <c r="D35" s="26" t="s">
        <v>23</v>
      </c>
      <c r="E35" s="27" t="s">
        <v>274</v>
      </c>
      <c r="F35" s="106">
        <f t="shared" si="1"/>
        <v>0</v>
      </c>
      <c r="G35" s="41">
        <v>0</v>
      </c>
      <c r="H35" s="41"/>
      <c r="I35" s="41"/>
      <c r="J35" s="41"/>
      <c r="K35" s="41"/>
      <c r="L35" s="41"/>
      <c r="M35" s="42"/>
      <c r="N35" s="42"/>
      <c r="O35" s="42"/>
      <c r="P35" s="42"/>
      <c r="Q35" s="42"/>
      <c r="R35" s="42"/>
      <c r="S35" s="29" t="s">
        <v>30</v>
      </c>
    </row>
    <row r="36" spans="2:19" x14ac:dyDescent="0.15">
      <c r="B36" s="33"/>
      <c r="C36" s="26" t="s">
        <v>200</v>
      </c>
      <c r="D36" s="26" t="s">
        <v>23</v>
      </c>
      <c r="E36" s="27" t="s">
        <v>153</v>
      </c>
      <c r="F36" s="106">
        <f t="shared" si="1"/>
        <v>0</v>
      </c>
      <c r="G36" s="41">
        <v>0</v>
      </c>
      <c r="H36" s="41"/>
      <c r="I36" s="41"/>
      <c r="J36" s="41"/>
      <c r="K36" s="41"/>
      <c r="L36" s="41"/>
      <c r="M36" s="42"/>
      <c r="N36" s="42"/>
      <c r="O36" s="42"/>
      <c r="P36" s="42"/>
      <c r="Q36" s="42"/>
      <c r="R36" s="42"/>
      <c r="S36" s="29" t="s">
        <v>6</v>
      </c>
    </row>
    <row r="37" spans="2:19" x14ac:dyDescent="0.15">
      <c r="B37" s="33"/>
      <c r="C37" s="26" t="s">
        <v>200</v>
      </c>
      <c r="D37" s="26" t="s">
        <v>23</v>
      </c>
      <c r="E37" s="27" t="s">
        <v>51</v>
      </c>
      <c r="F37" s="106">
        <f t="shared" si="1"/>
        <v>0</v>
      </c>
      <c r="G37" s="41">
        <v>0</v>
      </c>
      <c r="H37" s="41"/>
      <c r="I37" s="41"/>
      <c r="J37" s="41"/>
      <c r="K37" s="41"/>
      <c r="L37" s="41"/>
      <c r="M37" s="42"/>
      <c r="N37" s="42"/>
      <c r="O37" s="42"/>
      <c r="P37" s="42"/>
      <c r="Q37" s="42"/>
      <c r="R37" s="42"/>
      <c r="S37" s="29" t="s">
        <v>57</v>
      </c>
    </row>
    <row r="38" spans="2:19" x14ac:dyDescent="0.15">
      <c r="B38" s="33"/>
      <c r="C38" s="26" t="s">
        <v>200</v>
      </c>
      <c r="D38" s="26" t="s">
        <v>23</v>
      </c>
      <c r="E38" s="27"/>
      <c r="F38" s="106">
        <f t="shared" si="1"/>
        <v>0</v>
      </c>
      <c r="G38" s="41">
        <v>0</v>
      </c>
      <c r="H38" s="41"/>
      <c r="I38" s="41"/>
      <c r="J38" s="41"/>
      <c r="K38" s="41"/>
      <c r="L38" s="41"/>
      <c r="M38" s="42"/>
      <c r="N38" s="42"/>
      <c r="O38" s="42"/>
      <c r="P38" s="42"/>
      <c r="Q38" s="42"/>
      <c r="R38" s="42"/>
      <c r="S38" s="29" t="s">
        <v>58</v>
      </c>
    </row>
    <row r="39" spans="2:19" x14ac:dyDescent="0.15">
      <c r="B39" s="33"/>
      <c r="C39" s="26" t="s">
        <v>200</v>
      </c>
      <c r="D39" s="24" t="s">
        <v>39</v>
      </c>
      <c r="E39" s="16" t="s">
        <v>26</v>
      </c>
      <c r="F39" s="106">
        <f t="shared" si="1"/>
        <v>0</v>
      </c>
      <c r="G39" s="41">
        <v>0</v>
      </c>
      <c r="H39" s="41"/>
      <c r="I39" s="41"/>
      <c r="J39" s="41"/>
      <c r="K39" s="41"/>
      <c r="L39" s="41"/>
      <c r="M39" s="42"/>
      <c r="N39" s="42"/>
      <c r="O39" s="42"/>
      <c r="P39" s="42"/>
      <c r="Q39" s="42"/>
      <c r="R39" s="42"/>
      <c r="S39" s="29"/>
    </row>
    <row r="40" spans="2:19" x14ac:dyDescent="0.15">
      <c r="B40" s="33"/>
      <c r="C40" s="26" t="s">
        <v>200</v>
      </c>
      <c r="D40" s="26" t="s">
        <v>39</v>
      </c>
      <c r="E40" s="18" t="s">
        <v>10</v>
      </c>
      <c r="F40" s="106">
        <f t="shared" si="1"/>
        <v>0</v>
      </c>
      <c r="G40" s="41">
        <v>0</v>
      </c>
      <c r="H40" s="41"/>
      <c r="I40" s="41"/>
      <c r="J40" s="41"/>
      <c r="K40" s="41"/>
      <c r="L40" s="41"/>
      <c r="M40" s="42"/>
      <c r="N40" s="42"/>
      <c r="O40" s="42"/>
      <c r="P40" s="42"/>
      <c r="Q40" s="42"/>
      <c r="R40" s="42"/>
      <c r="S40" s="29"/>
    </row>
    <row r="41" spans="2:19" x14ac:dyDescent="0.15">
      <c r="B41" s="33"/>
      <c r="C41" s="26" t="s">
        <v>200</v>
      </c>
      <c r="D41" s="26" t="s">
        <v>39</v>
      </c>
      <c r="E41" s="18" t="s">
        <v>43</v>
      </c>
      <c r="F41" s="106">
        <f t="shared" si="1"/>
        <v>0</v>
      </c>
      <c r="G41" s="41">
        <v>0</v>
      </c>
      <c r="H41" s="41"/>
      <c r="I41" s="41"/>
      <c r="J41" s="41"/>
      <c r="K41" s="41"/>
      <c r="L41" s="41"/>
      <c r="M41" s="42"/>
      <c r="N41" s="42"/>
      <c r="O41" s="42"/>
      <c r="P41" s="42"/>
      <c r="Q41" s="42"/>
      <c r="R41" s="42"/>
      <c r="S41" s="29"/>
    </row>
    <row r="42" spans="2:19" x14ac:dyDescent="0.15">
      <c r="B42" s="33"/>
      <c r="C42" s="26" t="s">
        <v>200</v>
      </c>
      <c r="D42" s="26" t="s">
        <v>39</v>
      </c>
      <c r="E42" s="18" t="s">
        <v>45</v>
      </c>
      <c r="F42" s="106">
        <f t="shared" si="1"/>
        <v>0</v>
      </c>
      <c r="G42" s="41">
        <v>0</v>
      </c>
      <c r="H42" s="41"/>
      <c r="I42" s="41"/>
      <c r="J42" s="41"/>
      <c r="K42" s="41"/>
      <c r="L42" s="41"/>
      <c r="M42" s="42"/>
      <c r="N42" s="42"/>
      <c r="O42" s="42"/>
      <c r="P42" s="42"/>
      <c r="Q42" s="42"/>
      <c r="R42" s="42"/>
      <c r="S42" s="29" t="s">
        <v>31</v>
      </c>
    </row>
    <row r="43" spans="2:19" x14ac:dyDescent="0.15">
      <c r="B43" s="33"/>
      <c r="C43" s="26" t="s">
        <v>200</v>
      </c>
      <c r="D43" s="26" t="s">
        <v>39</v>
      </c>
      <c r="E43" s="18" t="s">
        <v>46</v>
      </c>
      <c r="F43" s="106">
        <f t="shared" si="1"/>
        <v>0</v>
      </c>
      <c r="G43" s="41">
        <v>0</v>
      </c>
      <c r="H43" s="41"/>
      <c r="I43" s="41"/>
      <c r="J43" s="41"/>
      <c r="K43" s="41"/>
      <c r="L43" s="41"/>
      <c r="M43" s="42"/>
      <c r="N43" s="42"/>
      <c r="O43" s="42"/>
      <c r="P43" s="42"/>
      <c r="Q43" s="42"/>
      <c r="R43" s="42"/>
      <c r="S43" s="29" t="s">
        <v>63</v>
      </c>
    </row>
    <row r="44" spans="2:19" x14ac:dyDescent="0.15">
      <c r="B44" s="33"/>
      <c r="C44" s="26" t="s">
        <v>200</v>
      </c>
      <c r="D44" s="26" t="s">
        <v>39</v>
      </c>
      <c r="E44" s="18" t="s">
        <v>51</v>
      </c>
      <c r="F44" s="106">
        <f t="shared" si="1"/>
        <v>0</v>
      </c>
      <c r="G44" s="41">
        <v>0</v>
      </c>
      <c r="H44" s="41"/>
      <c r="I44" s="41"/>
      <c r="J44" s="41"/>
      <c r="K44" s="41"/>
      <c r="L44" s="41"/>
      <c r="M44" s="42"/>
      <c r="N44" s="42"/>
      <c r="O44" s="42"/>
      <c r="P44" s="42"/>
      <c r="Q44" s="42"/>
      <c r="R44" s="42"/>
      <c r="S44" s="31"/>
    </row>
    <row r="45" spans="2:19" x14ac:dyDescent="0.15">
      <c r="B45" s="33"/>
      <c r="C45" s="26" t="s">
        <v>200</v>
      </c>
      <c r="D45" s="43" t="s">
        <v>39</v>
      </c>
      <c r="E45" s="18"/>
      <c r="F45" s="106">
        <f t="shared" si="1"/>
        <v>0</v>
      </c>
      <c r="G45" s="41">
        <v>0</v>
      </c>
      <c r="H45" s="41"/>
      <c r="I45" s="41"/>
      <c r="J45" s="41"/>
      <c r="K45" s="41"/>
      <c r="L45" s="41"/>
      <c r="M45" s="42"/>
      <c r="N45" s="42"/>
      <c r="O45" s="42"/>
      <c r="P45" s="42"/>
      <c r="Q45" s="42"/>
      <c r="R45" s="42"/>
      <c r="S45" s="31"/>
    </row>
    <row r="46" spans="2:19" x14ac:dyDescent="0.15">
      <c r="B46" s="33"/>
      <c r="C46" s="26" t="s">
        <v>200</v>
      </c>
      <c r="D46" s="24" t="s">
        <v>51</v>
      </c>
      <c r="E46" s="18" t="s">
        <v>51</v>
      </c>
      <c r="F46" s="106">
        <f t="shared" si="1"/>
        <v>0</v>
      </c>
      <c r="G46" s="41">
        <v>0</v>
      </c>
      <c r="H46" s="41"/>
      <c r="I46" s="41"/>
      <c r="J46" s="41"/>
      <c r="K46" s="41"/>
      <c r="L46" s="41"/>
      <c r="M46" s="42"/>
      <c r="N46" s="42"/>
      <c r="O46" s="42"/>
      <c r="P46" s="42"/>
      <c r="Q46" s="42"/>
      <c r="R46" s="42"/>
      <c r="S46" s="31"/>
    </row>
    <row r="47" spans="2:19" x14ac:dyDescent="0.15">
      <c r="B47" s="33"/>
      <c r="C47" s="26" t="s">
        <v>200</v>
      </c>
      <c r="D47" s="43" t="s">
        <v>51</v>
      </c>
      <c r="E47" s="18"/>
      <c r="F47" s="106">
        <f t="shared" si="1"/>
        <v>0</v>
      </c>
      <c r="G47" s="42">
        <v>0</v>
      </c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31"/>
    </row>
    <row r="48" spans="2:19" x14ac:dyDescent="0.15">
      <c r="B48" s="33"/>
      <c r="C48" s="26" t="s">
        <v>200</v>
      </c>
      <c r="D48" s="135" t="s">
        <v>281</v>
      </c>
      <c r="E48" s="136" t="s">
        <v>278</v>
      </c>
      <c r="F48" s="106">
        <f t="shared" si="1"/>
        <v>0</v>
      </c>
      <c r="G48" s="41">
        <v>0</v>
      </c>
      <c r="H48" s="41"/>
      <c r="I48" s="41"/>
      <c r="J48" s="41"/>
      <c r="K48" s="41"/>
      <c r="L48" s="41"/>
      <c r="M48" s="42"/>
      <c r="N48" s="42"/>
      <c r="O48" s="42"/>
      <c r="P48" s="42"/>
      <c r="Q48" s="42"/>
      <c r="R48" s="42"/>
      <c r="S48" s="31"/>
    </row>
    <row r="49" spans="2:19" x14ac:dyDescent="0.15">
      <c r="B49" s="33"/>
      <c r="C49" s="26" t="s">
        <v>200</v>
      </c>
      <c r="D49" s="137"/>
      <c r="E49" s="136" t="s">
        <v>279</v>
      </c>
      <c r="F49" s="106">
        <f t="shared" ref="F49:F50" si="2">SUM(G49:R49)</f>
        <v>0</v>
      </c>
      <c r="G49" s="41">
        <v>0</v>
      </c>
      <c r="H49" s="41"/>
      <c r="I49" s="41"/>
      <c r="J49" s="41"/>
      <c r="K49" s="41"/>
      <c r="L49" s="41"/>
      <c r="M49" s="42"/>
      <c r="N49" s="42"/>
      <c r="O49" s="42"/>
      <c r="P49" s="42"/>
      <c r="Q49" s="42"/>
      <c r="R49" s="42"/>
      <c r="S49" s="29" t="s">
        <v>40</v>
      </c>
    </row>
    <row r="50" spans="2:19" x14ac:dyDescent="0.15">
      <c r="B50" s="44"/>
      <c r="C50" s="43" t="s">
        <v>200</v>
      </c>
      <c r="D50" s="138"/>
      <c r="E50" s="136" t="s">
        <v>280</v>
      </c>
      <c r="F50" s="106">
        <f t="shared" si="2"/>
        <v>0</v>
      </c>
      <c r="G50" s="42">
        <v>0</v>
      </c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29" t="s">
        <v>42</v>
      </c>
    </row>
    <row r="52" spans="2:19" ht="34.5" customHeight="1" x14ac:dyDescent="0.15">
      <c r="E52" s="98" t="s">
        <v>80</v>
      </c>
      <c r="F52" s="86">
        <f>SUM(F57:F87)*-1</f>
        <v>0</v>
      </c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31"/>
    </row>
    <row r="53" spans="2:19" ht="35.25" customHeight="1" x14ac:dyDescent="0.15">
      <c r="B53" s="36" t="s">
        <v>78</v>
      </c>
      <c r="C53" s="36" t="s">
        <v>12</v>
      </c>
      <c r="D53" s="94" t="s">
        <v>13</v>
      </c>
      <c r="E53" s="37" t="s">
        <v>14</v>
      </c>
      <c r="F53" s="96" t="s">
        <v>80</v>
      </c>
      <c r="G53" s="39">
        <v>202007</v>
      </c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40" t="s">
        <v>15</v>
      </c>
    </row>
    <row r="54" spans="2:19" x14ac:dyDescent="0.15">
      <c r="B54" s="34" t="s">
        <v>79</v>
      </c>
      <c r="C54" s="87" t="s">
        <v>255</v>
      </c>
      <c r="D54" s="87" t="s">
        <v>256</v>
      </c>
      <c r="E54" s="88" t="s">
        <v>258</v>
      </c>
      <c r="F54" s="86">
        <f>SUM(G54:R54)</f>
        <v>0</v>
      </c>
      <c r="G54" s="86"/>
      <c r="H54" s="86"/>
      <c r="I54" s="86"/>
      <c r="J54" s="86"/>
      <c r="K54" s="86"/>
      <c r="L54" s="86"/>
      <c r="M54" s="42"/>
      <c r="N54" s="42"/>
      <c r="O54" s="42"/>
      <c r="P54" s="42"/>
      <c r="Q54" s="42"/>
      <c r="R54" s="42"/>
      <c r="S54" s="31"/>
    </row>
    <row r="55" spans="2:19" x14ac:dyDescent="0.15">
      <c r="B55" s="33"/>
      <c r="C55" s="89"/>
      <c r="D55" s="87" t="s">
        <v>257</v>
      </c>
      <c r="E55" s="88" t="s">
        <v>259</v>
      </c>
      <c r="F55" s="86">
        <f t="shared" ref="F55:F87" si="3">SUM(G55:R55)</f>
        <v>0</v>
      </c>
      <c r="G55" s="86"/>
      <c r="H55" s="86"/>
      <c r="I55" s="86"/>
      <c r="J55" s="86"/>
      <c r="K55" s="86"/>
      <c r="L55" s="86"/>
      <c r="M55" s="42"/>
      <c r="N55" s="42"/>
      <c r="O55" s="42"/>
      <c r="P55" s="42"/>
      <c r="Q55" s="42"/>
      <c r="R55" s="42"/>
      <c r="S55" s="31"/>
    </row>
    <row r="56" spans="2:19" x14ac:dyDescent="0.15">
      <c r="B56" s="33"/>
      <c r="C56" s="90"/>
      <c r="D56" s="87"/>
      <c r="E56" s="88"/>
      <c r="F56" s="86">
        <f t="shared" si="3"/>
        <v>0</v>
      </c>
      <c r="G56" s="86"/>
      <c r="H56" s="86"/>
      <c r="I56" s="86"/>
      <c r="J56" s="86"/>
      <c r="K56" s="86"/>
      <c r="L56" s="86"/>
      <c r="M56" s="42"/>
      <c r="N56" s="42"/>
      <c r="O56" s="42"/>
      <c r="P56" s="42"/>
      <c r="Q56" s="42"/>
      <c r="R56" s="42"/>
      <c r="S56" s="31"/>
    </row>
    <row r="57" spans="2:19" x14ac:dyDescent="0.15">
      <c r="B57" s="33"/>
      <c r="C57" s="87" t="s">
        <v>7</v>
      </c>
      <c r="D57" s="103" t="s">
        <v>261</v>
      </c>
      <c r="E57" s="88" t="s">
        <v>142</v>
      </c>
      <c r="F57" s="86">
        <f t="shared" si="3"/>
        <v>0</v>
      </c>
      <c r="G57" s="86"/>
      <c r="H57" s="86"/>
      <c r="I57" s="86"/>
      <c r="J57" s="86"/>
      <c r="K57" s="86"/>
      <c r="L57" s="86"/>
      <c r="M57" s="42"/>
      <c r="N57" s="42"/>
      <c r="O57" s="42"/>
      <c r="P57" s="42"/>
      <c r="Q57" s="42"/>
      <c r="R57" s="42"/>
      <c r="S57" s="31"/>
    </row>
    <row r="58" spans="2:19" x14ac:dyDescent="0.15">
      <c r="B58" s="33"/>
      <c r="C58" s="89"/>
      <c r="D58" s="103" t="s">
        <v>260</v>
      </c>
      <c r="E58" s="88" t="s">
        <v>253</v>
      </c>
      <c r="F58" s="86">
        <f t="shared" si="3"/>
        <v>0</v>
      </c>
      <c r="G58" s="86"/>
      <c r="H58" s="86"/>
      <c r="I58" s="86"/>
      <c r="J58" s="86"/>
      <c r="K58" s="86"/>
      <c r="L58" s="86"/>
      <c r="M58" s="42"/>
      <c r="N58" s="42"/>
      <c r="O58" s="42"/>
      <c r="P58" s="42"/>
      <c r="Q58" s="42"/>
      <c r="R58" s="42"/>
      <c r="S58" s="31"/>
    </row>
    <row r="59" spans="2:19" x14ac:dyDescent="0.15">
      <c r="B59" s="33"/>
      <c r="C59" s="89"/>
      <c r="D59" s="103" t="s">
        <v>262</v>
      </c>
      <c r="E59" s="88" t="s">
        <v>119</v>
      </c>
      <c r="F59" s="86">
        <f t="shared" si="3"/>
        <v>0</v>
      </c>
      <c r="G59" s="86"/>
      <c r="H59" s="86"/>
      <c r="I59" s="86"/>
      <c r="J59" s="86"/>
      <c r="K59" s="86"/>
      <c r="L59" s="86"/>
      <c r="M59" s="42"/>
      <c r="N59" s="42"/>
      <c r="O59" s="42"/>
      <c r="P59" s="42"/>
      <c r="Q59" s="42"/>
      <c r="R59" s="42"/>
      <c r="S59" s="31"/>
    </row>
    <row r="60" spans="2:19" x14ac:dyDescent="0.15">
      <c r="B60" s="33"/>
      <c r="C60" s="89"/>
      <c r="D60" s="103" t="s">
        <v>263</v>
      </c>
      <c r="E60" s="88" t="s">
        <v>140</v>
      </c>
      <c r="F60" s="86">
        <f t="shared" si="3"/>
        <v>0</v>
      </c>
      <c r="G60" s="86"/>
      <c r="H60" s="86"/>
      <c r="I60" s="86"/>
      <c r="J60" s="86"/>
      <c r="K60" s="86"/>
      <c r="L60" s="86"/>
      <c r="M60" s="42"/>
      <c r="N60" s="42"/>
      <c r="O60" s="42"/>
      <c r="P60" s="42"/>
      <c r="Q60" s="42"/>
      <c r="R60" s="42"/>
      <c r="S60" s="31"/>
    </row>
    <row r="61" spans="2:19" x14ac:dyDescent="0.15">
      <c r="B61" s="33"/>
      <c r="C61" s="89"/>
      <c r="D61" s="103" t="s">
        <v>263</v>
      </c>
      <c r="E61" s="88" t="s">
        <v>141</v>
      </c>
      <c r="F61" s="86">
        <f t="shared" si="3"/>
        <v>0</v>
      </c>
      <c r="G61" s="86"/>
      <c r="H61" s="86"/>
      <c r="I61" s="86"/>
      <c r="J61" s="86"/>
      <c r="K61" s="86"/>
      <c r="L61" s="86"/>
      <c r="M61" s="42"/>
      <c r="N61" s="42"/>
      <c r="O61" s="42"/>
      <c r="P61" s="42"/>
      <c r="Q61" s="42"/>
      <c r="R61" s="42"/>
      <c r="S61" s="31"/>
    </row>
    <row r="62" spans="2:19" x14ac:dyDescent="0.15">
      <c r="B62" s="33"/>
      <c r="C62" s="89"/>
      <c r="D62" s="103" t="s">
        <v>263</v>
      </c>
      <c r="E62" s="88" t="s">
        <v>254</v>
      </c>
      <c r="F62" s="86">
        <f t="shared" si="3"/>
        <v>0</v>
      </c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31"/>
    </row>
    <row r="63" spans="2:19" x14ac:dyDescent="0.15">
      <c r="B63" s="33"/>
      <c r="C63" s="89"/>
      <c r="D63" s="103" t="s">
        <v>263</v>
      </c>
      <c r="E63" s="88" t="s">
        <v>264</v>
      </c>
      <c r="F63" s="86">
        <f t="shared" si="3"/>
        <v>0</v>
      </c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31"/>
    </row>
    <row r="64" spans="2:19" x14ac:dyDescent="0.15">
      <c r="B64" s="33"/>
      <c r="C64" s="89"/>
      <c r="D64" s="103" t="s">
        <v>263</v>
      </c>
      <c r="E64" s="88" t="s">
        <v>265</v>
      </c>
      <c r="F64" s="86">
        <f t="shared" si="3"/>
        <v>0</v>
      </c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31"/>
    </row>
    <row r="65" spans="2:19" x14ac:dyDescent="0.15">
      <c r="B65" s="33"/>
      <c r="C65" s="89"/>
      <c r="D65" s="103"/>
      <c r="E65" s="88"/>
      <c r="F65" s="86">
        <f t="shared" si="3"/>
        <v>0</v>
      </c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31"/>
    </row>
    <row r="66" spans="2:19" x14ac:dyDescent="0.15">
      <c r="B66" s="33"/>
      <c r="C66" s="87" t="s">
        <v>121</v>
      </c>
      <c r="D66" s="103" t="s">
        <v>120</v>
      </c>
      <c r="E66" s="88" t="s">
        <v>73</v>
      </c>
      <c r="F66" s="86">
        <f t="shared" si="3"/>
        <v>0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31"/>
    </row>
    <row r="67" spans="2:19" x14ac:dyDescent="0.15">
      <c r="B67" s="33"/>
      <c r="C67" s="90"/>
      <c r="D67" s="103"/>
      <c r="E67" s="88"/>
      <c r="F67" s="86">
        <f t="shared" si="3"/>
        <v>0</v>
      </c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31"/>
    </row>
    <row r="68" spans="2:19" x14ac:dyDescent="0.15">
      <c r="B68" s="33"/>
      <c r="C68" s="89" t="s">
        <v>266</v>
      </c>
      <c r="D68" s="103" t="s">
        <v>267</v>
      </c>
      <c r="E68" s="88" t="s">
        <v>268</v>
      </c>
      <c r="F68" s="86">
        <f t="shared" si="3"/>
        <v>0</v>
      </c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31"/>
    </row>
    <row r="69" spans="2:19" x14ac:dyDescent="0.15">
      <c r="B69" s="44"/>
      <c r="C69" s="90"/>
      <c r="D69" s="90"/>
      <c r="E69" s="88"/>
      <c r="F69" s="86">
        <f t="shared" si="3"/>
        <v>0</v>
      </c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31"/>
    </row>
    <row r="71" spans="2:19" ht="35.25" customHeight="1" x14ac:dyDescent="0.15">
      <c r="B71" s="36" t="s">
        <v>78</v>
      </c>
      <c r="C71" s="36" t="s">
        <v>12</v>
      </c>
      <c r="D71" s="94" t="s">
        <v>13</v>
      </c>
      <c r="E71" s="37" t="s">
        <v>14</v>
      </c>
      <c r="F71" s="96" t="s">
        <v>80</v>
      </c>
      <c r="G71" s="39">
        <v>202007</v>
      </c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40" t="s">
        <v>15</v>
      </c>
    </row>
    <row r="72" spans="2:19" x14ac:dyDescent="0.15">
      <c r="B72" s="33"/>
      <c r="C72" s="89" t="s">
        <v>143</v>
      </c>
      <c r="D72" s="89" t="s">
        <v>144</v>
      </c>
      <c r="E72" s="88" t="s">
        <v>269</v>
      </c>
      <c r="F72" s="86">
        <f t="shared" si="3"/>
        <v>0</v>
      </c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31"/>
    </row>
    <row r="73" spans="2:19" x14ac:dyDescent="0.15">
      <c r="B73" s="33"/>
      <c r="C73" s="89"/>
      <c r="D73" s="89"/>
      <c r="E73" s="88" t="s">
        <v>269</v>
      </c>
      <c r="F73" s="86">
        <f t="shared" si="3"/>
        <v>0</v>
      </c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31"/>
    </row>
    <row r="74" spans="2:19" x14ac:dyDescent="0.15">
      <c r="B74" s="33"/>
      <c r="C74" s="89"/>
      <c r="D74" s="89"/>
      <c r="E74" s="88" t="s">
        <v>269</v>
      </c>
      <c r="F74" s="86">
        <f t="shared" si="3"/>
        <v>0</v>
      </c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31"/>
    </row>
    <row r="75" spans="2:19" x14ac:dyDescent="0.15">
      <c r="B75" s="33"/>
      <c r="C75" s="89"/>
      <c r="D75" s="89"/>
      <c r="E75" s="88" t="s">
        <v>269</v>
      </c>
      <c r="F75" s="86">
        <f t="shared" si="3"/>
        <v>0</v>
      </c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31"/>
    </row>
    <row r="76" spans="2:19" x14ac:dyDescent="0.15">
      <c r="B76" s="33"/>
      <c r="C76" s="89"/>
      <c r="D76" s="89"/>
      <c r="E76" s="88" t="s">
        <v>269</v>
      </c>
      <c r="F76" s="86">
        <f t="shared" si="3"/>
        <v>0</v>
      </c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31"/>
    </row>
    <row r="77" spans="2:19" x14ac:dyDescent="0.15">
      <c r="B77" s="33"/>
      <c r="C77" s="89"/>
      <c r="D77" s="89"/>
      <c r="E77" s="88" t="s">
        <v>269</v>
      </c>
      <c r="F77" s="86">
        <f t="shared" si="3"/>
        <v>0</v>
      </c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31"/>
    </row>
    <row r="78" spans="2:19" x14ac:dyDescent="0.15">
      <c r="B78" s="33"/>
      <c r="C78" s="89"/>
      <c r="D78" s="89"/>
      <c r="E78" s="88" t="s">
        <v>269</v>
      </c>
      <c r="F78" s="86">
        <f t="shared" si="3"/>
        <v>0</v>
      </c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31"/>
    </row>
    <row r="79" spans="2:19" x14ac:dyDescent="0.15">
      <c r="B79" s="33"/>
      <c r="C79" s="89"/>
      <c r="D79" s="89"/>
      <c r="E79" s="88" t="s">
        <v>269</v>
      </c>
      <c r="F79" s="86">
        <f t="shared" si="3"/>
        <v>0</v>
      </c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31"/>
    </row>
    <row r="80" spans="2:19" x14ac:dyDescent="0.15">
      <c r="B80" s="33"/>
      <c r="C80" s="89"/>
      <c r="D80" s="89"/>
      <c r="E80" s="88" t="s">
        <v>269</v>
      </c>
      <c r="F80" s="86">
        <f t="shared" si="3"/>
        <v>0</v>
      </c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31"/>
    </row>
    <row r="81" spans="2:19" x14ac:dyDescent="0.15">
      <c r="B81" s="33"/>
      <c r="C81" s="89"/>
      <c r="D81" s="89"/>
      <c r="E81" s="88" t="s">
        <v>269</v>
      </c>
      <c r="F81" s="86">
        <f t="shared" si="3"/>
        <v>0</v>
      </c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31"/>
    </row>
    <row r="82" spans="2:19" x14ac:dyDescent="0.15">
      <c r="B82" s="33"/>
      <c r="C82" s="89"/>
      <c r="D82" s="89"/>
      <c r="E82" s="88" t="s">
        <v>269</v>
      </c>
      <c r="F82" s="86">
        <f t="shared" si="3"/>
        <v>0</v>
      </c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31"/>
    </row>
    <row r="83" spans="2:19" x14ac:dyDescent="0.15">
      <c r="B83" s="33"/>
      <c r="C83" s="89"/>
      <c r="D83" s="89"/>
      <c r="E83" s="88" t="s">
        <v>269</v>
      </c>
      <c r="F83" s="86">
        <f t="shared" si="3"/>
        <v>0</v>
      </c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31"/>
    </row>
    <row r="84" spans="2:19" x14ac:dyDescent="0.15">
      <c r="B84" s="33"/>
      <c r="C84" s="89"/>
      <c r="D84" s="89"/>
      <c r="E84" s="88" t="s">
        <v>269</v>
      </c>
      <c r="F84" s="86">
        <f t="shared" si="3"/>
        <v>0</v>
      </c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31"/>
    </row>
    <row r="85" spans="2:19" x14ac:dyDescent="0.15">
      <c r="B85" s="33"/>
      <c r="C85" s="89"/>
      <c r="D85" s="89"/>
      <c r="E85" s="88" t="s">
        <v>269</v>
      </c>
      <c r="F85" s="86">
        <f t="shared" si="3"/>
        <v>0</v>
      </c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31"/>
    </row>
    <row r="86" spans="2:19" x14ac:dyDescent="0.15">
      <c r="B86" s="33"/>
      <c r="C86" s="89"/>
      <c r="D86" s="89"/>
      <c r="E86" s="88" t="s">
        <v>269</v>
      </c>
      <c r="F86" s="86">
        <f t="shared" si="3"/>
        <v>0</v>
      </c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31"/>
    </row>
    <row r="87" spans="2:19" x14ac:dyDescent="0.15">
      <c r="B87" s="44"/>
      <c r="C87" s="90"/>
      <c r="D87" s="90"/>
      <c r="E87" s="88" t="s">
        <v>269</v>
      </c>
      <c r="F87" s="86">
        <f t="shared" si="3"/>
        <v>0</v>
      </c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31"/>
    </row>
    <row r="90" spans="2:19" ht="35.25" customHeight="1" x14ac:dyDescent="0.15">
      <c r="E90" s="37" t="s">
        <v>147</v>
      </c>
      <c r="F90" s="38" t="s">
        <v>80</v>
      </c>
      <c r="G90" s="39">
        <f t="shared" ref="G90:R90" si="4">IF(G2&lt;&gt;"",G2,"")</f>
        <v>202007</v>
      </c>
      <c r="H90" s="39" t="str">
        <f t="shared" si="4"/>
        <v/>
      </c>
      <c r="I90" s="39" t="str">
        <f t="shared" si="4"/>
        <v/>
      </c>
      <c r="J90" s="39" t="str">
        <f t="shared" si="4"/>
        <v/>
      </c>
      <c r="K90" s="39" t="str">
        <f t="shared" si="4"/>
        <v/>
      </c>
      <c r="L90" s="39" t="str">
        <f t="shared" si="4"/>
        <v/>
      </c>
      <c r="M90" s="39" t="str">
        <f t="shared" si="4"/>
        <v/>
      </c>
      <c r="N90" s="39" t="str">
        <f t="shared" si="4"/>
        <v/>
      </c>
      <c r="O90" s="39" t="str">
        <f t="shared" si="4"/>
        <v/>
      </c>
      <c r="P90" s="39" t="str">
        <f t="shared" si="4"/>
        <v/>
      </c>
      <c r="Q90" s="39" t="str">
        <f t="shared" si="4"/>
        <v/>
      </c>
      <c r="R90" s="39" t="str">
        <f t="shared" si="4"/>
        <v/>
      </c>
      <c r="S90" s="40" t="s">
        <v>15</v>
      </c>
    </row>
    <row r="91" spans="2:19" x14ac:dyDescent="0.15">
      <c r="E91" s="92" t="s">
        <v>282</v>
      </c>
      <c r="F91" s="102">
        <f>SUM(G91:R91)</f>
        <v>0</v>
      </c>
      <c r="G91" s="110">
        <v>0</v>
      </c>
      <c r="H91" s="110">
        <v>0</v>
      </c>
      <c r="I91" s="110">
        <v>0</v>
      </c>
      <c r="J91" s="110">
        <v>0</v>
      </c>
      <c r="K91" s="110">
        <v>0</v>
      </c>
      <c r="L91" s="110">
        <v>0</v>
      </c>
      <c r="M91" s="110">
        <v>0</v>
      </c>
      <c r="N91" s="110">
        <v>0</v>
      </c>
      <c r="O91" s="110">
        <v>0</v>
      </c>
      <c r="P91" s="110">
        <v>0</v>
      </c>
      <c r="Q91" s="110">
        <v>0</v>
      </c>
      <c r="R91" s="110">
        <v>0</v>
      </c>
      <c r="S91" s="111"/>
    </row>
    <row r="92" spans="2:19" x14ac:dyDescent="0.15">
      <c r="E92" s="92" t="s">
        <v>283</v>
      </c>
      <c r="F92" s="102">
        <f>SUM(G92:R92)</f>
        <v>0</v>
      </c>
      <c r="G92" s="110">
        <v>0</v>
      </c>
      <c r="H92" s="110">
        <v>0</v>
      </c>
      <c r="I92" s="110">
        <v>0</v>
      </c>
      <c r="J92" s="110">
        <v>0</v>
      </c>
      <c r="K92" s="110">
        <v>0</v>
      </c>
      <c r="L92" s="110">
        <v>0</v>
      </c>
      <c r="M92" s="110">
        <v>0</v>
      </c>
      <c r="N92" s="110">
        <v>0</v>
      </c>
      <c r="O92" s="110">
        <v>0</v>
      </c>
      <c r="P92" s="110">
        <v>0</v>
      </c>
      <c r="Q92" s="110">
        <v>0</v>
      </c>
      <c r="R92" s="110">
        <v>0</v>
      </c>
      <c r="S92" s="91"/>
    </row>
    <row r="93" spans="2:19" x14ac:dyDescent="0.15">
      <c r="E93" s="92" t="s">
        <v>136</v>
      </c>
      <c r="F93" s="102">
        <f>SUM(G93:R93)</f>
        <v>0</v>
      </c>
      <c r="G93" s="110">
        <v>0</v>
      </c>
      <c r="H93" s="110">
        <v>0</v>
      </c>
      <c r="I93" s="110">
        <v>0</v>
      </c>
      <c r="J93" s="110">
        <v>0</v>
      </c>
      <c r="K93" s="110">
        <v>0</v>
      </c>
      <c r="L93" s="110">
        <v>0</v>
      </c>
      <c r="M93" s="110">
        <v>0</v>
      </c>
      <c r="N93" s="110">
        <v>0</v>
      </c>
      <c r="O93" s="110">
        <v>0</v>
      </c>
      <c r="P93" s="110">
        <v>0</v>
      </c>
      <c r="Q93" s="110">
        <v>0</v>
      </c>
      <c r="R93" s="110">
        <v>0</v>
      </c>
      <c r="S93" s="91"/>
    </row>
    <row r="94" spans="2:19" x14ac:dyDescent="0.15">
      <c r="E94" s="92" t="s">
        <v>89</v>
      </c>
      <c r="F94" s="102">
        <f>SUM(G94:R94)</f>
        <v>0</v>
      </c>
      <c r="G94" s="110">
        <v>0</v>
      </c>
      <c r="H94" s="110">
        <v>0</v>
      </c>
      <c r="I94" s="110">
        <v>0</v>
      </c>
      <c r="J94" s="110">
        <v>0</v>
      </c>
      <c r="K94" s="110">
        <v>0</v>
      </c>
      <c r="L94" s="110">
        <v>0</v>
      </c>
      <c r="M94" s="110">
        <v>0</v>
      </c>
      <c r="N94" s="110">
        <v>0</v>
      </c>
      <c r="O94" s="110">
        <v>0</v>
      </c>
      <c r="P94" s="110">
        <v>0</v>
      </c>
      <c r="Q94" s="110">
        <v>0</v>
      </c>
      <c r="R94" s="110">
        <v>0</v>
      </c>
      <c r="S94" s="91"/>
    </row>
    <row r="95" spans="2:19" x14ac:dyDescent="0.15">
      <c r="E95" s="92" t="s">
        <v>80</v>
      </c>
      <c r="F95" s="102">
        <f>SUM(G95:R95)</f>
        <v>0</v>
      </c>
      <c r="G95" s="110">
        <v>0</v>
      </c>
      <c r="H95" s="110">
        <v>0</v>
      </c>
      <c r="I95" s="110">
        <v>0</v>
      </c>
      <c r="J95" s="110">
        <v>0</v>
      </c>
      <c r="K95" s="110">
        <v>0</v>
      </c>
      <c r="L95" s="110">
        <v>0</v>
      </c>
      <c r="M95" s="110">
        <v>0</v>
      </c>
      <c r="N95" s="110">
        <v>0</v>
      </c>
      <c r="O95" s="110">
        <v>0</v>
      </c>
      <c r="P95" s="110">
        <v>0</v>
      </c>
      <c r="Q95" s="110">
        <v>0</v>
      </c>
      <c r="R95" s="110">
        <v>0</v>
      </c>
      <c r="S95" s="91"/>
    </row>
    <row r="96" spans="2:19" x14ac:dyDescent="0.15">
      <c r="E96" s="112" t="s">
        <v>122</v>
      </c>
      <c r="F96" s="93" t="e">
        <f>ROUND(#REF!/F95,0)</f>
        <v>#REF!</v>
      </c>
      <c r="G96" s="93" t="e">
        <f>#REF!/G95</f>
        <v>#REF!</v>
      </c>
      <c r="H96" s="93" t="e">
        <f>#REF!/H95</f>
        <v>#REF!</v>
      </c>
      <c r="I96" s="93" t="e">
        <f>#REF!/I95</f>
        <v>#REF!</v>
      </c>
      <c r="J96" s="93" t="e">
        <f>#REF!/J95</f>
        <v>#REF!</v>
      </c>
      <c r="K96" s="93" t="e">
        <f>#REF!/K95</f>
        <v>#REF!</v>
      </c>
      <c r="L96" s="93" t="e">
        <f>#REF!/L95</f>
        <v>#REF!</v>
      </c>
      <c r="M96" s="117" t="e">
        <f>#REF!/M95</f>
        <v>#REF!</v>
      </c>
      <c r="N96" s="93" t="e">
        <f>#REF!/N95</f>
        <v>#REF!</v>
      </c>
      <c r="O96" s="93" t="e">
        <f>#REF!/O95</f>
        <v>#REF!</v>
      </c>
      <c r="P96" s="93" t="e">
        <f>#REF!/P95</f>
        <v>#REF!</v>
      </c>
      <c r="Q96" s="93" t="e">
        <f>#REF!/Q95</f>
        <v>#REF!</v>
      </c>
      <c r="R96" s="93" t="e">
        <f>#REF!/R95</f>
        <v>#REF!</v>
      </c>
      <c r="S96" s="91"/>
    </row>
    <row r="97" spans="5:6" x14ac:dyDescent="0.15">
      <c r="E97" s="112" t="s">
        <v>137</v>
      </c>
      <c r="F97" s="35" t="e">
        <f>ROUND(SUM(G96:L96)/6,0)</f>
        <v>#REF!</v>
      </c>
    </row>
    <row r="98" spans="5:6" x14ac:dyDescent="0.15">
      <c r="E98" s="112" t="s">
        <v>138</v>
      </c>
      <c r="F98" s="35" t="e">
        <f>SUM(M96:R96)/6</f>
        <v>#REF!</v>
      </c>
    </row>
  </sheetData>
  <phoneticPr fontId="6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公共費用計算">
                <anchor moveWithCells="1" sizeWithCells="1">
                  <from>
                    <xdr:col>1</xdr:col>
                    <xdr:colOff>9525</xdr:colOff>
                    <xdr:row>0</xdr:row>
                    <xdr:rowOff>123825</xdr:rowOff>
                  </from>
                  <to>
                    <xdr:col>2</xdr:col>
                    <xdr:colOff>866775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autoFill="0" autoPict="0" macro="[0]!公共費用データクリア">
                <anchor moveWithCells="1" sizeWithCells="1">
                  <from>
                    <xdr:col>2</xdr:col>
                    <xdr:colOff>1028700</xdr:colOff>
                    <xdr:row>0</xdr:row>
                    <xdr:rowOff>123825</xdr:rowOff>
                  </from>
                  <to>
                    <xdr:col>3</xdr:col>
                    <xdr:colOff>885825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B9916-595F-45C2-AFAA-ADDD2CE5B86F}">
  <sheetPr codeName="Sheet18"/>
  <dimension ref="A1:U28"/>
  <sheetViews>
    <sheetView showGridLines="0" zoomScaleNormal="100" workbookViewId="0">
      <selection activeCell="E25" sqref="E25"/>
    </sheetView>
  </sheetViews>
  <sheetFormatPr defaultColWidth="4.125" defaultRowHeight="13.5" x14ac:dyDescent="0.15"/>
  <cols>
    <col min="1" max="1" width="2.875" style="9" customWidth="1"/>
    <col min="2" max="2" width="9" style="9" bestFit="1" customWidth="1"/>
    <col min="3" max="3" width="9" bestFit="1" customWidth="1"/>
    <col min="4" max="4" width="11" bestFit="1" customWidth="1"/>
    <col min="5" max="5" width="9" bestFit="1" customWidth="1"/>
    <col min="6" max="6" width="16.625" bestFit="1" customWidth="1"/>
    <col min="7" max="7" width="18.625" bestFit="1" customWidth="1"/>
    <col min="8" max="8" width="13" bestFit="1" customWidth="1"/>
    <col min="9" max="9" width="12.625" customWidth="1"/>
    <col min="10" max="10" width="20.125" bestFit="1" customWidth="1"/>
    <col min="11" max="11" width="11" bestFit="1" customWidth="1"/>
    <col min="12" max="12" width="9" style="9" bestFit="1" customWidth="1"/>
    <col min="13" max="13" width="13" style="9" bestFit="1" customWidth="1"/>
    <col min="14" max="15" width="11" style="9" bestFit="1" customWidth="1"/>
    <col min="16" max="17" width="11.625" style="9" bestFit="1" customWidth="1"/>
    <col min="18" max="18" width="14.125" style="9" bestFit="1" customWidth="1"/>
    <col min="19" max="20" width="7.75" style="9" bestFit="1" customWidth="1"/>
    <col min="21" max="21" width="9" style="9" bestFit="1" customWidth="1"/>
    <col min="22" max="16384" width="4.125" style="9"/>
  </cols>
  <sheetData>
    <row r="1" spans="1:21" x14ac:dyDescent="0.15">
      <c r="C1" s="9"/>
      <c r="D1" s="9"/>
      <c r="E1" s="9"/>
      <c r="F1" s="9"/>
      <c r="G1" s="9"/>
      <c r="H1" s="9"/>
      <c r="I1" s="9"/>
      <c r="J1" s="9"/>
      <c r="K1" s="9"/>
    </row>
    <row r="2" spans="1:21" x14ac:dyDescent="0.15">
      <c r="B2" s="7" t="s">
        <v>197</v>
      </c>
      <c r="C2" s="23" t="s">
        <v>12</v>
      </c>
      <c r="D2" s="122" t="s">
        <v>199</v>
      </c>
      <c r="E2" s="122" t="s">
        <v>154</v>
      </c>
      <c r="F2" s="122" t="s">
        <v>66</v>
      </c>
      <c r="G2" s="122" t="s">
        <v>68</v>
      </c>
      <c r="H2" s="122" t="s">
        <v>204</v>
      </c>
      <c r="I2" s="122" t="s">
        <v>23</v>
      </c>
      <c r="J2" s="122" t="s">
        <v>69</v>
      </c>
      <c r="K2" s="122" t="s">
        <v>28</v>
      </c>
      <c r="L2" s="121" t="s">
        <v>186</v>
      </c>
      <c r="M2" s="121" t="s">
        <v>187</v>
      </c>
      <c r="N2" s="121" t="s">
        <v>54</v>
      </c>
      <c r="O2" s="121" t="s">
        <v>53</v>
      </c>
      <c r="P2" s="7" t="s">
        <v>75</v>
      </c>
      <c r="Q2" s="7" t="s">
        <v>213</v>
      </c>
      <c r="R2" s="123" t="s">
        <v>109</v>
      </c>
      <c r="S2" s="124" t="s">
        <v>0</v>
      </c>
      <c r="T2" s="124" t="s">
        <v>74</v>
      </c>
      <c r="U2" s="124" t="s">
        <v>113</v>
      </c>
    </row>
    <row r="3" spans="1:21" x14ac:dyDescent="0.15">
      <c r="B3" s="54" t="s">
        <v>90</v>
      </c>
      <c r="C3" s="122" t="s">
        <v>199</v>
      </c>
      <c r="D3" s="122" t="s">
        <v>154</v>
      </c>
      <c r="E3" s="51" t="s">
        <v>20</v>
      </c>
      <c r="F3" s="51" t="s">
        <v>32</v>
      </c>
      <c r="G3" s="52" t="s">
        <v>158</v>
      </c>
      <c r="H3" s="52" t="s">
        <v>205</v>
      </c>
      <c r="I3" s="51" t="s">
        <v>156</v>
      </c>
      <c r="J3" s="51" t="s">
        <v>26</v>
      </c>
      <c r="K3" s="53" t="s">
        <v>49</v>
      </c>
      <c r="L3" s="121" t="s">
        <v>187</v>
      </c>
      <c r="M3" s="53" t="s">
        <v>192</v>
      </c>
      <c r="N3" s="53" t="s">
        <v>52</v>
      </c>
      <c r="O3" s="53" t="s">
        <v>52</v>
      </c>
      <c r="P3" s="30" t="s">
        <v>11</v>
      </c>
      <c r="Q3" s="30">
        <v>0.08</v>
      </c>
      <c r="R3" s="30" t="s">
        <v>110</v>
      </c>
      <c r="S3" s="18" t="s">
        <v>71</v>
      </c>
      <c r="T3" s="18" t="s">
        <v>71</v>
      </c>
      <c r="U3" s="30" t="s">
        <v>70</v>
      </c>
    </row>
    <row r="4" spans="1:21" x14ac:dyDescent="0.15">
      <c r="B4" s="54" t="s">
        <v>250</v>
      </c>
      <c r="C4" s="121" t="s">
        <v>186</v>
      </c>
      <c r="D4" s="122" t="s">
        <v>19</v>
      </c>
      <c r="E4" s="53" t="s">
        <v>21</v>
      </c>
      <c r="F4" s="51" t="s">
        <v>33</v>
      </c>
      <c r="G4" s="52" t="s">
        <v>160</v>
      </c>
      <c r="H4" s="52" t="s">
        <v>60</v>
      </c>
      <c r="I4" s="51" t="s">
        <v>29</v>
      </c>
      <c r="J4" s="53" t="s">
        <v>41</v>
      </c>
      <c r="K4" s="53" t="s">
        <v>51</v>
      </c>
      <c r="L4" s="121" t="s">
        <v>53</v>
      </c>
      <c r="M4" s="53" t="s">
        <v>52</v>
      </c>
      <c r="N4" s="53" t="s">
        <v>190</v>
      </c>
      <c r="O4" s="53" t="s">
        <v>190</v>
      </c>
      <c r="P4" s="30" t="s">
        <v>65</v>
      </c>
      <c r="Q4" s="30">
        <v>0.1</v>
      </c>
      <c r="R4" s="30" t="s">
        <v>111</v>
      </c>
      <c r="S4" s="30" t="s">
        <v>73</v>
      </c>
      <c r="T4" s="30" t="s">
        <v>73</v>
      </c>
      <c r="U4" s="30" t="s">
        <v>114</v>
      </c>
    </row>
    <row r="5" spans="1:21" x14ac:dyDescent="0.15">
      <c r="B5" s="54" t="s">
        <v>86</v>
      </c>
      <c r="C5" s="54"/>
      <c r="D5" s="122" t="s">
        <v>134</v>
      </c>
      <c r="E5" s="51" t="s">
        <v>28</v>
      </c>
      <c r="F5" s="51" t="s">
        <v>34</v>
      </c>
      <c r="G5" s="52" t="s">
        <v>162</v>
      </c>
      <c r="H5" s="52" t="s">
        <v>133</v>
      </c>
      <c r="I5" s="52" t="s">
        <v>207</v>
      </c>
      <c r="J5" s="53" t="s">
        <v>43</v>
      </c>
      <c r="K5" s="50"/>
      <c r="L5" s="121" t="s">
        <v>54</v>
      </c>
      <c r="M5" s="53" t="s">
        <v>190</v>
      </c>
      <c r="N5" s="53" t="s">
        <v>123</v>
      </c>
      <c r="O5" s="53" t="s">
        <v>123</v>
      </c>
      <c r="P5" s="10"/>
      <c r="Q5" s="10"/>
      <c r="R5" s="10"/>
      <c r="S5" s="10"/>
      <c r="T5" s="10"/>
      <c r="U5" s="10"/>
    </row>
    <row r="6" spans="1:21" x14ac:dyDescent="0.15">
      <c r="B6" s="54"/>
      <c r="C6" s="54"/>
      <c r="D6" s="122" t="s">
        <v>204</v>
      </c>
      <c r="E6" s="52"/>
      <c r="F6" s="51" t="s">
        <v>21</v>
      </c>
      <c r="G6" s="52" t="s">
        <v>164</v>
      </c>
      <c r="H6" s="52" t="s">
        <v>145</v>
      </c>
      <c r="I6" s="50" t="s">
        <v>157</v>
      </c>
      <c r="J6" s="53" t="s">
        <v>45</v>
      </c>
      <c r="K6" s="50"/>
      <c r="L6" s="50"/>
      <c r="M6" s="53" t="s">
        <v>123</v>
      </c>
      <c r="N6" s="53" t="s">
        <v>126</v>
      </c>
      <c r="O6" s="53" t="s">
        <v>126</v>
      </c>
      <c r="P6" s="10"/>
      <c r="Q6" s="10"/>
      <c r="R6" s="10"/>
      <c r="S6" s="10"/>
      <c r="T6" s="10"/>
      <c r="U6" s="10"/>
    </row>
    <row r="7" spans="1:21" x14ac:dyDescent="0.15">
      <c r="B7" s="54"/>
      <c r="C7" s="54"/>
      <c r="D7" s="122" t="s">
        <v>23</v>
      </c>
      <c r="E7" s="50"/>
      <c r="F7" s="51" t="s">
        <v>16</v>
      </c>
      <c r="G7" s="52" t="s">
        <v>166</v>
      </c>
      <c r="H7" s="52" t="s">
        <v>129</v>
      </c>
      <c r="I7" s="52" t="s">
        <v>210</v>
      </c>
      <c r="J7" s="53" t="s">
        <v>46</v>
      </c>
      <c r="K7" s="50"/>
      <c r="L7" s="50"/>
      <c r="M7" s="53" t="s">
        <v>126</v>
      </c>
      <c r="N7" s="53" t="s">
        <v>128</v>
      </c>
      <c r="O7" s="53" t="s">
        <v>128</v>
      </c>
      <c r="P7" s="10"/>
      <c r="Q7" s="10"/>
      <c r="R7" s="10"/>
      <c r="S7" s="10"/>
      <c r="T7" s="10"/>
      <c r="U7" s="10"/>
    </row>
    <row r="8" spans="1:21" x14ac:dyDescent="0.15">
      <c r="B8" s="54"/>
      <c r="C8" s="54"/>
      <c r="D8" s="122" t="s">
        <v>39</v>
      </c>
      <c r="E8" s="50"/>
      <c r="F8" s="53" t="s">
        <v>22</v>
      </c>
      <c r="G8" s="52" t="s">
        <v>168</v>
      </c>
      <c r="H8" s="52"/>
      <c r="I8" s="52" t="s">
        <v>211</v>
      </c>
      <c r="J8" s="53" t="s">
        <v>51</v>
      </c>
      <c r="K8" s="50"/>
      <c r="L8" s="50"/>
      <c r="M8" s="53" t="s">
        <v>128</v>
      </c>
      <c r="N8" s="53" t="s">
        <v>125</v>
      </c>
      <c r="O8" s="53" t="s">
        <v>125</v>
      </c>
      <c r="P8" s="10"/>
      <c r="Q8" s="10"/>
      <c r="R8" s="10"/>
      <c r="S8" s="10"/>
      <c r="T8" s="10"/>
      <c r="U8" s="10"/>
    </row>
    <row r="9" spans="1:21" x14ac:dyDescent="0.15">
      <c r="B9" s="54"/>
      <c r="C9" s="54"/>
      <c r="D9" s="122" t="s">
        <v>28</v>
      </c>
      <c r="E9" s="50"/>
      <c r="F9" s="52" t="s">
        <v>8</v>
      </c>
      <c r="G9" s="52" t="s">
        <v>170</v>
      </c>
      <c r="H9" s="52"/>
      <c r="I9" s="52" t="s">
        <v>153</v>
      </c>
      <c r="J9" s="53"/>
      <c r="K9" s="50"/>
      <c r="L9" s="50"/>
      <c r="M9" s="53" t="s">
        <v>125</v>
      </c>
      <c r="N9" s="53" t="s">
        <v>51</v>
      </c>
      <c r="O9" s="53" t="s">
        <v>51</v>
      </c>
      <c r="P9" s="10"/>
      <c r="Q9" s="10"/>
      <c r="R9" s="10"/>
      <c r="S9" s="10"/>
      <c r="T9" s="10"/>
      <c r="U9" s="10"/>
    </row>
    <row r="10" spans="1:21" x14ac:dyDescent="0.15">
      <c r="B10" s="54"/>
      <c r="C10" s="54"/>
      <c r="D10" s="54"/>
      <c r="E10" s="50"/>
      <c r="F10" s="51" t="s">
        <v>37</v>
      </c>
      <c r="G10" s="52" t="s">
        <v>172</v>
      </c>
      <c r="H10" s="52"/>
      <c r="I10" s="52" t="s">
        <v>51</v>
      </c>
      <c r="J10" s="50"/>
      <c r="K10" s="50"/>
      <c r="L10" s="50"/>
      <c r="M10" s="53" t="s">
        <v>191</v>
      </c>
      <c r="N10" s="50"/>
      <c r="O10" s="50"/>
      <c r="P10" s="10"/>
      <c r="Q10" s="10"/>
      <c r="R10" s="10"/>
      <c r="S10" s="10"/>
      <c r="T10" s="10"/>
      <c r="U10" s="10"/>
    </row>
    <row r="11" spans="1:21" x14ac:dyDescent="0.15">
      <c r="B11" s="54"/>
      <c r="C11" s="54"/>
      <c r="D11" s="54"/>
      <c r="E11" s="50"/>
      <c r="F11" s="51" t="s">
        <v>27</v>
      </c>
      <c r="G11" s="52" t="s">
        <v>173</v>
      </c>
      <c r="H11" s="52"/>
      <c r="I11" s="50"/>
      <c r="J11" s="50"/>
      <c r="K11" s="50"/>
      <c r="L11" s="50"/>
      <c r="M11" s="53" t="s">
        <v>193</v>
      </c>
      <c r="N11" s="50"/>
      <c r="O11" s="50"/>
      <c r="P11" s="10"/>
      <c r="Q11" s="10"/>
      <c r="R11" s="10"/>
      <c r="S11" s="10"/>
      <c r="T11" s="10"/>
      <c r="U11" s="10"/>
    </row>
    <row r="12" spans="1:21" x14ac:dyDescent="0.15">
      <c r="A12" s="9" t="str">
        <f t="array" ref="A12">IFERROR(INDEX(#REF!,SMALL(IF(#REF!&lt;&gt;"",ROW(#REF!)),ROW(#REF!))),"")</f>
        <v/>
      </c>
      <c r="B12" s="54"/>
      <c r="C12" s="54"/>
      <c r="D12" s="54"/>
      <c r="E12" s="50"/>
      <c r="F12" s="51" t="s">
        <v>76</v>
      </c>
      <c r="G12" s="52" t="s">
        <v>174</v>
      </c>
      <c r="H12" s="52"/>
      <c r="I12" s="52"/>
      <c r="J12" s="50"/>
      <c r="K12" s="50"/>
      <c r="L12" s="50"/>
      <c r="M12" s="53" t="s">
        <v>195</v>
      </c>
      <c r="N12" s="50"/>
      <c r="O12" s="50"/>
      <c r="P12" s="10"/>
      <c r="Q12" s="10"/>
      <c r="R12" s="10"/>
      <c r="S12" s="10"/>
      <c r="T12" s="10"/>
      <c r="U12" s="10"/>
    </row>
    <row r="13" spans="1:21" x14ac:dyDescent="0.15">
      <c r="A13" s="9" t="str">
        <f t="array" ref="A13">IFERROR(INDEX(#REF!,SMALL(IF(#REF!&lt;&gt;"",ROW(#REF!)),ROW(#REF!))),"")</f>
        <v/>
      </c>
      <c r="B13" s="54"/>
      <c r="C13" s="54"/>
      <c r="D13" s="54"/>
      <c r="E13" s="50"/>
      <c r="F13" s="51" t="s">
        <v>9</v>
      </c>
      <c r="G13" s="52" t="s">
        <v>175</v>
      </c>
      <c r="H13" s="52"/>
      <c r="I13" s="50"/>
      <c r="J13" s="50"/>
      <c r="K13" s="50"/>
      <c r="L13" s="50"/>
      <c r="M13" s="53" t="s">
        <v>196</v>
      </c>
      <c r="N13" s="50"/>
      <c r="O13" s="50"/>
      <c r="P13" s="10"/>
      <c r="Q13" s="10"/>
      <c r="R13" s="10"/>
      <c r="S13" s="10"/>
      <c r="T13" s="10"/>
      <c r="U13" s="10"/>
    </row>
    <row r="14" spans="1:21" x14ac:dyDescent="0.15">
      <c r="A14" s="9" t="str">
        <f t="array" ref="A14">IFERROR(INDEX(#REF!,SMALL(IF(#REF!&lt;&gt;"",ROW(#REF!)),ROW(#REF!))),"")</f>
        <v/>
      </c>
      <c r="B14" s="54"/>
      <c r="C14" s="54"/>
      <c r="D14" s="54"/>
      <c r="E14" s="50"/>
      <c r="F14" s="53" t="s">
        <v>51</v>
      </c>
      <c r="G14" s="52" t="s">
        <v>203</v>
      </c>
      <c r="H14" s="52"/>
      <c r="I14" s="50"/>
      <c r="J14" s="50"/>
      <c r="K14" s="50"/>
      <c r="L14" s="50"/>
      <c r="M14" s="53" t="s">
        <v>51</v>
      </c>
      <c r="N14" s="50"/>
      <c r="O14" s="50"/>
      <c r="P14" s="10"/>
      <c r="Q14" s="10"/>
      <c r="R14" s="10"/>
      <c r="S14" s="10"/>
      <c r="T14" s="10"/>
      <c r="U14" s="10"/>
    </row>
    <row r="15" spans="1:21" x14ac:dyDescent="0.15">
      <c r="A15" s="9" t="str">
        <f t="array" ref="A15">IFERROR(INDEX(#REF!,SMALL(IF(#REF!&lt;&gt;"",ROW(#REF!)),ROW(#REF!))),"")</f>
        <v/>
      </c>
      <c r="B15" s="54"/>
      <c r="C15" s="54"/>
      <c r="D15" s="54"/>
      <c r="E15" s="50"/>
      <c r="F15" s="50"/>
      <c r="G15" s="52" t="s">
        <v>51</v>
      </c>
      <c r="H15" s="52"/>
      <c r="I15" s="50"/>
      <c r="J15" s="50"/>
      <c r="K15" s="50"/>
      <c r="L15" s="50"/>
      <c r="M15" s="50"/>
      <c r="N15" s="50"/>
      <c r="O15" s="50"/>
      <c r="P15" s="10"/>
      <c r="Q15" s="10"/>
      <c r="R15" s="10"/>
      <c r="S15" s="10"/>
      <c r="T15" s="10"/>
      <c r="U15" s="10"/>
    </row>
    <row r="16" spans="1:21" x14ac:dyDescent="0.15">
      <c r="A16" s="9" t="str">
        <f t="array" ref="A16">IFERROR(INDEX(#REF!,SMALL(IF(#REF!&lt;&gt;"",ROW(#REF!)),ROW(#REF!))),"")</f>
        <v/>
      </c>
      <c r="B16" s="54"/>
      <c r="C16" s="54"/>
      <c r="D16" s="54"/>
      <c r="E16" s="50"/>
      <c r="F16" s="50"/>
      <c r="G16" s="52"/>
      <c r="H16" s="52"/>
      <c r="I16" s="50"/>
      <c r="J16" s="50"/>
      <c r="K16" s="50"/>
      <c r="L16" s="50"/>
      <c r="M16" s="50"/>
      <c r="N16" s="50"/>
      <c r="O16" s="50"/>
      <c r="P16" s="10"/>
      <c r="Q16" s="10"/>
      <c r="R16" s="10"/>
      <c r="S16" s="10"/>
      <c r="T16" s="10"/>
      <c r="U16" s="10"/>
    </row>
    <row r="17" spans="1:21" x14ac:dyDescent="0.15">
      <c r="A17" s="9" t="str">
        <f t="array" ref="A17">IFERROR(INDEX(#REF!,SMALL(IF(#REF!&lt;&gt;"",ROW(#REF!)),ROW(#REF!))),"")</f>
        <v/>
      </c>
      <c r="B17" s="54"/>
      <c r="C17" s="54"/>
      <c r="D17" s="54"/>
      <c r="E17" s="50"/>
      <c r="F17" s="50"/>
      <c r="G17" s="52"/>
      <c r="H17" s="52"/>
      <c r="I17" s="50"/>
      <c r="J17" s="50"/>
      <c r="K17" s="50"/>
      <c r="L17" s="50"/>
      <c r="M17" s="50"/>
      <c r="N17" s="50"/>
      <c r="O17" s="50"/>
      <c r="P17" s="10"/>
      <c r="Q17" s="10"/>
      <c r="R17" s="10"/>
      <c r="S17" s="10"/>
      <c r="T17" s="10"/>
      <c r="U17" s="10"/>
    </row>
    <row r="18" spans="1:21" x14ac:dyDescent="0.15">
      <c r="A18" s="9" t="str">
        <f t="array" ref="A18">IFERROR(INDEX(#REF!,SMALL(IF(#REF!&lt;&gt;"",ROW(#REF!)),ROW(#REF!))),"")</f>
        <v/>
      </c>
      <c r="B18" s="54"/>
      <c r="C18" s="54"/>
      <c r="D18" s="54"/>
      <c r="E18" s="50"/>
      <c r="F18" s="50"/>
      <c r="G18" s="52"/>
      <c r="H18" s="52"/>
      <c r="I18" s="50"/>
      <c r="J18" s="50"/>
      <c r="K18" s="50"/>
      <c r="L18" s="50"/>
      <c r="M18" s="50"/>
      <c r="N18" s="50"/>
      <c r="O18" s="50"/>
      <c r="P18" s="10"/>
      <c r="Q18" s="10"/>
      <c r="R18" s="10"/>
      <c r="S18" s="10"/>
      <c r="T18" s="10"/>
      <c r="U18" s="10"/>
    </row>
    <row r="19" spans="1:21" x14ac:dyDescent="0.15">
      <c r="A19" s="9" t="str">
        <f t="array" ref="A19">IFERROR(INDEX(#REF!,SMALL(IF(#REF!&lt;&gt;"",ROW(#REF!)),ROW(#REF!))),"")</f>
        <v/>
      </c>
    </row>
    <row r="20" spans="1:21" x14ac:dyDescent="0.15">
      <c r="A20" s="9" t="str">
        <f t="array" ref="A20">IFERROR(INDEX(#REF!,SMALL(IF(#REF!&lt;&gt;"",ROW(#REF!)),ROW(#REF!))),"")</f>
        <v/>
      </c>
    </row>
    <row r="26" spans="1:21" x14ac:dyDescent="0.15">
      <c r="K26" s="9"/>
    </row>
    <row r="27" spans="1:21" x14ac:dyDescent="0.15">
      <c r="K27" s="9"/>
    </row>
    <row r="28" spans="1:21" x14ac:dyDescent="0.15">
      <c r="K28" s="9"/>
    </row>
  </sheetData>
  <phoneticPr fontId="6"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401E7-AEBD-4171-B215-1BF07E3A46E9}">
  <sheetPr codeName="Sheet32">
    <tabColor rgb="FFFFC000"/>
  </sheetPr>
  <dimension ref="A2:W94"/>
  <sheetViews>
    <sheetView showGridLines="0" view="pageBreakPreview" zoomScaleNormal="100" zoomScaleSheetLayoutView="10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F16" sqref="F16"/>
    </sheetView>
  </sheetViews>
  <sheetFormatPr defaultColWidth="10.5" defaultRowHeight="13.5" x14ac:dyDescent="0.15"/>
  <cols>
    <col min="1" max="1" width="1.625" style="85" customWidth="1"/>
    <col min="2" max="2" width="4.875" style="5" bestFit="1" customWidth="1"/>
    <col min="3" max="3" width="10.5" style="2" bestFit="1" customWidth="1"/>
    <col min="4" max="5" width="9.5" style="2" bestFit="1" customWidth="1"/>
    <col min="6" max="6" width="16" style="2" bestFit="1" customWidth="1"/>
    <col min="7" max="7" width="18.25" style="1" bestFit="1" customWidth="1"/>
    <col min="8" max="8" width="21.25" style="1" bestFit="1" customWidth="1"/>
    <col min="9" max="9" width="39.25" style="4" customWidth="1"/>
    <col min="10" max="10" width="12.125" style="22" bestFit="1" customWidth="1"/>
    <col min="11" max="11" width="13.5" style="47" customWidth="1"/>
    <col min="12" max="12" width="4.75" style="47" customWidth="1"/>
    <col min="13" max="13" width="10.125" style="48" bestFit="1" customWidth="1"/>
    <col min="14" max="14" width="11.5" style="48" bestFit="1" customWidth="1"/>
    <col min="15" max="15" width="10.5" style="2" bestFit="1" customWidth="1"/>
    <col min="16" max="16" width="14.125" style="6" bestFit="1" customWidth="1"/>
    <col min="17" max="17" width="7.625" style="1" bestFit="1" customWidth="1"/>
    <col min="18" max="18" width="10.125" style="1" bestFit="1" customWidth="1"/>
    <col min="19" max="19" width="10.5" style="2" bestFit="1" customWidth="1"/>
    <col min="20" max="20" width="8.75" style="1" bestFit="1" customWidth="1"/>
    <col min="21" max="21" width="10.5" style="2" bestFit="1" customWidth="1"/>
    <col min="22" max="22" width="8.75" style="1" bestFit="1" customWidth="1"/>
    <col min="23" max="23" width="44.375" style="3" customWidth="1"/>
    <col min="24" max="24" width="1.5" customWidth="1"/>
  </cols>
  <sheetData>
    <row r="2" spans="1:23" s="13" customFormat="1" ht="17.25" customHeight="1" x14ac:dyDescent="0.15">
      <c r="A2" s="84"/>
      <c r="B2" s="82"/>
      <c r="C2" s="82"/>
      <c r="D2" s="82"/>
      <c r="E2" s="82"/>
      <c r="F2" s="82"/>
      <c r="G2" s="82"/>
      <c r="H2" s="82"/>
      <c r="I2" s="82"/>
      <c r="J2" s="66"/>
      <c r="K2" s="67">
        <f>SUM(K4:K94)</f>
        <v>-1048719</v>
      </c>
      <c r="L2" s="47"/>
      <c r="M2" s="67">
        <f>SUM(M4:M94)</f>
        <v>-86987</v>
      </c>
      <c r="N2" s="67">
        <f>SUM(N4:N94)</f>
        <v>-961732</v>
      </c>
      <c r="O2" s="68"/>
      <c r="P2" s="66"/>
      <c r="Q2" s="69"/>
      <c r="R2" s="69"/>
      <c r="S2" s="70"/>
      <c r="T2" s="69"/>
      <c r="U2" s="70"/>
      <c r="V2" s="69"/>
      <c r="W2" s="71"/>
    </row>
    <row r="3" spans="1:23" ht="27" x14ac:dyDescent="0.15">
      <c r="B3" s="72" t="s">
        <v>1</v>
      </c>
      <c r="C3" s="73" t="s">
        <v>99</v>
      </c>
      <c r="D3" s="74" t="s">
        <v>201</v>
      </c>
      <c r="E3" s="74" t="s">
        <v>98</v>
      </c>
      <c r="F3" s="74" t="s">
        <v>97</v>
      </c>
      <c r="G3" s="75" t="s">
        <v>96</v>
      </c>
      <c r="H3" s="76" t="s">
        <v>95</v>
      </c>
      <c r="I3" s="73" t="s">
        <v>94</v>
      </c>
      <c r="J3" s="75" t="s">
        <v>108</v>
      </c>
      <c r="K3" s="77" t="s">
        <v>115</v>
      </c>
      <c r="L3" s="141" t="s">
        <v>93</v>
      </c>
      <c r="M3" s="142"/>
      <c r="N3" s="78" t="s">
        <v>116</v>
      </c>
      <c r="O3" s="77" t="s">
        <v>107</v>
      </c>
      <c r="P3" s="79" t="s">
        <v>112</v>
      </c>
      <c r="Q3" s="75" t="s">
        <v>100</v>
      </c>
      <c r="R3" s="75" t="s">
        <v>106</v>
      </c>
      <c r="S3" s="73" t="s">
        <v>103</v>
      </c>
      <c r="T3" s="80" t="s">
        <v>102</v>
      </c>
      <c r="U3" s="73" t="s">
        <v>104</v>
      </c>
      <c r="V3" s="80" t="s">
        <v>101</v>
      </c>
      <c r="W3" s="76" t="s">
        <v>105</v>
      </c>
    </row>
    <row r="4" spans="1:23" ht="20.100000000000001" customHeight="1" x14ac:dyDescent="0.15">
      <c r="B4" s="128">
        <f t="shared" ref="B4:B22" si="0">ROW()-3</f>
        <v>1</v>
      </c>
      <c r="C4" s="129">
        <v>44013</v>
      </c>
      <c r="D4" s="56" t="s">
        <v>86</v>
      </c>
      <c r="E4" s="57" t="s">
        <v>199</v>
      </c>
      <c r="F4" s="57" t="s">
        <v>134</v>
      </c>
      <c r="G4" s="57" t="s">
        <v>241</v>
      </c>
      <c r="H4" s="101" t="s">
        <v>233</v>
      </c>
      <c r="I4" s="100" t="s">
        <v>234</v>
      </c>
      <c r="J4" s="60" t="s">
        <v>64</v>
      </c>
      <c r="K4" s="130">
        <v>-2266</v>
      </c>
      <c r="L4" s="131">
        <v>0.1</v>
      </c>
      <c r="M4" s="49">
        <f t="shared" ref="M4:M22" si="1">IF(J4="課税", ROUND(K4-K4/(1+L4), 0), 0)</f>
        <v>-206</v>
      </c>
      <c r="N4" s="49">
        <f t="shared" ref="N4:N22" si="2">K4-M4</f>
        <v>-2060</v>
      </c>
      <c r="O4" s="132">
        <v>44043</v>
      </c>
      <c r="P4" s="133" t="s">
        <v>232</v>
      </c>
      <c r="Q4" s="62" t="s">
        <v>72</v>
      </c>
      <c r="R4" s="62" t="s">
        <v>70</v>
      </c>
      <c r="S4" s="129">
        <v>44043</v>
      </c>
      <c r="T4" s="63" t="s">
        <v>72</v>
      </c>
      <c r="U4" s="55">
        <v>44043</v>
      </c>
      <c r="V4" s="63" t="s">
        <v>71</v>
      </c>
      <c r="W4" s="58"/>
    </row>
    <row r="5" spans="1:23" ht="20.100000000000001" customHeight="1" x14ac:dyDescent="0.15">
      <c r="B5" s="128">
        <f t="shared" si="0"/>
        <v>2</v>
      </c>
      <c r="C5" s="129">
        <v>44013</v>
      </c>
      <c r="D5" s="56" t="s">
        <v>86</v>
      </c>
      <c r="E5" s="57" t="s">
        <v>199</v>
      </c>
      <c r="F5" s="57" t="s">
        <v>134</v>
      </c>
      <c r="G5" s="57" t="s">
        <v>242</v>
      </c>
      <c r="H5" s="101" t="s">
        <v>243</v>
      </c>
      <c r="I5" s="100" t="s">
        <v>234</v>
      </c>
      <c r="J5" s="60" t="s">
        <v>64</v>
      </c>
      <c r="K5" s="130">
        <v>-779</v>
      </c>
      <c r="L5" s="131">
        <v>0.1</v>
      </c>
      <c r="M5" s="49">
        <f t="shared" si="1"/>
        <v>-71</v>
      </c>
      <c r="N5" s="49">
        <f t="shared" si="2"/>
        <v>-708</v>
      </c>
      <c r="O5" s="132">
        <v>44043</v>
      </c>
      <c r="P5" s="133" t="s">
        <v>232</v>
      </c>
      <c r="Q5" s="62" t="s">
        <v>72</v>
      </c>
      <c r="R5" s="62" t="s">
        <v>70</v>
      </c>
      <c r="S5" s="129">
        <v>44043</v>
      </c>
      <c r="T5" s="63" t="s">
        <v>72</v>
      </c>
      <c r="U5" s="55">
        <v>44043</v>
      </c>
      <c r="V5" s="63" t="s">
        <v>71</v>
      </c>
      <c r="W5" s="58"/>
    </row>
    <row r="6" spans="1:23" ht="20.100000000000001" customHeight="1" x14ac:dyDescent="0.15">
      <c r="B6" s="128">
        <f t="shared" si="0"/>
        <v>3</v>
      </c>
      <c r="C6" s="129">
        <v>44013</v>
      </c>
      <c r="D6" s="56" t="s">
        <v>86</v>
      </c>
      <c r="E6" s="57" t="s">
        <v>199</v>
      </c>
      <c r="F6" s="57" t="s">
        <v>134</v>
      </c>
      <c r="G6" s="57" t="s">
        <v>242</v>
      </c>
      <c r="H6" s="101" t="s">
        <v>243</v>
      </c>
      <c r="I6" s="100" t="s">
        <v>234</v>
      </c>
      <c r="J6" s="60" t="s">
        <v>64</v>
      </c>
      <c r="K6" s="130">
        <v>-25200</v>
      </c>
      <c r="L6" s="131">
        <v>0.1</v>
      </c>
      <c r="M6" s="49">
        <f t="shared" si="1"/>
        <v>-2291</v>
      </c>
      <c r="N6" s="49">
        <f t="shared" si="2"/>
        <v>-22909</v>
      </c>
      <c r="O6" s="132">
        <v>44043</v>
      </c>
      <c r="P6" s="133" t="s">
        <v>232</v>
      </c>
      <c r="Q6" s="62" t="s">
        <v>72</v>
      </c>
      <c r="R6" s="62" t="s">
        <v>70</v>
      </c>
      <c r="S6" s="129">
        <v>44043</v>
      </c>
      <c r="T6" s="63" t="s">
        <v>72</v>
      </c>
      <c r="U6" s="55">
        <v>44043</v>
      </c>
      <c r="V6" s="63" t="s">
        <v>71</v>
      </c>
      <c r="W6" s="58"/>
    </row>
    <row r="7" spans="1:23" ht="20.100000000000001" customHeight="1" x14ac:dyDescent="0.15">
      <c r="B7" s="14">
        <f t="shared" si="0"/>
        <v>4</v>
      </c>
      <c r="C7" s="55">
        <v>44013</v>
      </c>
      <c r="D7" s="56" t="s">
        <v>86</v>
      </c>
      <c r="E7" s="57" t="s">
        <v>199</v>
      </c>
      <c r="F7" s="57" t="s">
        <v>19</v>
      </c>
      <c r="G7" s="57" t="s">
        <v>9</v>
      </c>
      <c r="H7" s="58" t="s">
        <v>244</v>
      </c>
      <c r="I7" s="64" t="s">
        <v>245</v>
      </c>
      <c r="J7" s="60" t="s">
        <v>64</v>
      </c>
      <c r="K7" s="61">
        <v>-2512</v>
      </c>
      <c r="L7" s="134">
        <v>0.1</v>
      </c>
      <c r="M7" s="49">
        <f t="shared" si="1"/>
        <v>-228</v>
      </c>
      <c r="N7" s="49">
        <f t="shared" si="2"/>
        <v>-2284</v>
      </c>
      <c r="O7" s="55">
        <v>44043</v>
      </c>
      <c r="P7" s="65" t="s">
        <v>232</v>
      </c>
      <c r="Q7" s="62" t="s">
        <v>72</v>
      </c>
      <c r="R7" s="62" t="s">
        <v>114</v>
      </c>
      <c r="S7" s="55"/>
      <c r="T7" s="63" t="s">
        <v>72</v>
      </c>
      <c r="U7" s="55"/>
      <c r="V7" s="63" t="s">
        <v>139</v>
      </c>
      <c r="W7" s="58"/>
    </row>
    <row r="8" spans="1:23" ht="20.100000000000001" customHeight="1" x14ac:dyDescent="0.15">
      <c r="B8" s="128">
        <f t="shared" si="0"/>
        <v>5</v>
      </c>
      <c r="C8" s="129">
        <v>44013</v>
      </c>
      <c r="D8" s="56" t="s">
        <v>250</v>
      </c>
      <c r="E8" s="57" t="s">
        <v>188</v>
      </c>
      <c r="F8" s="57" t="s">
        <v>214</v>
      </c>
      <c r="G8" s="57" t="s">
        <v>212</v>
      </c>
      <c r="H8" s="101" t="s">
        <v>87</v>
      </c>
      <c r="I8" s="100" t="s">
        <v>247</v>
      </c>
      <c r="J8" s="60" t="s">
        <v>77</v>
      </c>
      <c r="K8" s="130">
        <v>-82000</v>
      </c>
      <c r="L8" s="131">
        <v>0.1</v>
      </c>
      <c r="M8" s="49">
        <f t="shared" si="1"/>
        <v>0</v>
      </c>
      <c r="N8" s="49">
        <f t="shared" si="2"/>
        <v>-82000</v>
      </c>
      <c r="O8" s="132">
        <v>44043</v>
      </c>
      <c r="P8" s="133" t="s">
        <v>232</v>
      </c>
      <c r="Q8" s="62" t="s">
        <v>72</v>
      </c>
      <c r="R8" s="62" t="s">
        <v>70</v>
      </c>
      <c r="S8" s="129">
        <v>44043</v>
      </c>
      <c r="T8" s="63" t="s">
        <v>72</v>
      </c>
      <c r="U8" s="55"/>
      <c r="V8" s="63" t="s">
        <v>71</v>
      </c>
      <c r="W8" s="58"/>
    </row>
    <row r="9" spans="1:23" ht="20.100000000000001" customHeight="1" x14ac:dyDescent="0.15">
      <c r="B9" s="128">
        <f t="shared" si="0"/>
        <v>6</v>
      </c>
      <c r="C9" s="129">
        <v>44013</v>
      </c>
      <c r="D9" s="56" t="s">
        <v>250</v>
      </c>
      <c r="E9" s="57" t="s">
        <v>188</v>
      </c>
      <c r="F9" s="57" t="s">
        <v>214</v>
      </c>
      <c r="G9" s="57" t="s">
        <v>212</v>
      </c>
      <c r="H9" s="101" t="s">
        <v>87</v>
      </c>
      <c r="I9" s="100" t="s">
        <v>248</v>
      </c>
      <c r="J9" s="60" t="s">
        <v>77</v>
      </c>
      <c r="K9" s="130">
        <v>-81000</v>
      </c>
      <c r="L9" s="131">
        <v>0.1</v>
      </c>
      <c r="M9" s="49">
        <f t="shared" si="1"/>
        <v>0</v>
      </c>
      <c r="N9" s="49">
        <f t="shared" si="2"/>
        <v>-81000</v>
      </c>
      <c r="O9" s="132">
        <v>44043</v>
      </c>
      <c r="P9" s="133" t="s">
        <v>232</v>
      </c>
      <c r="Q9" s="62" t="s">
        <v>72</v>
      </c>
      <c r="R9" s="62" t="s">
        <v>70</v>
      </c>
      <c r="S9" s="129">
        <v>44043</v>
      </c>
      <c r="T9" s="63" t="s">
        <v>72</v>
      </c>
      <c r="U9" s="55"/>
      <c r="V9" s="63" t="s">
        <v>71</v>
      </c>
      <c r="W9" s="58"/>
    </row>
    <row r="10" spans="1:23" ht="20.100000000000001" customHeight="1" x14ac:dyDescent="0.15">
      <c r="B10" s="14">
        <f t="shared" si="0"/>
        <v>7</v>
      </c>
      <c r="C10" s="55">
        <v>44013</v>
      </c>
      <c r="D10" s="56" t="s">
        <v>250</v>
      </c>
      <c r="E10" s="57" t="s">
        <v>199</v>
      </c>
      <c r="F10" s="57" t="s">
        <v>66</v>
      </c>
      <c r="G10" s="57" t="s">
        <v>16</v>
      </c>
      <c r="H10" s="58" t="s">
        <v>216</v>
      </c>
      <c r="I10" s="59" t="s">
        <v>219</v>
      </c>
      <c r="J10" s="60" t="s">
        <v>64</v>
      </c>
      <c r="K10" s="61">
        <v>-6050</v>
      </c>
      <c r="L10" s="127">
        <v>0.1</v>
      </c>
      <c r="M10" s="49">
        <f t="shared" si="1"/>
        <v>-550</v>
      </c>
      <c r="N10" s="49">
        <f t="shared" si="2"/>
        <v>-5500</v>
      </c>
      <c r="O10" s="55">
        <v>44032</v>
      </c>
      <c r="P10" s="65" t="s">
        <v>235</v>
      </c>
      <c r="Q10" s="62" t="s">
        <v>72</v>
      </c>
      <c r="R10" s="62" t="s">
        <v>114</v>
      </c>
      <c r="S10" s="55"/>
      <c r="T10" s="63" t="s">
        <v>72</v>
      </c>
      <c r="U10" s="55"/>
      <c r="V10" s="63" t="s">
        <v>71</v>
      </c>
      <c r="W10" s="58"/>
    </row>
    <row r="11" spans="1:23" ht="20.100000000000001" customHeight="1" x14ac:dyDescent="0.15">
      <c r="B11" s="14">
        <f t="shared" si="0"/>
        <v>8</v>
      </c>
      <c r="C11" s="55">
        <v>44013</v>
      </c>
      <c r="D11" s="56" t="s">
        <v>250</v>
      </c>
      <c r="E11" s="57" t="s">
        <v>199</v>
      </c>
      <c r="F11" s="57" t="s">
        <v>66</v>
      </c>
      <c r="G11" s="57" t="s">
        <v>16</v>
      </c>
      <c r="H11" s="58" t="s">
        <v>216</v>
      </c>
      <c r="I11" s="59" t="s">
        <v>215</v>
      </c>
      <c r="J11" s="60" t="s">
        <v>64</v>
      </c>
      <c r="K11" s="61">
        <v>-11030</v>
      </c>
      <c r="L11" s="127">
        <v>0.1</v>
      </c>
      <c r="M11" s="49">
        <f t="shared" si="1"/>
        <v>-1003</v>
      </c>
      <c r="N11" s="49">
        <f t="shared" si="2"/>
        <v>-10027</v>
      </c>
      <c r="O11" s="55">
        <v>44032</v>
      </c>
      <c r="P11" s="65" t="s">
        <v>235</v>
      </c>
      <c r="Q11" s="62" t="s">
        <v>72</v>
      </c>
      <c r="R11" s="62" t="s">
        <v>114</v>
      </c>
      <c r="S11" s="55"/>
      <c r="T11" s="63" t="s">
        <v>72</v>
      </c>
      <c r="U11" s="55"/>
      <c r="V11" s="63" t="s">
        <v>71</v>
      </c>
      <c r="W11" s="58"/>
    </row>
    <row r="12" spans="1:23" ht="20.100000000000001" customHeight="1" x14ac:dyDescent="0.15">
      <c r="B12" s="128">
        <f t="shared" si="0"/>
        <v>9</v>
      </c>
      <c r="C12" s="129">
        <v>44013</v>
      </c>
      <c r="D12" s="56" t="s">
        <v>250</v>
      </c>
      <c r="E12" s="57" t="s">
        <v>200</v>
      </c>
      <c r="F12" s="57" t="s">
        <v>19</v>
      </c>
      <c r="G12" s="57" t="s">
        <v>22</v>
      </c>
      <c r="H12" s="101" t="s">
        <v>249</v>
      </c>
      <c r="I12" s="100" t="s">
        <v>91</v>
      </c>
      <c r="J12" s="60" t="s">
        <v>64</v>
      </c>
      <c r="K12" s="130">
        <v>-8964</v>
      </c>
      <c r="L12" s="131">
        <v>0.1</v>
      </c>
      <c r="M12" s="49">
        <f t="shared" si="1"/>
        <v>-815</v>
      </c>
      <c r="N12" s="49">
        <f t="shared" si="2"/>
        <v>-8149</v>
      </c>
      <c r="O12" s="132">
        <v>44047</v>
      </c>
      <c r="P12" s="133" t="s">
        <v>235</v>
      </c>
      <c r="Q12" s="62" t="s">
        <v>72</v>
      </c>
      <c r="R12" s="62" t="s">
        <v>70</v>
      </c>
      <c r="S12" s="129"/>
      <c r="T12" s="63" t="s">
        <v>72</v>
      </c>
      <c r="U12" s="55"/>
      <c r="V12" s="63" t="s">
        <v>71</v>
      </c>
      <c r="W12" s="58"/>
    </row>
    <row r="13" spans="1:23" ht="20.100000000000001" customHeight="1" x14ac:dyDescent="0.15">
      <c r="B13" s="128">
        <f t="shared" si="0"/>
        <v>10</v>
      </c>
      <c r="C13" s="129">
        <v>44013</v>
      </c>
      <c r="D13" s="56" t="s">
        <v>250</v>
      </c>
      <c r="E13" s="57" t="s">
        <v>200</v>
      </c>
      <c r="F13" s="57" t="s">
        <v>19</v>
      </c>
      <c r="G13" s="57" t="s">
        <v>8</v>
      </c>
      <c r="H13" s="101" t="s">
        <v>249</v>
      </c>
      <c r="I13" s="100" t="s">
        <v>92</v>
      </c>
      <c r="J13" s="60" t="s">
        <v>64</v>
      </c>
      <c r="K13" s="130">
        <v>-9133</v>
      </c>
      <c r="L13" s="131">
        <v>0.1</v>
      </c>
      <c r="M13" s="49">
        <f t="shared" si="1"/>
        <v>-830</v>
      </c>
      <c r="N13" s="49">
        <f t="shared" si="2"/>
        <v>-8303</v>
      </c>
      <c r="O13" s="132">
        <v>44063</v>
      </c>
      <c r="P13" s="133" t="s">
        <v>235</v>
      </c>
      <c r="Q13" s="62" t="s">
        <v>72</v>
      </c>
      <c r="R13" s="62" t="s">
        <v>114</v>
      </c>
      <c r="S13" s="129"/>
      <c r="T13" s="63" t="s">
        <v>72</v>
      </c>
      <c r="U13" s="55"/>
      <c r="V13" s="63" t="s">
        <v>71</v>
      </c>
      <c r="W13" s="58"/>
    </row>
    <row r="14" spans="1:23" ht="20.100000000000001" customHeight="1" x14ac:dyDescent="0.15">
      <c r="B14" s="14">
        <f t="shared" si="0"/>
        <v>11</v>
      </c>
      <c r="C14" s="55">
        <v>44013</v>
      </c>
      <c r="D14" s="56" t="s">
        <v>90</v>
      </c>
      <c r="E14" s="57" t="s">
        <v>186</v>
      </c>
      <c r="F14" s="57" t="s">
        <v>187</v>
      </c>
      <c r="G14" s="57" t="s">
        <v>191</v>
      </c>
      <c r="H14" s="58" t="s">
        <v>130</v>
      </c>
      <c r="I14" s="59" t="s">
        <v>131</v>
      </c>
      <c r="J14" s="60" t="s">
        <v>64</v>
      </c>
      <c r="K14" s="61">
        <v>-25300</v>
      </c>
      <c r="L14" s="127">
        <v>0.1</v>
      </c>
      <c r="M14" s="49">
        <f t="shared" si="1"/>
        <v>-2300</v>
      </c>
      <c r="N14" s="49">
        <f t="shared" si="2"/>
        <v>-23000</v>
      </c>
      <c r="O14" s="55">
        <v>44074</v>
      </c>
      <c r="P14" s="65" t="s">
        <v>232</v>
      </c>
      <c r="Q14" s="62" t="s">
        <v>72</v>
      </c>
      <c r="R14" s="62" t="s">
        <v>114</v>
      </c>
      <c r="S14" s="55"/>
      <c r="T14" s="63" t="s">
        <v>72</v>
      </c>
      <c r="U14" s="55"/>
      <c r="V14" s="63" t="s">
        <v>71</v>
      </c>
      <c r="W14" s="58"/>
    </row>
    <row r="15" spans="1:23" ht="20.100000000000001" customHeight="1" x14ac:dyDescent="0.15">
      <c r="B15" s="14">
        <f t="shared" si="0"/>
        <v>12</v>
      </c>
      <c r="C15" s="55">
        <v>44013</v>
      </c>
      <c r="D15" s="56" t="s">
        <v>90</v>
      </c>
      <c r="E15" s="57" t="s">
        <v>186</v>
      </c>
      <c r="F15" s="57" t="s">
        <v>187</v>
      </c>
      <c r="G15" s="57" t="s">
        <v>191</v>
      </c>
      <c r="H15" s="58" t="s">
        <v>251</v>
      </c>
      <c r="I15" s="64" t="s">
        <v>252</v>
      </c>
      <c r="J15" s="60" t="s">
        <v>64</v>
      </c>
      <c r="K15" s="61">
        <v>-1968</v>
      </c>
      <c r="L15" s="127">
        <v>0.1</v>
      </c>
      <c r="M15" s="49">
        <f t="shared" si="1"/>
        <v>-179</v>
      </c>
      <c r="N15" s="49">
        <f t="shared" si="2"/>
        <v>-1789</v>
      </c>
      <c r="O15" s="55">
        <v>44074</v>
      </c>
      <c r="P15" s="65" t="s">
        <v>232</v>
      </c>
      <c r="Q15" s="62" t="s">
        <v>72</v>
      </c>
      <c r="R15" s="62" t="s">
        <v>114</v>
      </c>
      <c r="S15" s="55"/>
      <c r="T15" s="63" t="s">
        <v>72</v>
      </c>
      <c r="U15" s="55"/>
      <c r="V15" s="63" t="s">
        <v>71</v>
      </c>
      <c r="W15" s="58"/>
    </row>
    <row r="16" spans="1:23" ht="20.100000000000001" customHeight="1" x14ac:dyDescent="0.15">
      <c r="B16" s="128">
        <f t="shared" si="0"/>
        <v>13</v>
      </c>
      <c r="C16" s="129">
        <v>44013</v>
      </c>
      <c r="D16" s="56" t="s">
        <v>90</v>
      </c>
      <c r="E16" s="57" t="s">
        <v>200</v>
      </c>
      <c r="F16" s="57" t="s">
        <v>154</v>
      </c>
      <c r="G16" s="57" t="s">
        <v>20</v>
      </c>
      <c r="H16" s="101" t="s">
        <v>217</v>
      </c>
      <c r="I16" s="100" t="s">
        <v>239</v>
      </c>
      <c r="J16" s="60" t="s">
        <v>64</v>
      </c>
      <c r="K16" s="130">
        <v>-412085</v>
      </c>
      <c r="L16" s="131">
        <v>0.1</v>
      </c>
      <c r="M16" s="49">
        <f t="shared" si="1"/>
        <v>-37462</v>
      </c>
      <c r="N16" s="49">
        <f t="shared" si="2"/>
        <v>-374623</v>
      </c>
      <c r="O16" s="132">
        <v>44043</v>
      </c>
      <c r="P16" s="133" t="s">
        <v>232</v>
      </c>
      <c r="Q16" s="62" t="s">
        <v>72</v>
      </c>
      <c r="R16" s="62" t="s">
        <v>70</v>
      </c>
      <c r="S16" s="129">
        <v>44043</v>
      </c>
      <c r="T16" s="63" t="s">
        <v>72</v>
      </c>
      <c r="U16" s="55"/>
      <c r="V16" s="63" t="s">
        <v>71</v>
      </c>
      <c r="W16" s="58"/>
    </row>
    <row r="17" spans="2:23" ht="20.100000000000001" customHeight="1" x14ac:dyDescent="0.15">
      <c r="B17" s="128">
        <f t="shared" si="0"/>
        <v>14</v>
      </c>
      <c r="C17" s="129">
        <v>44013</v>
      </c>
      <c r="D17" s="56" t="s">
        <v>90</v>
      </c>
      <c r="E17" s="57" t="s">
        <v>200</v>
      </c>
      <c r="F17" s="57" t="s">
        <v>154</v>
      </c>
      <c r="G17" s="57" t="s">
        <v>20</v>
      </c>
      <c r="H17" s="101" t="s">
        <v>217</v>
      </c>
      <c r="I17" s="100" t="s">
        <v>218</v>
      </c>
      <c r="J17" s="60" t="s">
        <v>77</v>
      </c>
      <c r="K17" s="130">
        <v>71143</v>
      </c>
      <c r="L17" s="131">
        <v>0.1</v>
      </c>
      <c r="M17" s="49">
        <f t="shared" si="1"/>
        <v>0</v>
      </c>
      <c r="N17" s="49">
        <f t="shared" si="2"/>
        <v>71143</v>
      </c>
      <c r="O17" s="132">
        <v>44043</v>
      </c>
      <c r="P17" s="133" t="s">
        <v>232</v>
      </c>
      <c r="Q17" s="62" t="s">
        <v>72</v>
      </c>
      <c r="R17" s="62" t="s">
        <v>70</v>
      </c>
      <c r="S17" s="129">
        <v>44043</v>
      </c>
      <c r="T17" s="63" t="s">
        <v>72</v>
      </c>
      <c r="U17" s="55"/>
      <c r="V17" s="63" t="s">
        <v>71</v>
      </c>
      <c r="W17" s="58"/>
    </row>
    <row r="18" spans="2:23" ht="20.100000000000001" customHeight="1" x14ac:dyDescent="0.15">
      <c r="B18" s="128">
        <f t="shared" si="0"/>
        <v>15</v>
      </c>
      <c r="C18" s="129">
        <v>44013</v>
      </c>
      <c r="D18" s="56" t="s">
        <v>90</v>
      </c>
      <c r="E18" s="57" t="s">
        <v>200</v>
      </c>
      <c r="F18" s="57" t="s">
        <v>154</v>
      </c>
      <c r="G18" s="57" t="s">
        <v>20</v>
      </c>
      <c r="H18" s="101" t="s">
        <v>217</v>
      </c>
      <c r="I18" s="100" t="s">
        <v>238</v>
      </c>
      <c r="J18" s="60" t="s">
        <v>64</v>
      </c>
      <c r="K18" s="130">
        <v>-86711</v>
      </c>
      <c r="L18" s="131">
        <v>0.1</v>
      </c>
      <c r="M18" s="49">
        <f t="shared" si="1"/>
        <v>-7883</v>
      </c>
      <c r="N18" s="49">
        <f t="shared" si="2"/>
        <v>-78828</v>
      </c>
      <c r="O18" s="132">
        <v>44043</v>
      </c>
      <c r="P18" s="133" t="s">
        <v>232</v>
      </c>
      <c r="Q18" s="62" t="s">
        <v>72</v>
      </c>
      <c r="R18" s="62" t="s">
        <v>70</v>
      </c>
      <c r="S18" s="129">
        <v>44043</v>
      </c>
      <c r="T18" s="63" t="s">
        <v>72</v>
      </c>
      <c r="U18" s="55"/>
      <c r="V18" s="63" t="s">
        <v>71</v>
      </c>
      <c r="W18" s="58"/>
    </row>
    <row r="19" spans="2:23" ht="20.100000000000001" customHeight="1" x14ac:dyDescent="0.15">
      <c r="B19" s="128">
        <f t="shared" si="0"/>
        <v>16</v>
      </c>
      <c r="C19" s="129">
        <v>44013</v>
      </c>
      <c r="D19" s="56" t="s">
        <v>90</v>
      </c>
      <c r="E19" s="57" t="s">
        <v>200</v>
      </c>
      <c r="F19" s="57" t="s">
        <v>19</v>
      </c>
      <c r="G19" s="57" t="s">
        <v>240</v>
      </c>
      <c r="H19" s="101" t="s">
        <v>217</v>
      </c>
      <c r="I19" s="100" t="s">
        <v>236</v>
      </c>
      <c r="J19" s="60" t="s">
        <v>64</v>
      </c>
      <c r="K19" s="130">
        <v>-19958</v>
      </c>
      <c r="L19" s="131">
        <v>0.1</v>
      </c>
      <c r="M19" s="49">
        <f t="shared" si="1"/>
        <v>-1814</v>
      </c>
      <c r="N19" s="49">
        <f t="shared" si="2"/>
        <v>-18144</v>
      </c>
      <c r="O19" s="132">
        <v>44032</v>
      </c>
      <c r="P19" s="133" t="s">
        <v>232</v>
      </c>
      <c r="Q19" s="62" t="s">
        <v>72</v>
      </c>
      <c r="R19" s="62" t="s">
        <v>70</v>
      </c>
      <c r="S19" s="129">
        <v>44043</v>
      </c>
      <c r="T19" s="63" t="s">
        <v>72</v>
      </c>
      <c r="U19" s="55"/>
      <c r="V19" s="63" t="s">
        <v>71</v>
      </c>
      <c r="W19" s="58"/>
    </row>
    <row r="20" spans="2:23" ht="20.100000000000001" customHeight="1" x14ac:dyDescent="0.15">
      <c r="B20" s="128">
        <f t="shared" si="0"/>
        <v>17</v>
      </c>
      <c r="C20" s="129">
        <v>44013</v>
      </c>
      <c r="D20" s="56" t="s">
        <v>90</v>
      </c>
      <c r="E20" s="57" t="s">
        <v>200</v>
      </c>
      <c r="F20" s="57" t="s">
        <v>19</v>
      </c>
      <c r="G20" s="57" t="s">
        <v>240</v>
      </c>
      <c r="H20" s="101" t="s">
        <v>217</v>
      </c>
      <c r="I20" s="100" t="s">
        <v>237</v>
      </c>
      <c r="J20" s="60" t="s">
        <v>64</v>
      </c>
      <c r="K20" s="130">
        <v>-19958</v>
      </c>
      <c r="L20" s="131">
        <v>0.1</v>
      </c>
      <c r="M20" s="49">
        <f t="shared" si="1"/>
        <v>-1814</v>
      </c>
      <c r="N20" s="49">
        <f t="shared" si="2"/>
        <v>-18144</v>
      </c>
      <c r="O20" s="132">
        <v>44032</v>
      </c>
      <c r="P20" s="133" t="s">
        <v>232</v>
      </c>
      <c r="Q20" s="62" t="s">
        <v>72</v>
      </c>
      <c r="R20" s="62" t="s">
        <v>70</v>
      </c>
      <c r="S20" s="129">
        <v>44043</v>
      </c>
      <c r="T20" s="63" t="s">
        <v>72</v>
      </c>
      <c r="U20" s="55"/>
      <c r="V20" s="63" t="s">
        <v>71</v>
      </c>
      <c r="W20" s="58"/>
    </row>
    <row r="21" spans="2:23" ht="20.100000000000001" customHeight="1" x14ac:dyDescent="0.15">
      <c r="B21" s="128">
        <f t="shared" si="0"/>
        <v>18</v>
      </c>
      <c r="C21" s="129">
        <v>44013</v>
      </c>
      <c r="D21" s="56" t="s">
        <v>90</v>
      </c>
      <c r="E21" s="57" t="s">
        <v>200</v>
      </c>
      <c r="F21" s="57" t="s">
        <v>19</v>
      </c>
      <c r="G21" s="57" t="s">
        <v>246</v>
      </c>
      <c r="H21" s="101" t="s">
        <v>217</v>
      </c>
      <c r="I21" s="100" t="s">
        <v>88</v>
      </c>
      <c r="J21" s="60" t="s">
        <v>64</v>
      </c>
      <c r="K21" s="130">
        <v>-24948</v>
      </c>
      <c r="L21" s="131">
        <v>0.1</v>
      </c>
      <c r="M21" s="49">
        <f t="shared" si="1"/>
        <v>-2268</v>
      </c>
      <c r="N21" s="49">
        <f t="shared" si="2"/>
        <v>-22680</v>
      </c>
      <c r="O21" s="132">
        <v>44039</v>
      </c>
      <c r="P21" s="133" t="s">
        <v>235</v>
      </c>
      <c r="Q21" s="62" t="s">
        <v>72</v>
      </c>
      <c r="R21" s="62" t="s">
        <v>70</v>
      </c>
      <c r="S21" s="129">
        <v>44043</v>
      </c>
      <c r="T21" s="63" t="s">
        <v>72</v>
      </c>
      <c r="U21" s="55"/>
      <c r="V21" s="63" t="s">
        <v>71</v>
      </c>
      <c r="W21" s="58"/>
    </row>
    <row r="22" spans="2:23" ht="20.100000000000001" customHeight="1" x14ac:dyDescent="0.15">
      <c r="B22" s="14">
        <f t="shared" si="0"/>
        <v>19</v>
      </c>
      <c r="C22" s="55">
        <v>44013</v>
      </c>
      <c r="D22" s="56" t="s">
        <v>90</v>
      </c>
      <c r="E22" s="57" t="s">
        <v>199</v>
      </c>
      <c r="F22" s="57" t="s">
        <v>67</v>
      </c>
      <c r="G22" s="57" t="s">
        <v>153</v>
      </c>
      <c r="H22" s="58" t="s">
        <v>152</v>
      </c>
      <c r="I22" s="59" t="s">
        <v>153</v>
      </c>
      <c r="J22" s="60" t="s">
        <v>64</v>
      </c>
      <c r="K22" s="61">
        <v>-300000</v>
      </c>
      <c r="L22" s="127">
        <v>0.1</v>
      </c>
      <c r="M22" s="49">
        <f t="shared" si="1"/>
        <v>-27273</v>
      </c>
      <c r="N22" s="49">
        <f t="shared" si="2"/>
        <v>-272727</v>
      </c>
      <c r="O22" s="55"/>
      <c r="P22" s="65"/>
      <c r="Q22" s="62" t="s">
        <v>72</v>
      </c>
      <c r="R22" s="62" t="s">
        <v>114</v>
      </c>
      <c r="S22" s="55"/>
      <c r="T22" s="63" t="s">
        <v>72</v>
      </c>
      <c r="U22" s="55"/>
      <c r="V22" s="63" t="s">
        <v>71</v>
      </c>
      <c r="W22" s="58"/>
    </row>
    <row r="23" spans="2:23" ht="20.100000000000001" customHeight="1" x14ac:dyDescent="0.15">
      <c r="B23" s="14">
        <f t="shared" ref="B23:B35" si="3">ROW()-3</f>
        <v>20</v>
      </c>
      <c r="C23" s="55"/>
      <c r="D23" s="56"/>
      <c r="E23" s="57"/>
      <c r="F23" s="57"/>
      <c r="G23" s="57"/>
      <c r="H23" s="58"/>
      <c r="I23" s="59"/>
      <c r="J23" s="60"/>
      <c r="K23" s="61"/>
      <c r="L23" s="127"/>
      <c r="M23" s="49">
        <f t="shared" ref="M23:M35" si="4">IF(J23="課税", ROUND(K23-K23/(1+L23), 0), 0)</f>
        <v>0</v>
      </c>
      <c r="N23" s="49">
        <f t="shared" ref="N23:N35" si="5">K23-M23</f>
        <v>0</v>
      </c>
      <c r="O23" s="55"/>
      <c r="P23" s="65"/>
      <c r="Q23" s="62"/>
      <c r="R23" s="62"/>
      <c r="S23" s="55"/>
      <c r="T23" s="63"/>
      <c r="U23" s="55"/>
      <c r="V23" s="63"/>
      <c r="W23" s="58"/>
    </row>
    <row r="24" spans="2:23" ht="20.100000000000001" customHeight="1" x14ac:dyDescent="0.15">
      <c r="B24" s="14">
        <f t="shared" si="3"/>
        <v>21</v>
      </c>
      <c r="C24" s="55"/>
      <c r="D24" s="56"/>
      <c r="E24" s="57"/>
      <c r="F24" s="57"/>
      <c r="G24" s="57"/>
      <c r="H24" s="58"/>
      <c r="I24" s="59"/>
      <c r="J24" s="60"/>
      <c r="K24" s="61"/>
      <c r="L24" s="127"/>
      <c r="M24" s="49">
        <f t="shared" si="4"/>
        <v>0</v>
      </c>
      <c r="N24" s="49">
        <f t="shared" si="5"/>
        <v>0</v>
      </c>
      <c r="O24" s="55"/>
      <c r="P24" s="65"/>
      <c r="Q24" s="62"/>
      <c r="R24" s="62"/>
      <c r="S24" s="55"/>
      <c r="T24" s="63"/>
      <c r="U24" s="55"/>
      <c r="V24" s="63"/>
      <c r="W24" s="58"/>
    </row>
    <row r="25" spans="2:23" ht="20.100000000000001" customHeight="1" x14ac:dyDescent="0.15">
      <c r="B25" s="14">
        <f t="shared" si="3"/>
        <v>22</v>
      </c>
      <c r="C25" s="55"/>
      <c r="D25" s="56"/>
      <c r="E25" s="57"/>
      <c r="F25" s="57"/>
      <c r="G25" s="57"/>
      <c r="H25" s="58"/>
      <c r="I25" s="59"/>
      <c r="J25" s="60"/>
      <c r="K25" s="61"/>
      <c r="L25" s="127"/>
      <c r="M25" s="49">
        <f t="shared" si="4"/>
        <v>0</v>
      </c>
      <c r="N25" s="49">
        <f t="shared" si="5"/>
        <v>0</v>
      </c>
      <c r="O25" s="55"/>
      <c r="P25" s="65"/>
      <c r="Q25" s="62"/>
      <c r="R25" s="62"/>
      <c r="S25" s="55"/>
      <c r="T25" s="63"/>
      <c r="U25" s="55"/>
      <c r="V25" s="63"/>
      <c r="W25" s="58"/>
    </row>
    <row r="26" spans="2:23" ht="20.100000000000001" customHeight="1" x14ac:dyDescent="0.15">
      <c r="B26" s="14">
        <f t="shared" si="3"/>
        <v>23</v>
      </c>
      <c r="C26" s="55"/>
      <c r="D26" s="56"/>
      <c r="E26" s="57"/>
      <c r="F26" s="57"/>
      <c r="G26" s="57"/>
      <c r="H26" s="58"/>
      <c r="I26" s="59"/>
      <c r="J26" s="60"/>
      <c r="K26" s="61"/>
      <c r="L26" s="127"/>
      <c r="M26" s="49">
        <f t="shared" si="4"/>
        <v>0</v>
      </c>
      <c r="N26" s="49">
        <f t="shared" si="5"/>
        <v>0</v>
      </c>
      <c r="O26" s="55"/>
      <c r="P26" s="65"/>
      <c r="Q26" s="62"/>
      <c r="R26" s="62"/>
      <c r="S26" s="55"/>
      <c r="T26" s="63"/>
      <c r="U26" s="55"/>
      <c r="V26" s="63"/>
      <c r="W26" s="58"/>
    </row>
    <row r="27" spans="2:23" ht="20.100000000000001" customHeight="1" x14ac:dyDescent="0.15">
      <c r="B27" s="14">
        <f t="shared" si="3"/>
        <v>24</v>
      </c>
      <c r="C27" s="55"/>
      <c r="D27" s="56"/>
      <c r="E27" s="57"/>
      <c r="F27" s="57"/>
      <c r="G27" s="57"/>
      <c r="H27" s="58"/>
      <c r="I27" s="59"/>
      <c r="J27" s="60"/>
      <c r="K27" s="61"/>
      <c r="L27" s="127"/>
      <c r="M27" s="49">
        <f t="shared" si="4"/>
        <v>0</v>
      </c>
      <c r="N27" s="49">
        <f t="shared" si="5"/>
        <v>0</v>
      </c>
      <c r="O27" s="55"/>
      <c r="P27" s="65"/>
      <c r="Q27" s="62"/>
      <c r="R27" s="62"/>
      <c r="S27" s="55"/>
      <c r="T27" s="63"/>
      <c r="U27" s="55"/>
      <c r="V27" s="63"/>
      <c r="W27" s="58"/>
    </row>
    <row r="28" spans="2:23" ht="20.100000000000001" customHeight="1" x14ac:dyDescent="0.15">
      <c r="B28" s="14">
        <f t="shared" si="3"/>
        <v>25</v>
      </c>
      <c r="C28" s="55"/>
      <c r="D28" s="56"/>
      <c r="E28" s="57"/>
      <c r="F28" s="57"/>
      <c r="G28" s="57"/>
      <c r="H28" s="58"/>
      <c r="I28" s="59"/>
      <c r="J28" s="60"/>
      <c r="K28" s="61"/>
      <c r="L28" s="127"/>
      <c r="M28" s="49">
        <f t="shared" si="4"/>
        <v>0</v>
      </c>
      <c r="N28" s="49">
        <f t="shared" si="5"/>
        <v>0</v>
      </c>
      <c r="O28" s="55"/>
      <c r="P28" s="65"/>
      <c r="Q28" s="62"/>
      <c r="R28" s="62"/>
      <c r="S28" s="55"/>
      <c r="T28" s="63"/>
      <c r="U28" s="55"/>
      <c r="V28" s="63"/>
      <c r="W28" s="58"/>
    </row>
    <row r="29" spans="2:23" ht="20.100000000000001" customHeight="1" x14ac:dyDescent="0.15">
      <c r="B29" s="14">
        <f t="shared" si="3"/>
        <v>26</v>
      </c>
      <c r="C29" s="55"/>
      <c r="D29" s="56"/>
      <c r="E29" s="57"/>
      <c r="F29" s="57"/>
      <c r="G29" s="57"/>
      <c r="H29" s="58"/>
      <c r="I29" s="59"/>
      <c r="J29" s="60"/>
      <c r="K29" s="61"/>
      <c r="L29" s="127"/>
      <c r="M29" s="49">
        <f t="shared" si="4"/>
        <v>0</v>
      </c>
      <c r="N29" s="49">
        <f t="shared" si="5"/>
        <v>0</v>
      </c>
      <c r="O29" s="55"/>
      <c r="P29" s="65"/>
      <c r="Q29" s="62"/>
      <c r="R29" s="62"/>
      <c r="S29" s="55"/>
      <c r="T29" s="63"/>
      <c r="U29" s="55"/>
      <c r="V29" s="63"/>
      <c r="W29" s="58"/>
    </row>
    <row r="30" spans="2:23" ht="20.100000000000001" customHeight="1" x14ac:dyDescent="0.15">
      <c r="B30" s="14">
        <f t="shared" si="3"/>
        <v>27</v>
      </c>
      <c r="C30" s="55"/>
      <c r="D30" s="56"/>
      <c r="E30" s="57"/>
      <c r="F30" s="57"/>
      <c r="G30" s="57"/>
      <c r="H30" s="58"/>
      <c r="I30" s="59"/>
      <c r="J30" s="60"/>
      <c r="K30" s="61"/>
      <c r="L30" s="127"/>
      <c r="M30" s="49">
        <f t="shared" si="4"/>
        <v>0</v>
      </c>
      <c r="N30" s="49">
        <f t="shared" si="5"/>
        <v>0</v>
      </c>
      <c r="O30" s="55"/>
      <c r="P30" s="65"/>
      <c r="Q30" s="62"/>
      <c r="R30" s="62"/>
      <c r="S30" s="55"/>
      <c r="T30" s="63"/>
      <c r="U30" s="55"/>
      <c r="V30" s="63"/>
      <c r="W30" s="58"/>
    </row>
    <row r="31" spans="2:23" ht="20.100000000000001" customHeight="1" x14ac:dyDescent="0.15">
      <c r="B31" s="14">
        <f t="shared" si="3"/>
        <v>28</v>
      </c>
      <c r="C31" s="55"/>
      <c r="D31" s="56"/>
      <c r="E31" s="57"/>
      <c r="F31" s="57"/>
      <c r="G31" s="57"/>
      <c r="H31" s="58"/>
      <c r="I31" s="59"/>
      <c r="J31" s="60"/>
      <c r="K31" s="61"/>
      <c r="L31" s="127"/>
      <c r="M31" s="49">
        <f t="shared" si="4"/>
        <v>0</v>
      </c>
      <c r="N31" s="49">
        <f t="shared" si="5"/>
        <v>0</v>
      </c>
      <c r="O31" s="55"/>
      <c r="P31" s="65"/>
      <c r="Q31" s="62"/>
      <c r="R31" s="62"/>
      <c r="S31" s="55"/>
      <c r="T31" s="63"/>
      <c r="U31" s="55"/>
      <c r="V31" s="63"/>
      <c r="W31" s="58"/>
    </row>
    <row r="32" spans="2:23" ht="20.100000000000001" customHeight="1" x14ac:dyDescent="0.15">
      <c r="B32" s="14">
        <f t="shared" si="3"/>
        <v>29</v>
      </c>
      <c r="C32" s="55"/>
      <c r="D32" s="56"/>
      <c r="E32" s="57"/>
      <c r="F32" s="57"/>
      <c r="G32" s="57"/>
      <c r="H32" s="58"/>
      <c r="I32" s="59"/>
      <c r="J32" s="60"/>
      <c r="K32" s="61"/>
      <c r="L32" s="127"/>
      <c r="M32" s="49">
        <f t="shared" si="4"/>
        <v>0</v>
      </c>
      <c r="N32" s="49">
        <f t="shared" si="5"/>
        <v>0</v>
      </c>
      <c r="O32" s="55"/>
      <c r="P32" s="65"/>
      <c r="Q32" s="62"/>
      <c r="R32" s="62"/>
      <c r="S32" s="55"/>
      <c r="T32" s="63"/>
      <c r="U32" s="55"/>
      <c r="V32" s="63"/>
      <c r="W32" s="58"/>
    </row>
    <row r="33" spans="2:23" ht="20.100000000000001" customHeight="1" x14ac:dyDescent="0.15">
      <c r="B33" s="14">
        <f t="shared" si="3"/>
        <v>30</v>
      </c>
      <c r="C33" s="55"/>
      <c r="D33" s="56"/>
      <c r="E33" s="57"/>
      <c r="F33" s="57"/>
      <c r="G33" s="57"/>
      <c r="H33" s="58"/>
      <c r="I33" s="59"/>
      <c r="J33" s="60"/>
      <c r="K33" s="61"/>
      <c r="L33" s="127"/>
      <c r="M33" s="49">
        <f t="shared" si="4"/>
        <v>0</v>
      </c>
      <c r="N33" s="49">
        <f t="shared" si="5"/>
        <v>0</v>
      </c>
      <c r="O33" s="55"/>
      <c r="P33" s="65"/>
      <c r="Q33" s="62"/>
      <c r="R33" s="62"/>
      <c r="S33" s="55"/>
      <c r="T33" s="63"/>
      <c r="U33" s="55"/>
      <c r="V33" s="63"/>
      <c r="W33" s="58"/>
    </row>
    <row r="34" spans="2:23" ht="20.100000000000001" customHeight="1" x14ac:dyDescent="0.15">
      <c r="B34" s="14">
        <f t="shared" si="3"/>
        <v>31</v>
      </c>
      <c r="C34" s="55"/>
      <c r="D34" s="56"/>
      <c r="E34" s="57"/>
      <c r="F34" s="57"/>
      <c r="G34" s="57"/>
      <c r="H34" s="58"/>
      <c r="I34" s="59"/>
      <c r="J34" s="60"/>
      <c r="K34" s="61"/>
      <c r="L34" s="127"/>
      <c r="M34" s="49">
        <f t="shared" si="4"/>
        <v>0</v>
      </c>
      <c r="N34" s="49">
        <f t="shared" si="5"/>
        <v>0</v>
      </c>
      <c r="O34" s="55"/>
      <c r="P34" s="65"/>
      <c r="Q34" s="62"/>
      <c r="R34" s="62"/>
      <c r="S34" s="55"/>
      <c r="T34" s="63"/>
      <c r="U34" s="55"/>
      <c r="V34" s="63"/>
      <c r="W34" s="58"/>
    </row>
    <row r="35" spans="2:23" ht="20.100000000000001" customHeight="1" x14ac:dyDescent="0.15">
      <c r="B35" s="14">
        <f t="shared" si="3"/>
        <v>32</v>
      </c>
      <c r="C35" s="55"/>
      <c r="D35" s="56"/>
      <c r="E35" s="57"/>
      <c r="F35" s="57"/>
      <c r="G35" s="57"/>
      <c r="H35" s="58"/>
      <c r="I35" s="59"/>
      <c r="J35" s="60"/>
      <c r="K35" s="61"/>
      <c r="L35" s="127"/>
      <c r="M35" s="49">
        <f t="shared" si="4"/>
        <v>0</v>
      </c>
      <c r="N35" s="49">
        <f t="shared" si="5"/>
        <v>0</v>
      </c>
      <c r="O35" s="55"/>
      <c r="P35" s="65"/>
      <c r="Q35" s="62"/>
      <c r="R35" s="62"/>
      <c r="S35" s="55"/>
      <c r="T35" s="63"/>
      <c r="U35" s="55"/>
      <c r="V35" s="63"/>
      <c r="W35" s="58"/>
    </row>
    <row r="36" spans="2:23" ht="20.100000000000001" customHeight="1" x14ac:dyDescent="0.15">
      <c r="B36" s="14">
        <f t="shared" ref="B36:B67" si="6">ROW()-3</f>
        <v>33</v>
      </c>
      <c r="C36" s="55"/>
      <c r="D36" s="56"/>
      <c r="E36" s="57"/>
      <c r="F36" s="57"/>
      <c r="G36" s="57"/>
      <c r="H36" s="58"/>
      <c r="I36" s="59"/>
      <c r="J36" s="60"/>
      <c r="K36" s="61"/>
      <c r="L36" s="127"/>
      <c r="M36" s="49">
        <f t="shared" ref="M36:M67" si="7">IF(J36="課税", ROUND(K36-K36/(1+L36), 0), 0)</f>
        <v>0</v>
      </c>
      <c r="N36" s="49">
        <f t="shared" ref="N36:N67" si="8">K36-M36</f>
        <v>0</v>
      </c>
      <c r="O36" s="55"/>
      <c r="P36" s="65"/>
      <c r="Q36" s="62"/>
      <c r="R36" s="62"/>
      <c r="S36" s="55"/>
      <c r="T36" s="63"/>
      <c r="U36" s="55"/>
      <c r="V36" s="63"/>
      <c r="W36" s="58"/>
    </row>
    <row r="37" spans="2:23" ht="20.100000000000001" customHeight="1" x14ac:dyDescent="0.15">
      <c r="B37" s="14">
        <f t="shared" si="6"/>
        <v>34</v>
      </c>
      <c r="C37" s="55"/>
      <c r="D37" s="56"/>
      <c r="E37" s="57"/>
      <c r="F37" s="57"/>
      <c r="G37" s="57"/>
      <c r="H37" s="58"/>
      <c r="I37" s="59"/>
      <c r="J37" s="60"/>
      <c r="K37" s="61"/>
      <c r="L37" s="127"/>
      <c r="M37" s="49">
        <f t="shared" si="7"/>
        <v>0</v>
      </c>
      <c r="N37" s="49">
        <f t="shared" si="8"/>
        <v>0</v>
      </c>
      <c r="O37" s="55"/>
      <c r="P37" s="65"/>
      <c r="Q37" s="62"/>
      <c r="R37" s="62"/>
      <c r="S37" s="55"/>
      <c r="T37" s="63"/>
      <c r="U37" s="55"/>
      <c r="V37" s="63"/>
      <c r="W37" s="58"/>
    </row>
    <row r="38" spans="2:23" ht="20.100000000000001" customHeight="1" x14ac:dyDescent="0.15">
      <c r="B38" s="14">
        <f t="shared" si="6"/>
        <v>35</v>
      </c>
      <c r="C38" s="55"/>
      <c r="D38" s="56"/>
      <c r="E38" s="57"/>
      <c r="F38" s="57"/>
      <c r="G38" s="57"/>
      <c r="H38" s="58"/>
      <c r="I38" s="59"/>
      <c r="J38" s="60"/>
      <c r="K38" s="61"/>
      <c r="L38" s="127"/>
      <c r="M38" s="49">
        <f t="shared" si="7"/>
        <v>0</v>
      </c>
      <c r="N38" s="49">
        <f t="shared" si="8"/>
        <v>0</v>
      </c>
      <c r="O38" s="55"/>
      <c r="P38" s="65"/>
      <c r="Q38" s="62"/>
      <c r="R38" s="62"/>
      <c r="S38" s="55"/>
      <c r="T38" s="63"/>
      <c r="U38" s="55"/>
      <c r="V38" s="63"/>
      <c r="W38" s="58"/>
    </row>
    <row r="39" spans="2:23" ht="20.100000000000001" customHeight="1" x14ac:dyDescent="0.15">
      <c r="B39" s="14">
        <f t="shared" si="6"/>
        <v>36</v>
      </c>
      <c r="C39" s="55"/>
      <c r="D39" s="56"/>
      <c r="E39" s="57"/>
      <c r="F39" s="57"/>
      <c r="G39" s="57"/>
      <c r="H39" s="58"/>
      <c r="I39" s="59"/>
      <c r="J39" s="60"/>
      <c r="K39" s="61"/>
      <c r="L39" s="127"/>
      <c r="M39" s="49">
        <f t="shared" si="7"/>
        <v>0</v>
      </c>
      <c r="N39" s="49">
        <f t="shared" si="8"/>
        <v>0</v>
      </c>
      <c r="O39" s="55"/>
      <c r="P39" s="65"/>
      <c r="Q39" s="62"/>
      <c r="R39" s="62"/>
      <c r="S39" s="55"/>
      <c r="T39" s="63"/>
      <c r="U39" s="55"/>
      <c r="V39" s="63"/>
      <c r="W39" s="58"/>
    </row>
    <row r="40" spans="2:23" ht="20.100000000000001" customHeight="1" x14ac:dyDescent="0.15">
      <c r="B40" s="14">
        <f t="shared" si="6"/>
        <v>37</v>
      </c>
      <c r="C40" s="55"/>
      <c r="D40" s="56"/>
      <c r="E40" s="57"/>
      <c r="F40" s="57"/>
      <c r="G40" s="57"/>
      <c r="H40" s="58"/>
      <c r="I40" s="59"/>
      <c r="J40" s="60"/>
      <c r="K40" s="61"/>
      <c r="L40" s="127"/>
      <c r="M40" s="49">
        <f t="shared" si="7"/>
        <v>0</v>
      </c>
      <c r="N40" s="49">
        <f t="shared" si="8"/>
        <v>0</v>
      </c>
      <c r="O40" s="55"/>
      <c r="P40" s="65"/>
      <c r="Q40" s="62"/>
      <c r="R40" s="62"/>
      <c r="S40" s="55"/>
      <c r="T40" s="63"/>
      <c r="U40" s="55"/>
      <c r="V40" s="63"/>
      <c r="W40" s="58"/>
    </row>
    <row r="41" spans="2:23" ht="20.100000000000001" customHeight="1" x14ac:dyDescent="0.15">
      <c r="B41" s="14">
        <f t="shared" si="6"/>
        <v>38</v>
      </c>
      <c r="C41" s="55"/>
      <c r="D41" s="56"/>
      <c r="E41" s="57"/>
      <c r="F41" s="57"/>
      <c r="G41" s="57"/>
      <c r="H41" s="58"/>
      <c r="I41" s="59"/>
      <c r="J41" s="60"/>
      <c r="K41" s="61"/>
      <c r="L41" s="127"/>
      <c r="M41" s="49">
        <f t="shared" si="7"/>
        <v>0</v>
      </c>
      <c r="N41" s="49">
        <f t="shared" si="8"/>
        <v>0</v>
      </c>
      <c r="O41" s="55"/>
      <c r="P41" s="65"/>
      <c r="Q41" s="62"/>
      <c r="R41" s="62"/>
      <c r="S41" s="55"/>
      <c r="T41" s="63"/>
      <c r="U41" s="55"/>
      <c r="V41" s="63"/>
      <c r="W41" s="58"/>
    </row>
    <row r="42" spans="2:23" ht="20.100000000000001" customHeight="1" x14ac:dyDescent="0.15">
      <c r="B42" s="14">
        <f t="shared" si="6"/>
        <v>39</v>
      </c>
      <c r="C42" s="55"/>
      <c r="D42" s="56"/>
      <c r="E42" s="57"/>
      <c r="F42" s="57"/>
      <c r="G42" s="57"/>
      <c r="H42" s="58"/>
      <c r="I42" s="59"/>
      <c r="J42" s="60"/>
      <c r="K42" s="61"/>
      <c r="L42" s="127"/>
      <c r="M42" s="49">
        <f t="shared" si="7"/>
        <v>0</v>
      </c>
      <c r="N42" s="49">
        <f t="shared" si="8"/>
        <v>0</v>
      </c>
      <c r="O42" s="55"/>
      <c r="P42" s="65"/>
      <c r="Q42" s="62"/>
      <c r="R42" s="62"/>
      <c r="S42" s="55"/>
      <c r="T42" s="63"/>
      <c r="U42" s="55"/>
      <c r="V42" s="63"/>
      <c r="W42" s="58"/>
    </row>
    <row r="43" spans="2:23" ht="20.100000000000001" customHeight="1" x14ac:dyDescent="0.15">
      <c r="B43" s="14">
        <f t="shared" si="6"/>
        <v>40</v>
      </c>
      <c r="C43" s="55"/>
      <c r="D43" s="56"/>
      <c r="E43" s="57"/>
      <c r="F43" s="57"/>
      <c r="G43" s="57"/>
      <c r="H43" s="58"/>
      <c r="I43" s="59"/>
      <c r="J43" s="60"/>
      <c r="K43" s="61"/>
      <c r="L43" s="127"/>
      <c r="M43" s="49">
        <f t="shared" si="7"/>
        <v>0</v>
      </c>
      <c r="N43" s="49">
        <f t="shared" si="8"/>
        <v>0</v>
      </c>
      <c r="O43" s="55"/>
      <c r="P43" s="65"/>
      <c r="Q43" s="62"/>
      <c r="R43" s="62"/>
      <c r="S43" s="55"/>
      <c r="T43" s="63"/>
      <c r="U43" s="55"/>
      <c r="V43" s="63"/>
      <c r="W43" s="58"/>
    </row>
    <row r="44" spans="2:23" ht="20.100000000000001" customHeight="1" x14ac:dyDescent="0.15">
      <c r="B44" s="14">
        <f t="shared" si="6"/>
        <v>41</v>
      </c>
      <c r="C44" s="55"/>
      <c r="D44" s="56"/>
      <c r="E44" s="57"/>
      <c r="F44" s="57"/>
      <c r="G44" s="57"/>
      <c r="H44" s="58"/>
      <c r="I44" s="59"/>
      <c r="J44" s="60"/>
      <c r="K44" s="61"/>
      <c r="L44" s="127"/>
      <c r="M44" s="49">
        <f t="shared" si="7"/>
        <v>0</v>
      </c>
      <c r="N44" s="49">
        <f t="shared" si="8"/>
        <v>0</v>
      </c>
      <c r="O44" s="55"/>
      <c r="P44" s="65"/>
      <c r="Q44" s="62"/>
      <c r="R44" s="62"/>
      <c r="S44" s="55"/>
      <c r="T44" s="63"/>
      <c r="U44" s="55"/>
      <c r="V44" s="63"/>
      <c r="W44" s="58"/>
    </row>
    <row r="45" spans="2:23" ht="20.100000000000001" customHeight="1" x14ac:dyDescent="0.15">
      <c r="B45" s="14">
        <f t="shared" si="6"/>
        <v>42</v>
      </c>
      <c r="C45" s="55"/>
      <c r="D45" s="56"/>
      <c r="E45" s="57"/>
      <c r="F45" s="57"/>
      <c r="G45" s="57"/>
      <c r="H45" s="58"/>
      <c r="I45" s="59"/>
      <c r="J45" s="60"/>
      <c r="K45" s="61"/>
      <c r="L45" s="127"/>
      <c r="M45" s="49">
        <f t="shared" si="7"/>
        <v>0</v>
      </c>
      <c r="N45" s="49">
        <f t="shared" si="8"/>
        <v>0</v>
      </c>
      <c r="O45" s="55"/>
      <c r="P45" s="65"/>
      <c r="Q45" s="62"/>
      <c r="R45" s="62"/>
      <c r="S45" s="55"/>
      <c r="T45" s="63"/>
      <c r="U45" s="55"/>
      <c r="V45" s="63"/>
      <c r="W45" s="58"/>
    </row>
    <row r="46" spans="2:23" ht="20.100000000000001" customHeight="1" x14ac:dyDescent="0.15">
      <c r="B46" s="14">
        <f t="shared" si="6"/>
        <v>43</v>
      </c>
      <c r="C46" s="55"/>
      <c r="D46" s="56"/>
      <c r="E46" s="57"/>
      <c r="F46" s="57"/>
      <c r="G46" s="57"/>
      <c r="H46" s="58"/>
      <c r="I46" s="59"/>
      <c r="J46" s="60"/>
      <c r="K46" s="61"/>
      <c r="L46" s="127"/>
      <c r="M46" s="49">
        <f t="shared" si="7"/>
        <v>0</v>
      </c>
      <c r="N46" s="49">
        <f t="shared" si="8"/>
        <v>0</v>
      </c>
      <c r="O46" s="55"/>
      <c r="P46" s="65"/>
      <c r="Q46" s="62"/>
      <c r="R46" s="62"/>
      <c r="S46" s="55"/>
      <c r="T46" s="63"/>
      <c r="U46" s="55"/>
      <c r="V46" s="63"/>
      <c r="W46" s="58"/>
    </row>
    <row r="47" spans="2:23" ht="20.100000000000001" customHeight="1" x14ac:dyDescent="0.15">
      <c r="B47" s="14">
        <f t="shared" si="6"/>
        <v>44</v>
      </c>
      <c r="C47" s="55"/>
      <c r="D47" s="56"/>
      <c r="E47" s="57"/>
      <c r="F47" s="57"/>
      <c r="G47" s="57"/>
      <c r="H47" s="58"/>
      <c r="I47" s="59"/>
      <c r="J47" s="60"/>
      <c r="K47" s="61"/>
      <c r="L47" s="127"/>
      <c r="M47" s="49">
        <f t="shared" si="7"/>
        <v>0</v>
      </c>
      <c r="N47" s="49">
        <f t="shared" si="8"/>
        <v>0</v>
      </c>
      <c r="O47" s="55"/>
      <c r="P47" s="65"/>
      <c r="Q47" s="62"/>
      <c r="R47" s="62"/>
      <c r="S47" s="55"/>
      <c r="T47" s="63"/>
      <c r="U47" s="55"/>
      <c r="V47" s="63"/>
      <c r="W47" s="58"/>
    </row>
    <row r="48" spans="2:23" ht="20.100000000000001" customHeight="1" x14ac:dyDescent="0.15">
      <c r="B48" s="14">
        <f t="shared" si="6"/>
        <v>45</v>
      </c>
      <c r="C48" s="55"/>
      <c r="D48" s="56"/>
      <c r="E48" s="57"/>
      <c r="F48" s="57"/>
      <c r="G48" s="57"/>
      <c r="H48" s="58"/>
      <c r="I48" s="59"/>
      <c r="J48" s="60"/>
      <c r="K48" s="61"/>
      <c r="L48" s="127"/>
      <c r="M48" s="49">
        <f t="shared" si="7"/>
        <v>0</v>
      </c>
      <c r="N48" s="49">
        <f t="shared" si="8"/>
        <v>0</v>
      </c>
      <c r="O48" s="55"/>
      <c r="P48" s="65"/>
      <c r="Q48" s="62"/>
      <c r="R48" s="62"/>
      <c r="S48" s="55"/>
      <c r="T48" s="63"/>
      <c r="U48" s="55"/>
      <c r="V48" s="63"/>
      <c r="W48" s="58"/>
    </row>
    <row r="49" spans="2:23" ht="20.100000000000001" customHeight="1" x14ac:dyDescent="0.15">
      <c r="B49" s="14">
        <f t="shared" si="6"/>
        <v>46</v>
      </c>
      <c r="C49" s="55"/>
      <c r="D49" s="56"/>
      <c r="E49" s="57"/>
      <c r="F49" s="57"/>
      <c r="G49" s="57"/>
      <c r="H49" s="58"/>
      <c r="I49" s="59"/>
      <c r="J49" s="60"/>
      <c r="K49" s="61"/>
      <c r="L49" s="127"/>
      <c r="M49" s="49">
        <f t="shared" si="7"/>
        <v>0</v>
      </c>
      <c r="N49" s="49">
        <f t="shared" si="8"/>
        <v>0</v>
      </c>
      <c r="O49" s="55"/>
      <c r="P49" s="65"/>
      <c r="Q49" s="62"/>
      <c r="R49" s="62"/>
      <c r="S49" s="55"/>
      <c r="T49" s="63"/>
      <c r="U49" s="55"/>
      <c r="V49" s="63"/>
      <c r="W49" s="58"/>
    </row>
    <row r="50" spans="2:23" ht="20.100000000000001" customHeight="1" x14ac:dyDescent="0.15">
      <c r="B50" s="14">
        <f t="shared" si="6"/>
        <v>47</v>
      </c>
      <c r="C50" s="55"/>
      <c r="D50" s="56"/>
      <c r="E50" s="57"/>
      <c r="F50" s="57"/>
      <c r="G50" s="57"/>
      <c r="H50" s="58"/>
      <c r="I50" s="59"/>
      <c r="J50" s="60"/>
      <c r="K50" s="61"/>
      <c r="L50" s="127"/>
      <c r="M50" s="49">
        <f t="shared" si="7"/>
        <v>0</v>
      </c>
      <c r="N50" s="49">
        <f t="shared" si="8"/>
        <v>0</v>
      </c>
      <c r="O50" s="55"/>
      <c r="P50" s="65"/>
      <c r="Q50" s="62"/>
      <c r="R50" s="62"/>
      <c r="S50" s="55"/>
      <c r="T50" s="63"/>
      <c r="U50" s="55"/>
      <c r="V50" s="63"/>
      <c r="W50" s="58"/>
    </row>
    <row r="51" spans="2:23" ht="20.100000000000001" customHeight="1" x14ac:dyDescent="0.15">
      <c r="B51" s="14">
        <f t="shared" si="6"/>
        <v>48</v>
      </c>
      <c r="C51" s="55"/>
      <c r="D51" s="56"/>
      <c r="E51" s="57"/>
      <c r="F51" s="57"/>
      <c r="G51" s="57"/>
      <c r="H51" s="58"/>
      <c r="I51" s="59"/>
      <c r="J51" s="60"/>
      <c r="K51" s="61"/>
      <c r="L51" s="127"/>
      <c r="M51" s="49">
        <f t="shared" si="7"/>
        <v>0</v>
      </c>
      <c r="N51" s="49">
        <f t="shared" si="8"/>
        <v>0</v>
      </c>
      <c r="O51" s="55"/>
      <c r="P51" s="65"/>
      <c r="Q51" s="62"/>
      <c r="R51" s="62"/>
      <c r="S51" s="55"/>
      <c r="T51" s="63"/>
      <c r="U51" s="55"/>
      <c r="V51" s="63"/>
      <c r="W51" s="58"/>
    </row>
    <row r="52" spans="2:23" ht="20.100000000000001" customHeight="1" x14ac:dyDescent="0.15">
      <c r="B52" s="14">
        <f t="shared" si="6"/>
        <v>49</v>
      </c>
      <c r="C52" s="55"/>
      <c r="D52" s="56"/>
      <c r="E52" s="57"/>
      <c r="F52" s="57"/>
      <c r="G52" s="57"/>
      <c r="H52" s="58"/>
      <c r="I52" s="59"/>
      <c r="J52" s="60"/>
      <c r="K52" s="61"/>
      <c r="L52" s="127"/>
      <c r="M52" s="49">
        <f t="shared" si="7"/>
        <v>0</v>
      </c>
      <c r="N52" s="49">
        <f t="shared" si="8"/>
        <v>0</v>
      </c>
      <c r="O52" s="55"/>
      <c r="P52" s="65"/>
      <c r="Q52" s="62"/>
      <c r="R52" s="62"/>
      <c r="S52" s="55"/>
      <c r="T52" s="63"/>
      <c r="U52" s="55"/>
      <c r="V52" s="63"/>
      <c r="W52" s="58"/>
    </row>
    <row r="53" spans="2:23" ht="20.100000000000001" customHeight="1" x14ac:dyDescent="0.15">
      <c r="B53" s="14">
        <f t="shared" si="6"/>
        <v>50</v>
      </c>
      <c r="C53" s="55"/>
      <c r="D53" s="56"/>
      <c r="E53" s="57"/>
      <c r="F53" s="57"/>
      <c r="G53" s="57"/>
      <c r="H53" s="58"/>
      <c r="I53" s="59"/>
      <c r="J53" s="60"/>
      <c r="K53" s="61"/>
      <c r="L53" s="127"/>
      <c r="M53" s="49">
        <f t="shared" si="7"/>
        <v>0</v>
      </c>
      <c r="N53" s="49">
        <f t="shared" si="8"/>
        <v>0</v>
      </c>
      <c r="O53" s="55"/>
      <c r="P53" s="65"/>
      <c r="Q53" s="62"/>
      <c r="R53" s="62"/>
      <c r="S53" s="55"/>
      <c r="T53" s="63"/>
      <c r="U53" s="55"/>
      <c r="V53" s="63"/>
      <c r="W53" s="58"/>
    </row>
    <row r="54" spans="2:23" ht="20.100000000000001" customHeight="1" x14ac:dyDescent="0.15">
      <c r="B54" s="14">
        <f t="shared" si="6"/>
        <v>51</v>
      </c>
      <c r="C54" s="55"/>
      <c r="D54" s="56"/>
      <c r="E54" s="57"/>
      <c r="F54" s="57"/>
      <c r="G54" s="57"/>
      <c r="H54" s="58"/>
      <c r="I54" s="59"/>
      <c r="J54" s="60"/>
      <c r="K54" s="61"/>
      <c r="L54" s="127"/>
      <c r="M54" s="49">
        <f t="shared" si="7"/>
        <v>0</v>
      </c>
      <c r="N54" s="49">
        <f t="shared" si="8"/>
        <v>0</v>
      </c>
      <c r="O54" s="55"/>
      <c r="P54" s="65"/>
      <c r="Q54" s="62"/>
      <c r="R54" s="62"/>
      <c r="S54" s="55"/>
      <c r="T54" s="63"/>
      <c r="U54" s="55"/>
      <c r="V54" s="63"/>
      <c r="W54" s="58"/>
    </row>
    <row r="55" spans="2:23" ht="20.100000000000001" customHeight="1" x14ac:dyDescent="0.15">
      <c r="B55" s="14">
        <f t="shared" si="6"/>
        <v>52</v>
      </c>
      <c r="C55" s="55"/>
      <c r="D55" s="56"/>
      <c r="E55" s="57"/>
      <c r="F55" s="57"/>
      <c r="G55" s="57"/>
      <c r="H55" s="58"/>
      <c r="I55" s="59"/>
      <c r="J55" s="60"/>
      <c r="K55" s="61"/>
      <c r="L55" s="127"/>
      <c r="M55" s="49">
        <f t="shared" si="7"/>
        <v>0</v>
      </c>
      <c r="N55" s="49">
        <f t="shared" si="8"/>
        <v>0</v>
      </c>
      <c r="O55" s="55"/>
      <c r="P55" s="65"/>
      <c r="Q55" s="62"/>
      <c r="R55" s="62"/>
      <c r="S55" s="55"/>
      <c r="T55" s="63"/>
      <c r="U55" s="55"/>
      <c r="V55" s="63"/>
      <c r="W55" s="58"/>
    </row>
    <row r="56" spans="2:23" ht="20.100000000000001" customHeight="1" x14ac:dyDescent="0.15">
      <c r="B56" s="14">
        <f t="shared" si="6"/>
        <v>53</v>
      </c>
      <c r="C56" s="55"/>
      <c r="D56" s="56"/>
      <c r="E56" s="57"/>
      <c r="F56" s="57"/>
      <c r="G56" s="57"/>
      <c r="H56" s="58"/>
      <c r="I56" s="59"/>
      <c r="J56" s="60"/>
      <c r="K56" s="61"/>
      <c r="L56" s="127"/>
      <c r="M56" s="49">
        <f t="shared" si="7"/>
        <v>0</v>
      </c>
      <c r="N56" s="49">
        <f t="shared" si="8"/>
        <v>0</v>
      </c>
      <c r="O56" s="55"/>
      <c r="P56" s="65"/>
      <c r="Q56" s="62"/>
      <c r="R56" s="62"/>
      <c r="S56" s="55"/>
      <c r="T56" s="63"/>
      <c r="U56" s="55"/>
      <c r="V56" s="63"/>
      <c r="W56" s="58"/>
    </row>
    <row r="57" spans="2:23" ht="20.100000000000001" customHeight="1" x14ac:dyDescent="0.15">
      <c r="B57" s="14">
        <f t="shared" si="6"/>
        <v>54</v>
      </c>
      <c r="C57" s="55"/>
      <c r="D57" s="56"/>
      <c r="E57" s="57"/>
      <c r="F57" s="57"/>
      <c r="G57" s="57"/>
      <c r="H57" s="58"/>
      <c r="I57" s="59"/>
      <c r="J57" s="60"/>
      <c r="K57" s="61"/>
      <c r="L57" s="127"/>
      <c r="M57" s="49">
        <f t="shared" si="7"/>
        <v>0</v>
      </c>
      <c r="N57" s="49">
        <f t="shared" si="8"/>
        <v>0</v>
      </c>
      <c r="O57" s="55"/>
      <c r="P57" s="65"/>
      <c r="Q57" s="62"/>
      <c r="R57" s="62"/>
      <c r="S57" s="55"/>
      <c r="T57" s="63"/>
      <c r="U57" s="55"/>
      <c r="V57" s="63"/>
      <c r="W57" s="58"/>
    </row>
    <row r="58" spans="2:23" ht="20.100000000000001" customHeight="1" x14ac:dyDescent="0.15">
      <c r="B58" s="14">
        <f t="shared" si="6"/>
        <v>55</v>
      </c>
      <c r="C58" s="55"/>
      <c r="D58" s="56"/>
      <c r="E58" s="57"/>
      <c r="F58" s="57"/>
      <c r="G58" s="57"/>
      <c r="H58" s="58"/>
      <c r="I58" s="59"/>
      <c r="J58" s="60"/>
      <c r="K58" s="61"/>
      <c r="L58" s="127"/>
      <c r="M58" s="49">
        <f t="shared" si="7"/>
        <v>0</v>
      </c>
      <c r="N58" s="49">
        <f t="shared" si="8"/>
        <v>0</v>
      </c>
      <c r="O58" s="55"/>
      <c r="P58" s="65"/>
      <c r="Q58" s="62"/>
      <c r="R58" s="62"/>
      <c r="S58" s="55"/>
      <c r="T58" s="63"/>
      <c r="U58" s="55"/>
      <c r="V58" s="63"/>
      <c r="W58" s="58"/>
    </row>
    <row r="59" spans="2:23" ht="20.100000000000001" customHeight="1" x14ac:dyDescent="0.15">
      <c r="B59" s="14">
        <f t="shared" si="6"/>
        <v>56</v>
      </c>
      <c r="C59" s="55"/>
      <c r="D59" s="56"/>
      <c r="E59" s="57"/>
      <c r="F59" s="57"/>
      <c r="G59" s="57"/>
      <c r="H59" s="116"/>
      <c r="I59" s="59"/>
      <c r="J59" s="60"/>
      <c r="K59" s="61"/>
      <c r="L59" s="127"/>
      <c r="M59" s="49">
        <f t="shared" si="7"/>
        <v>0</v>
      </c>
      <c r="N59" s="49">
        <f t="shared" si="8"/>
        <v>0</v>
      </c>
      <c r="O59" s="55"/>
      <c r="P59" s="65"/>
      <c r="Q59" s="62"/>
      <c r="R59" s="62"/>
      <c r="S59" s="55"/>
      <c r="T59" s="63"/>
      <c r="U59" s="55"/>
      <c r="V59" s="63"/>
      <c r="W59" s="58"/>
    </row>
    <row r="60" spans="2:23" ht="20.100000000000001" customHeight="1" x14ac:dyDescent="0.15">
      <c r="B60" s="14">
        <f t="shared" si="6"/>
        <v>57</v>
      </c>
      <c r="C60" s="55"/>
      <c r="D60" s="56"/>
      <c r="E60" s="57"/>
      <c r="F60" s="57"/>
      <c r="G60" s="57"/>
      <c r="H60" s="116"/>
      <c r="I60" s="59"/>
      <c r="J60" s="60"/>
      <c r="K60" s="61"/>
      <c r="L60" s="127"/>
      <c r="M60" s="49">
        <f t="shared" si="7"/>
        <v>0</v>
      </c>
      <c r="N60" s="49">
        <f t="shared" si="8"/>
        <v>0</v>
      </c>
      <c r="O60" s="55"/>
      <c r="P60" s="65"/>
      <c r="Q60" s="62"/>
      <c r="R60" s="62"/>
      <c r="S60" s="55"/>
      <c r="T60" s="63"/>
      <c r="U60" s="55"/>
      <c r="V60" s="63"/>
      <c r="W60" s="58"/>
    </row>
    <row r="61" spans="2:23" ht="20.100000000000001" customHeight="1" x14ac:dyDescent="0.15">
      <c r="B61" s="14">
        <f t="shared" si="6"/>
        <v>58</v>
      </c>
      <c r="C61" s="55"/>
      <c r="D61" s="56"/>
      <c r="E61" s="57"/>
      <c r="F61" s="57"/>
      <c r="G61" s="57"/>
      <c r="H61" s="116"/>
      <c r="I61" s="59"/>
      <c r="J61" s="60"/>
      <c r="K61" s="61"/>
      <c r="L61" s="127"/>
      <c r="M61" s="49">
        <f t="shared" si="7"/>
        <v>0</v>
      </c>
      <c r="N61" s="49">
        <f t="shared" si="8"/>
        <v>0</v>
      </c>
      <c r="O61" s="55"/>
      <c r="P61" s="65"/>
      <c r="Q61" s="62"/>
      <c r="R61" s="62"/>
      <c r="S61" s="55"/>
      <c r="T61" s="63"/>
      <c r="U61" s="55"/>
      <c r="V61" s="63"/>
      <c r="W61" s="58"/>
    </row>
    <row r="62" spans="2:23" ht="20.100000000000001" customHeight="1" x14ac:dyDescent="0.15">
      <c r="B62" s="14">
        <f t="shared" si="6"/>
        <v>59</v>
      </c>
      <c r="C62" s="55"/>
      <c r="D62" s="56"/>
      <c r="E62" s="57"/>
      <c r="F62" s="57"/>
      <c r="G62" s="57"/>
      <c r="H62" s="116"/>
      <c r="I62" s="59"/>
      <c r="J62" s="60"/>
      <c r="K62" s="61"/>
      <c r="L62" s="127"/>
      <c r="M62" s="49">
        <f t="shared" si="7"/>
        <v>0</v>
      </c>
      <c r="N62" s="49">
        <f t="shared" si="8"/>
        <v>0</v>
      </c>
      <c r="O62" s="55"/>
      <c r="P62" s="65"/>
      <c r="Q62" s="62"/>
      <c r="R62" s="62"/>
      <c r="S62" s="55"/>
      <c r="T62" s="63"/>
      <c r="U62" s="55"/>
      <c r="V62" s="63"/>
      <c r="W62" s="58"/>
    </row>
    <row r="63" spans="2:23" ht="20.100000000000001" customHeight="1" x14ac:dyDescent="0.15">
      <c r="B63" s="14">
        <f t="shared" si="6"/>
        <v>60</v>
      </c>
      <c r="C63" s="55"/>
      <c r="D63" s="56"/>
      <c r="E63" s="57"/>
      <c r="F63" s="57"/>
      <c r="G63" s="57"/>
      <c r="H63" s="116"/>
      <c r="I63" s="59"/>
      <c r="J63" s="60"/>
      <c r="K63" s="61"/>
      <c r="L63" s="127"/>
      <c r="M63" s="49">
        <f t="shared" si="7"/>
        <v>0</v>
      </c>
      <c r="N63" s="49">
        <f t="shared" si="8"/>
        <v>0</v>
      </c>
      <c r="O63" s="55"/>
      <c r="P63" s="65"/>
      <c r="Q63" s="62"/>
      <c r="R63" s="62"/>
      <c r="S63" s="55"/>
      <c r="T63" s="63"/>
      <c r="U63" s="55"/>
      <c r="V63" s="63"/>
      <c r="W63" s="58"/>
    </row>
    <row r="64" spans="2:23" ht="20.100000000000001" customHeight="1" x14ac:dyDescent="0.15">
      <c r="B64" s="14">
        <f t="shared" si="6"/>
        <v>61</v>
      </c>
      <c r="C64" s="55"/>
      <c r="D64" s="56"/>
      <c r="E64" s="57"/>
      <c r="F64" s="57"/>
      <c r="G64" s="57"/>
      <c r="H64" s="116"/>
      <c r="I64" s="59"/>
      <c r="J64" s="60"/>
      <c r="K64" s="61"/>
      <c r="L64" s="127"/>
      <c r="M64" s="49">
        <f t="shared" si="7"/>
        <v>0</v>
      </c>
      <c r="N64" s="49">
        <f t="shared" si="8"/>
        <v>0</v>
      </c>
      <c r="O64" s="55"/>
      <c r="P64" s="65"/>
      <c r="Q64" s="62"/>
      <c r="R64" s="62"/>
      <c r="S64" s="55"/>
      <c r="T64" s="63"/>
      <c r="U64" s="55"/>
      <c r="V64" s="63"/>
      <c r="W64" s="58"/>
    </row>
    <row r="65" spans="2:23" ht="20.100000000000001" customHeight="1" x14ac:dyDescent="0.15">
      <c r="B65" s="14">
        <f t="shared" si="6"/>
        <v>62</v>
      </c>
      <c r="C65" s="55"/>
      <c r="D65" s="56"/>
      <c r="E65" s="57"/>
      <c r="F65" s="57"/>
      <c r="G65" s="57"/>
      <c r="H65" s="116"/>
      <c r="I65" s="59"/>
      <c r="J65" s="60"/>
      <c r="K65" s="61"/>
      <c r="L65" s="127"/>
      <c r="M65" s="49">
        <f t="shared" si="7"/>
        <v>0</v>
      </c>
      <c r="N65" s="49">
        <f t="shared" si="8"/>
        <v>0</v>
      </c>
      <c r="O65" s="55"/>
      <c r="P65" s="65"/>
      <c r="Q65" s="62"/>
      <c r="R65" s="62"/>
      <c r="S65" s="55"/>
      <c r="T65" s="63"/>
      <c r="U65" s="55"/>
      <c r="V65" s="63"/>
      <c r="W65" s="58"/>
    </row>
    <row r="66" spans="2:23" ht="20.100000000000001" customHeight="1" x14ac:dyDescent="0.15">
      <c r="B66" s="14">
        <f t="shared" si="6"/>
        <v>63</v>
      </c>
      <c r="C66" s="55"/>
      <c r="D66" s="56"/>
      <c r="E66" s="57"/>
      <c r="F66" s="57"/>
      <c r="G66" s="57"/>
      <c r="H66" s="116"/>
      <c r="I66" s="59"/>
      <c r="J66" s="60"/>
      <c r="K66" s="61"/>
      <c r="L66" s="127"/>
      <c r="M66" s="49">
        <f t="shared" si="7"/>
        <v>0</v>
      </c>
      <c r="N66" s="49">
        <f t="shared" si="8"/>
        <v>0</v>
      </c>
      <c r="O66" s="55"/>
      <c r="P66" s="65"/>
      <c r="Q66" s="62"/>
      <c r="R66" s="62"/>
      <c r="S66" s="55"/>
      <c r="T66" s="63"/>
      <c r="U66" s="55"/>
      <c r="V66" s="63"/>
      <c r="W66" s="58"/>
    </row>
    <row r="67" spans="2:23" ht="20.100000000000001" customHeight="1" x14ac:dyDescent="0.15">
      <c r="B67" s="14">
        <f t="shared" si="6"/>
        <v>64</v>
      </c>
      <c r="C67" s="55"/>
      <c r="D67" s="56"/>
      <c r="E67" s="57"/>
      <c r="F67" s="57"/>
      <c r="G67" s="57"/>
      <c r="H67" s="116"/>
      <c r="I67" s="59"/>
      <c r="J67" s="60"/>
      <c r="K67" s="61"/>
      <c r="L67" s="127"/>
      <c r="M67" s="49">
        <f t="shared" si="7"/>
        <v>0</v>
      </c>
      <c r="N67" s="49">
        <f t="shared" si="8"/>
        <v>0</v>
      </c>
      <c r="O67" s="55"/>
      <c r="P67" s="65"/>
      <c r="Q67" s="62"/>
      <c r="R67" s="62"/>
      <c r="S67" s="55"/>
      <c r="T67" s="63"/>
      <c r="U67" s="55"/>
      <c r="V67" s="63"/>
      <c r="W67" s="58"/>
    </row>
    <row r="68" spans="2:23" ht="20.100000000000001" customHeight="1" x14ac:dyDescent="0.15">
      <c r="B68" s="14">
        <f t="shared" ref="B68:B94" si="9">ROW()-3</f>
        <v>65</v>
      </c>
      <c r="C68" s="55"/>
      <c r="D68" s="56"/>
      <c r="E68" s="57"/>
      <c r="F68" s="57"/>
      <c r="G68" s="57"/>
      <c r="H68" s="116"/>
      <c r="I68" s="59"/>
      <c r="J68" s="60"/>
      <c r="K68" s="61"/>
      <c r="L68" s="127"/>
      <c r="M68" s="49">
        <f t="shared" ref="M68:M94" si="10">IF(J68="課税", ROUND(K68-K68/(1+L68), 0), 0)</f>
        <v>0</v>
      </c>
      <c r="N68" s="49">
        <f t="shared" ref="N68:N94" si="11">K68-M68</f>
        <v>0</v>
      </c>
      <c r="O68" s="55"/>
      <c r="P68" s="65"/>
      <c r="Q68" s="62"/>
      <c r="R68" s="62"/>
      <c r="S68" s="55"/>
      <c r="T68" s="63"/>
      <c r="U68" s="55"/>
      <c r="V68" s="63"/>
      <c r="W68" s="58"/>
    </row>
    <row r="69" spans="2:23" ht="20.100000000000001" customHeight="1" x14ac:dyDescent="0.15">
      <c r="B69" s="14">
        <f t="shared" si="9"/>
        <v>66</v>
      </c>
      <c r="C69" s="55"/>
      <c r="D69" s="56"/>
      <c r="E69" s="57"/>
      <c r="F69" s="57"/>
      <c r="G69" s="57"/>
      <c r="H69" s="116"/>
      <c r="I69" s="59"/>
      <c r="J69" s="60"/>
      <c r="K69" s="61"/>
      <c r="L69" s="127"/>
      <c r="M69" s="49">
        <f t="shared" si="10"/>
        <v>0</v>
      </c>
      <c r="N69" s="49">
        <f t="shared" si="11"/>
        <v>0</v>
      </c>
      <c r="O69" s="55"/>
      <c r="P69" s="65"/>
      <c r="Q69" s="62"/>
      <c r="R69" s="62"/>
      <c r="S69" s="55"/>
      <c r="T69" s="63"/>
      <c r="U69" s="55"/>
      <c r="V69" s="63"/>
      <c r="W69" s="58"/>
    </row>
    <row r="70" spans="2:23" ht="20.100000000000001" customHeight="1" x14ac:dyDescent="0.15">
      <c r="B70" s="14">
        <f t="shared" si="9"/>
        <v>67</v>
      </c>
      <c r="C70" s="55"/>
      <c r="D70" s="56"/>
      <c r="E70" s="57"/>
      <c r="F70" s="57"/>
      <c r="G70" s="57"/>
      <c r="H70" s="116"/>
      <c r="I70" s="59"/>
      <c r="J70" s="60"/>
      <c r="K70" s="61"/>
      <c r="L70" s="127"/>
      <c r="M70" s="49">
        <f t="shared" si="10"/>
        <v>0</v>
      </c>
      <c r="N70" s="49">
        <f t="shared" si="11"/>
        <v>0</v>
      </c>
      <c r="O70" s="55"/>
      <c r="P70" s="65"/>
      <c r="Q70" s="62"/>
      <c r="R70" s="62"/>
      <c r="S70" s="55"/>
      <c r="T70" s="63"/>
      <c r="U70" s="55"/>
      <c r="V70" s="63"/>
      <c r="W70" s="58"/>
    </row>
    <row r="71" spans="2:23" ht="20.100000000000001" customHeight="1" x14ac:dyDescent="0.15">
      <c r="B71" s="14">
        <f t="shared" si="9"/>
        <v>68</v>
      </c>
      <c r="C71" s="55"/>
      <c r="D71" s="56"/>
      <c r="E71" s="57"/>
      <c r="F71" s="57"/>
      <c r="G71" s="57"/>
      <c r="H71" s="116"/>
      <c r="I71" s="59"/>
      <c r="J71" s="60"/>
      <c r="K71" s="61"/>
      <c r="L71" s="127"/>
      <c r="M71" s="49">
        <f t="shared" si="10"/>
        <v>0</v>
      </c>
      <c r="N71" s="49">
        <f t="shared" si="11"/>
        <v>0</v>
      </c>
      <c r="O71" s="55"/>
      <c r="P71" s="65"/>
      <c r="Q71" s="62"/>
      <c r="R71" s="62"/>
      <c r="S71" s="55"/>
      <c r="T71" s="63"/>
      <c r="U71" s="55"/>
      <c r="V71" s="63"/>
      <c r="W71" s="58"/>
    </row>
    <row r="72" spans="2:23" ht="20.100000000000001" customHeight="1" x14ac:dyDescent="0.15">
      <c r="B72" s="14">
        <f t="shared" si="9"/>
        <v>69</v>
      </c>
      <c r="C72" s="55"/>
      <c r="D72" s="56"/>
      <c r="E72" s="57"/>
      <c r="F72" s="57"/>
      <c r="G72" s="57"/>
      <c r="H72" s="58"/>
      <c r="I72" s="59"/>
      <c r="J72" s="60"/>
      <c r="K72" s="61"/>
      <c r="L72" s="127"/>
      <c r="M72" s="49">
        <f t="shared" si="10"/>
        <v>0</v>
      </c>
      <c r="N72" s="49">
        <f t="shared" si="11"/>
        <v>0</v>
      </c>
      <c r="O72" s="55"/>
      <c r="P72" s="65"/>
      <c r="Q72" s="62"/>
      <c r="R72" s="62"/>
      <c r="S72" s="55"/>
      <c r="T72" s="63"/>
      <c r="U72" s="55"/>
      <c r="V72" s="63"/>
      <c r="W72" s="58"/>
    </row>
    <row r="73" spans="2:23" ht="20.100000000000001" customHeight="1" x14ac:dyDescent="0.15">
      <c r="B73" s="14">
        <f t="shared" si="9"/>
        <v>70</v>
      </c>
      <c r="C73" s="55"/>
      <c r="D73" s="56"/>
      <c r="E73" s="57"/>
      <c r="F73" s="57"/>
      <c r="G73" s="57"/>
      <c r="H73" s="58"/>
      <c r="I73" s="59"/>
      <c r="J73" s="60"/>
      <c r="K73" s="61"/>
      <c r="L73" s="127"/>
      <c r="M73" s="49">
        <f t="shared" si="10"/>
        <v>0</v>
      </c>
      <c r="N73" s="49">
        <f t="shared" si="11"/>
        <v>0</v>
      </c>
      <c r="O73" s="55"/>
      <c r="P73" s="65"/>
      <c r="Q73" s="62"/>
      <c r="R73" s="62"/>
      <c r="S73" s="55"/>
      <c r="T73" s="63"/>
      <c r="U73" s="55"/>
      <c r="V73" s="63"/>
      <c r="W73" s="58"/>
    </row>
    <row r="74" spans="2:23" ht="20.100000000000001" customHeight="1" x14ac:dyDescent="0.15">
      <c r="B74" s="14">
        <f t="shared" si="9"/>
        <v>71</v>
      </c>
      <c r="C74" s="55"/>
      <c r="D74" s="56"/>
      <c r="E74" s="57"/>
      <c r="F74" s="57"/>
      <c r="G74" s="57"/>
      <c r="H74" s="58"/>
      <c r="I74" s="59"/>
      <c r="J74" s="60"/>
      <c r="K74" s="61"/>
      <c r="L74" s="127"/>
      <c r="M74" s="49">
        <f t="shared" si="10"/>
        <v>0</v>
      </c>
      <c r="N74" s="49">
        <f t="shared" si="11"/>
        <v>0</v>
      </c>
      <c r="O74" s="55"/>
      <c r="P74" s="65"/>
      <c r="Q74" s="62"/>
      <c r="R74" s="62"/>
      <c r="S74" s="55"/>
      <c r="T74" s="63"/>
      <c r="U74" s="55"/>
      <c r="V74" s="63"/>
      <c r="W74" s="58"/>
    </row>
    <row r="75" spans="2:23" ht="20.100000000000001" customHeight="1" x14ac:dyDescent="0.15">
      <c r="B75" s="14">
        <f t="shared" si="9"/>
        <v>72</v>
      </c>
      <c r="C75" s="55"/>
      <c r="D75" s="56"/>
      <c r="E75" s="57"/>
      <c r="F75" s="57"/>
      <c r="G75" s="57"/>
      <c r="H75" s="58"/>
      <c r="I75" s="59"/>
      <c r="J75" s="60"/>
      <c r="K75" s="61"/>
      <c r="L75" s="127"/>
      <c r="M75" s="49">
        <f t="shared" si="10"/>
        <v>0</v>
      </c>
      <c r="N75" s="49">
        <f t="shared" si="11"/>
        <v>0</v>
      </c>
      <c r="O75" s="55"/>
      <c r="P75" s="65"/>
      <c r="Q75" s="62"/>
      <c r="R75" s="62"/>
      <c r="S75" s="55"/>
      <c r="T75" s="63"/>
      <c r="U75" s="55"/>
      <c r="V75" s="63"/>
      <c r="W75" s="58"/>
    </row>
    <row r="76" spans="2:23" ht="20.100000000000001" customHeight="1" x14ac:dyDescent="0.15">
      <c r="B76" s="14">
        <f t="shared" si="9"/>
        <v>73</v>
      </c>
      <c r="C76" s="55"/>
      <c r="D76" s="56"/>
      <c r="E76" s="57"/>
      <c r="F76" s="57"/>
      <c r="G76" s="57"/>
      <c r="H76" s="58"/>
      <c r="I76" s="59"/>
      <c r="J76" s="60"/>
      <c r="K76" s="61"/>
      <c r="L76" s="127"/>
      <c r="M76" s="49">
        <f t="shared" si="10"/>
        <v>0</v>
      </c>
      <c r="N76" s="49">
        <f t="shared" si="11"/>
        <v>0</v>
      </c>
      <c r="O76" s="55"/>
      <c r="P76" s="65"/>
      <c r="Q76" s="62"/>
      <c r="R76" s="62"/>
      <c r="S76" s="55"/>
      <c r="T76" s="63"/>
      <c r="U76" s="55"/>
      <c r="V76" s="63"/>
      <c r="W76" s="58"/>
    </row>
    <row r="77" spans="2:23" ht="20.100000000000001" customHeight="1" x14ac:dyDescent="0.15">
      <c r="B77" s="14">
        <f t="shared" si="9"/>
        <v>74</v>
      </c>
      <c r="C77" s="55"/>
      <c r="D77" s="56"/>
      <c r="E77" s="57"/>
      <c r="F77" s="57"/>
      <c r="G77" s="57"/>
      <c r="H77" s="58"/>
      <c r="I77" s="59"/>
      <c r="J77" s="60"/>
      <c r="K77" s="61"/>
      <c r="L77" s="127"/>
      <c r="M77" s="49">
        <f t="shared" si="10"/>
        <v>0</v>
      </c>
      <c r="N77" s="49">
        <f t="shared" si="11"/>
        <v>0</v>
      </c>
      <c r="O77" s="55"/>
      <c r="P77" s="65"/>
      <c r="Q77" s="62"/>
      <c r="R77" s="62"/>
      <c r="S77" s="55"/>
      <c r="T77" s="63"/>
      <c r="U77" s="55"/>
      <c r="V77" s="63"/>
      <c r="W77" s="58"/>
    </row>
    <row r="78" spans="2:23" ht="20.100000000000001" customHeight="1" x14ac:dyDescent="0.15">
      <c r="B78" s="14">
        <f t="shared" si="9"/>
        <v>75</v>
      </c>
      <c r="C78" s="55"/>
      <c r="D78" s="56"/>
      <c r="E78" s="57"/>
      <c r="F78" s="57"/>
      <c r="G78" s="57"/>
      <c r="H78" s="58"/>
      <c r="I78" s="64"/>
      <c r="J78" s="60"/>
      <c r="K78" s="61"/>
      <c r="L78" s="127"/>
      <c r="M78" s="49">
        <f t="shared" si="10"/>
        <v>0</v>
      </c>
      <c r="N78" s="49">
        <f t="shared" si="11"/>
        <v>0</v>
      </c>
      <c r="O78" s="81"/>
      <c r="P78" s="65"/>
      <c r="Q78" s="62"/>
      <c r="R78" s="62"/>
      <c r="S78" s="55"/>
      <c r="T78" s="63"/>
      <c r="U78" s="55"/>
      <c r="V78" s="63"/>
      <c r="W78" s="58"/>
    </row>
    <row r="79" spans="2:23" ht="20.100000000000001" customHeight="1" x14ac:dyDescent="0.15">
      <c r="B79" s="14">
        <f t="shared" si="9"/>
        <v>76</v>
      </c>
      <c r="C79" s="55"/>
      <c r="D79" s="56"/>
      <c r="E79" s="57"/>
      <c r="F79" s="57"/>
      <c r="G79" s="57"/>
      <c r="H79" s="58"/>
      <c r="I79" s="59"/>
      <c r="J79" s="60"/>
      <c r="K79" s="61"/>
      <c r="L79" s="127"/>
      <c r="M79" s="49">
        <f t="shared" si="10"/>
        <v>0</v>
      </c>
      <c r="N79" s="49">
        <f t="shared" si="11"/>
        <v>0</v>
      </c>
      <c r="O79" s="55"/>
      <c r="P79" s="65"/>
      <c r="Q79" s="62"/>
      <c r="R79" s="62"/>
      <c r="S79" s="55"/>
      <c r="T79" s="63"/>
      <c r="U79" s="55"/>
      <c r="V79" s="63"/>
      <c r="W79" s="58"/>
    </row>
    <row r="80" spans="2:23" ht="20.100000000000001" customHeight="1" x14ac:dyDescent="0.15">
      <c r="B80" s="14">
        <f t="shared" si="9"/>
        <v>77</v>
      </c>
      <c r="C80" s="55"/>
      <c r="D80" s="56"/>
      <c r="E80" s="57"/>
      <c r="F80" s="57"/>
      <c r="G80" s="57"/>
      <c r="H80" s="58"/>
      <c r="I80" s="59"/>
      <c r="J80" s="60"/>
      <c r="K80" s="61"/>
      <c r="L80" s="127"/>
      <c r="M80" s="49">
        <f t="shared" si="10"/>
        <v>0</v>
      </c>
      <c r="N80" s="49">
        <f t="shared" si="11"/>
        <v>0</v>
      </c>
      <c r="O80" s="55"/>
      <c r="P80" s="65"/>
      <c r="Q80" s="62"/>
      <c r="R80" s="62"/>
      <c r="S80" s="55"/>
      <c r="T80" s="63"/>
      <c r="U80" s="55"/>
      <c r="V80" s="63"/>
      <c r="W80" s="58"/>
    </row>
    <row r="81" spans="2:23" ht="20.100000000000001" customHeight="1" x14ac:dyDescent="0.15">
      <c r="B81" s="14">
        <f t="shared" si="9"/>
        <v>78</v>
      </c>
      <c r="C81" s="55"/>
      <c r="D81" s="56"/>
      <c r="E81" s="57"/>
      <c r="F81" s="57"/>
      <c r="G81" s="57"/>
      <c r="H81" s="58"/>
      <c r="I81" s="59"/>
      <c r="J81" s="60"/>
      <c r="K81" s="61"/>
      <c r="L81" s="127"/>
      <c r="M81" s="49">
        <f t="shared" si="10"/>
        <v>0</v>
      </c>
      <c r="N81" s="49">
        <f t="shared" si="11"/>
        <v>0</v>
      </c>
      <c r="O81" s="55"/>
      <c r="P81" s="65"/>
      <c r="Q81" s="62"/>
      <c r="R81" s="62"/>
      <c r="S81" s="55"/>
      <c r="T81" s="63"/>
      <c r="U81" s="55"/>
      <c r="V81" s="63"/>
      <c r="W81" s="58"/>
    </row>
    <row r="82" spans="2:23" ht="20.100000000000001" customHeight="1" x14ac:dyDescent="0.15">
      <c r="B82" s="14">
        <f t="shared" si="9"/>
        <v>79</v>
      </c>
      <c r="C82" s="55"/>
      <c r="D82" s="56"/>
      <c r="E82" s="57"/>
      <c r="F82" s="57"/>
      <c r="G82" s="57"/>
      <c r="H82" s="58"/>
      <c r="I82" s="59"/>
      <c r="J82" s="60"/>
      <c r="K82" s="61"/>
      <c r="L82" s="127"/>
      <c r="M82" s="49">
        <f t="shared" si="10"/>
        <v>0</v>
      </c>
      <c r="N82" s="49">
        <f t="shared" si="11"/>
        <v>0</v>
      </c>
      <c r="O82" s="55"/>
      <c r="P82" s="65"/>
      <c r="Q82" s="62"/>
      <c r="R82" s="62"/>
      <c r="S82" s="55"/>
      <c r="T82" s="63"/>
      <c r="U82" s="55"/>
      <c r="V82" s="63"/>
      <c r="W82" s="58"/>
    </row>
    <row r="83" spans="2:23" ht="20.100000000000001" customHeight="1" x14ac:dyDescent="0.15">
      <c r="B83" s="14">
        <f t="shared" si="9"/>
        <v>80</v>
      </c>
      <c r="C83" s="55"/>
      <c r="D83" s="56"/>
      <c r="E83" s="57"/>
      <c r="F83" s="57"/>
      <c r="G83" s="57"/>
      <c r="H83" s="58"/>
      <c r="I83" s="59"/>
      <c r="J83" s="60"/>
      <c r="K83" s="61"/>
      <c r="L83" s="127"/>
      <c r="M83" s="49">
        <f t="shared" si="10"/>
        <v>0</v>
      </c>
      <c r="N83" s="49">
        <f t="shared" si="11"/>
        <v>0</v>
      </c>
      <c r="O83" s="55"/>
      <c r="P83" s="65"/>
      <c r="Q83" s="62"/>
      <c r="R83" s="62"/>
      <c r="S83" s="55"/>
      <c r="T83" s="63"/>
      <c r="U83" s="55"/>
      <c r="V83" s="63"/>
      <c r="W83" s="58"/>
    </row>
    <row r="84" spans="2:23" ht="20.100000000000001" customHeight="1" x14ac:dyDescent="0.15">
      <c r="B84" s="14">
        <f t="shared" si="9"/>
        <v>81</v>
      </c>
      <c r="C84" s="55"/>
      <c r="D84" s="56"/>
      <c r="E84" s="57"/>
      <c r="F84" s="57"/>
      <c r="G84" s="57"/>
      <c r="H84" s="58"/>
      <c r="I84" s="59"/>
      <c r="J84" s="60"/>
      <c r="K84" s="61"/>
      <c r="L84" s="127"/>
      <c r="M84" s="49">
        <f t="shared" si="10"/>
        <v>0</v>
      </c>
      <c r="N84" s="49">
        <f t="shared" si="11"/>
        <v>0</v>
      </c>
      <c r="O84" s="55"/>
      <c r="P84" s="65"/>
      <c r="Q84" s="62"/>
      <c r="R84" s="62"/>
      <c r="S84" s="55"/>
      <c r="T84" s="63"/>
      <c r="U84" s="55"/>
      <c r="V84" s="63"/>
      <c r="W84" s="58"/>
    </row>
    <row r="85" spans="2:23" ht="20.100000000000001" customHeight="1" x14ac:dyDescent="0.15">
      <c r="B85" s="14">
        <f t="shared" si="9"/>
        <v>82</v>
      </c>
      <c r="C85" s="55"/>
      <c r="D85" s="56"/>
      <c r="E85" s="57"/>
      <c r="F85" s="57"/>
      <c r="G85" s="57"/>
      <c r="H85" s="58"/>
      <c r="I85" s="59"/>
      <c r="J85" s="60"/>
      <c r="K85" s="61"/>
      <c r="L85" s="127"/>
      <c r="M85" s="49">
        <f t="shared" si="10"/>
        <v>0</v>
      </c>
      <c r="N85" s="49">
        <f t="shared" si="11"/>
        <v>0</v>
      </c>
      <c r="O85" s="55"/>
      <c r="P85" s="65"/>
      <c r="Q85" s="62"/>
      <c r="R85" s="62"/>
      <c r="S85" s="55"/>
      <c r="T85" s="63"/>
      <c r="U85" s="55"/>
      <c r="V85" s="63"/>
      <c r="W85" s="58"/>
    </row>
    <row r="86" spans="2:23" ht="20.100000000000001" customHeight="1" x14ac:dyDescent="0.15">
      <c r="B86" s="14">
        <f t="shared" si="9"/>
        <v>83</v>
      </c>
      <c r="C86" s="55"/>
      <c r="D86" s="56"/>
      <c r="E86" s="57"/>
      <c r="F86" s="57"/>
      <c r="G86" s="57"/>
      <c r="H86" s="58"/>
      <c r="I86" s="59"/>
      <c r="J86" s="60"/>
      <c r="K86" s="61"/>
      <c r="L86" s="127"/>
      <c r="M86" s="49">
        <f t="shared" si="10"/>
        <v>0</v>
      </c>
      <c r="N86" s="49">
        <f t="shared" si="11"/>
        <v>0</v>
      </c>
      <c r="O86" s="55"/>
      <c r="P86" s="65"/>
      <c r="Q86" s="62"/>
      <c r="R86" s="62"/>
      <c r="S86" s="55"/>
      <c r="T86" s="63"/>
      <c r="U86" s="55"/>
      <c r="V86" s="63"/>
      <c r="W86" s="58"/>
    </row>
    <row r="87" spans="2:23" ht="20.100000000000001" customHeight="1" x14ac:dyDescent="0.15">
      <c r="B87" s="14">
        <f t="shared" si="9"/>
        <v>84</v>
      </c>
      <c r="C87" s="55"/>
      <c r="D87" s="56"/>
      <c r="E87" s="57"/>
      <c r="F87" s="57"/>
      <c r="G87" s="57"/>
      <c r="H87" s="58"/>
      <c r="I87" s="59"/>
      <c r="J87" s="60"/>
      <c r="K87" s="61"/>
      <c r="L87" s="127"/>
      <c r="M87" s="49">
        <f t="shared" si="10"/>
        <v>0</v>
      </c>
      <c r="N87" s="49">
        <f t="shared" si="11"/>
        <v>0</v>
      </c>
      <c r="O87" s="55"/>
      <c r="P87" s="65"/>
      <c r="Q87" s="62"/>
      <c r="R87" s="62"/>
      <c r="S87" s="55"/>
      <c r="T87" s="63"/>
      <c r="U87" s="55"/>
      <c r="V87" s="63"/>
      <c r="W87" s="58"/>
    </row>
    <row r="88" spans="2:23" ht="20.100000000000001" customHeight="1" x14ac:dyDescent="0.15">
      <c r="B88" s="14">
        <f t="shared" si="9"/>
        <v>85</v>
      </c>
      <c r="C88" s="55"/>
      <c r="D88" s="56"/>
      <c r="E88" s="57"/>
      <c r="F88" s="57"/>
      <c r="G88" s="57"/>
      <c r="H88" s="58"/>
      <c r="I88" s="59"/>
      <c r="J88" s="60"/>
      <c r="K88" s="61"/>
      <c r="L88" s="127"/>
      <c r="M88" s="49">
        <f t="shared" si="10"/>
        <v>0</v>
      </c>
      <c r="N88" s="49">
        <f t="shared" si="11"/>
        <v>0</v>
      </c>
      <c r="O88" s="55"/>
      <c r="P88" s="65"/>
      <c r="Q88" s="62"/>
      <c r="R88" s="62"/>
      <c r="S88" s="55"/>
      <c r="T88" s="63"/>
      <c r="U88" s="55"/>
      <c r="V88" s="63"/>
      <c r="W88" s="58"/>
    </row>
    <row r="89" spans="2:23" ht="20.100000000000001" customHeight="1" x14ac:dyDescent="0.15">
      <c r="B89" s="14">
        <f t="shared" si="9"/>
        <v>86</v>
      </c>
      <c r="C89" s="55"/>
      <c r="D89" s="56"/>
      <c r="E89" s="57"/>
      <c r="F89" s="57"/>
      <c r="G89" s="57"/>
      <c r="H89" s="58"/>
      <c r="I89" s="59"/>
      <c r="J89" s="60"/>
      <c r="K89" s="61"/>
      <c r="L89" s="127"/>
      <c r="M89" s="49">
        <f t="shared" si="10"/>
        <v>0</v>
      </c>
      <c r="N89" s="49">
        <f t="shared" si="11"/>
        <v>0</v>
      </c>
      <c r="O89" s="55"/>
      <c r="P89" s="65"/>
      <c r="Q89" s="62"/>
      <c r="R89" s="62"/>
      <c r="S89" s="55"/>
      <c r="T89" s="63"/>
      <c r="U89" s="55"/>
      <c r="V89" s="63"/>
      <c r="W89" s="58"/>
    </row>
    <row r="90" spans="2:23" ht="20.100000000000001" customHeight="1" x14ac:dyDescent="0.15">
      <c r="B90" s="14">
        <f t="shared" si="9"/>
        <v>87</v>
      </c>
      <c r="C90" s="55"/>
      <c r="D90" s="56"/>
      <c r="E90" s="57"/>
      <c r="F90" s="57"/>
      <c r="G90" s="57"/>
      <c r="H90" s="58"/>
      <c r="I90" s="59"/>
      <c r="J90" s="60"/>
      <c r="K90" s="61"/>
      <c r="L90" s="127"/>
      <c r="M90" s="49">
        <f t="shared" si="10"/>
        <v>0</v>
      </c>
      <c r="N90" s="49">
        <f t="shared" si="11"/>
        <v>0</v>
      </c>
      <c r="O90" s="55"/>
      <c r="P90" s="65"/>
      <c r="Q90" s="62"/>
      <c r="R90" s="62"/>
      <c r="S90" s="55"/>
      <c r="T90" s="63"/>
      <c r="U90" s="55"/>
      <c r="V90" s="63"/>
      <c r="W90" s="58"/>
    </row>
    <row r="91" spans="2:23" ht="20.100000000000001" customHeight="1" x14ac:dyDescent="0.15">
      <c r="B91" s="14">
        <f t="shared" si="9"/>
        <v>88</v>
      </c>
      <c r="C91" s="55"/>
      <c r="D91" s="56"/>
      <c r="E91" s="57"/>
      <c r="F91" s="57"/>
      <c r="G91" s="57"/>
      <c r="H91" s="58"/>
      <c r="I91" s="59"/>
      <c r="J91" s="60"/>
      <c r="K91" s="61"/>
      <c r="L91" s="127"/>
      <c r="M91" s="49">
        <f t="shared" si="10"/>
        <v>0</v>
      </c>
      <c r="N91" s="49">
        <f t="shared" si="11"/>
        <v>0</v>
      </c>
      <c r="O91" s="55"/>
      <c r="P91" s="65"/>
      <c r="Q91" s="62"/>
      <c r="R91" s="62"/>
      <c r="S91" s="55"/>
      <c r="T91" s="63"/>
      <c r="U91" s="55"/>
      <c r="V91" s="63"/>
      <c r="W91" s="58"/>
    </row>
    <row r="92" spans="2:23" ht="20.100000000000001" customHeight="1" x14ac:dyDescent="0.15">
      <c r="B92" s="14">
        <f t="shared" si="9"/>
        <v>89</v>
      </c>
      <c r="C92" s="55"/>
      <c r="D92" s="56"/>
      <c r="E92" s="57"/>
      <c r="F92" s="57"/>
      <c r="G92" s="57"/>
      <c r="H92" s="58"/>
      <c r="I92" s="59"/>
      <c r="J92" s="60"/>
      <c r="K92" s="61"/>
      <c r="L92" s="127"/>
      <c r="M92" s="49">
        <f t="shared" si="10"/>
        <v>0</v>
      </c>
      <c r="N92" s="49">
        <f t="shared" si="11"/>
        <v>0</v>
      </c>
      <c r="O92" s="55"/>
      <c r="P92" s="65"/>
      <c r="Q92" s="62"/>
      <c r="R92" s="62"/>
      <c r="S92" s="55"/>
      <c r="T92" s="63"/>
      <c r="U92" s="55"/>
      <c r="V92" s="63"/>
      <c r="W92" s="58"/>
    </row>
    <row r="93" spans="2:23" ht="20.100000000000001" customHeight="1" x14ac:dyDescent="0.15">
      <c r="B93" s="14">
        <f t="shared" si="9"/>
        <v>90</v>
      </c>
      <c r="C93" s="55"/>
      <c r="D93" s="56"/>
      <c r="E93" s="57"/>
      <c r="F93" s="57"/>
      <c r="G93" s="57"/>
      <c r="H93" s="58"/>
      <c r="I93" s="59"/>
      <c r="J93" s="60"/>
      <c r="K93" s="61"/>
      <c r="L93" s="127"/>
      <c r="M93" s="49">
        <f t="shared" si="10"/>
        <v>0</v>
      </c>
      <c r="N93" s="49">
        <f t="shared" si="11"/>
        <v>0</v>
      </c>
      <c r="O93" s="55"/>
      <c r="P93" s="65"/>
      <c r="Q93" s="62"/>
      <c r="R93" s="62"/>
      <c r="S93" s="55"/>
      <c r="T93" s="63"/>
      <c r="U93" s="55"/>
      <c r="V93" s="63"/>
      <c r="W93" s="58"/>
    </row>
    <row r="94" spans="2:23" ht="20.100000000000001" customHeight="1" x14ac:dyDescent="0.15">
      <c r="B94" s="14">
        <f t="shared" si="9"/>
        <v>91</v>
      </c>
      <c r="C94" s="55"/>
      <c r="D94" s="56"/>
      <c r="E94" s="57"/>
      <c r="F94" s="57"/>
      <c r="G94" s="57"/>
      <c r="H94" s="58"/>
      <c r="I94" s="59"/>
      <c r="J94" s="60"/>
      <c r="K94" s="61"/>
      <c r="L94" s="127"/>
      <c r="M94" s="49">
        <f t="shared" si="10"/>
        <v>0</v>
      </c>
      <c r="N94" s="49">
        <f t="shared" si="11"/>
        <v>0</v>
      </c>
      <c r="O94" s="55"/>
      <c r="P94" s="65"/>
      <c r="Q94" s="62"/>
      <c r="R94" s="62"/>
      <c r="S94" s="55"/>
      <c r="T94" s="63"/>
      <c r="U94" s="55"/>
      <c r="V94" s="63"/>
      <c r="W94" s="58"/>
    </row>
  </sheetData>
  <sheetProtection formatCells="0" formatColumns="0" formatRows="0" insertColumns="0" insertRows="0" insertHyperlinks="0" deleteColumns="0" deleteRows="0" selectLockedCells="1" autoFilter="0" pivotTables="0"/>
  <autoFilter ref="A3:W3" xr:uid="{A7A0A715-1455-4570-A09C-647D7AAB56B1}">
    <filterColumn colId="11" showButton="0"/>
  </autoFilter>
  <sortState xmlns:xlrd2="http://schemas.microsoft.com/office/spreadsheetml/2017/richdata2" ref="B4:Z169">
    <sortCondition ref="C3"/>
    <sortCondition ref="D3"/>
    <sortCondition ref="E3"/>
    <sortCondition ref="F3"/>
    <sortCondition ref="G3"/>
  </sortState>
  <mergeCells count="1">
    <mergeCell ref="L3:M3"/>
  </mergeCells>
  <phoneticPr fontId="6"/>
  <dataValidations count="10">
    <dataValidation type="list" allowBlank="1" showInputMessage="1" showErrorMessage="1" sqref="R107:R65400 R2" xr:uid="{CBC7CFCB-A63D-47F8-B595-49E18C28DDC2}">
      <formula1>"精算済,未精算"</formula1>
    </dataValidation>
    <dataValidation type="list" allowBlank="1" showInputMessage="1" showErrorMessage="1" sqref="L4:L94" xr:uid="{924B2C01-88F2-4F23-89F2-AD6CD6A84661}">
      <formula1>消費税率</formula1>
    </dataValidation>
    <dataValidation type="list" allowBlank="1" showInputMessage="1" showErrorMessage="1" sqref="P4:P106" xr:uid="{CD1DBECA-EFDC-4608-AB42-D0F45C41BEE8}">
      <formula1>領収書・請求書</formula1>
    </dataValidation>
    <dataValidation type="list" allowBlank="1" showInputMessage="1" showErrorMessage="1" sqref="D4:D106" xr:uid="{9BA4590F-7821-4B48-BBDC-1EC6D375990B}">
      <formula1>支出方法</formula1>
    </dataValidation>
    <dataValidation type="list" allowBlank="1" showInputMessage="1" showErrorMessage="1" sqref="T4:T106 V4:V106" xr:uid="{08B4874B-AD68-43C1-837D-30F78F51C9A0}">
      <formula1>確認者</formula1>
    </dataValidation>
    <dataValidation type="list" allowBlank="1" showInputMessage="1" showErrorMessage="1" sqref="Q4:Q106" xr:uid="{CCB5206E-0742-45F3-BF51-561A286036BD}">
      <formula1>担当者</formula1>
    </dataValidation>
    <dataValidation type="list" allowBlank="1" showInputMessage="1" showErrorMessage="1" sqref="R4:R106" xr:uid="{B09F5DDA-3021-4380-8A3D-8E71F6367616}">
      <formula1>精算状況</formula1>
    </dataValidation>
    <dataValidation type="list" allowBlank="1" showInputMessage="1" showErrorMessage="1" sqref="F4:G106" xr:uid="{8A8D9CBB-BED1-46EC-991D-0E7479C6C1B3}">
      <formula1>INDIRECT(E4)</formula1>
    </dataValidation>
    <dataValidation type="list" allowBlank="1" showInputMessage="1" showErrorMessage="1" sqref="J4:J106" xr:uid="{3747B584-F5DF-4BD4-9B39-FA1B92E65254}">
      <formula1>課税_非課税</formula1>
    </dataValidation>
    <dataValidation type="list" allowBlank="1" showInputMessage="1" showErrorMessage="1" sqref="E4:E106" xr:uid="{F4424361-CE34-447E-B210-C504A1A5FDE3}">
      <formula1>大分類</formula1>
    </dataValidation>
  </dataValidations>
  <printOptions horizontalCentered="1"/>
  <pageMargins left="0.31496062992125984" right="0.31496062992125984" top="0.55118110236220474" bottom="0.55118110236220474" header="0.31496062992125984" footer="0.31496062992125984"/>
  <pageSetup paperSize="8" scale="65" fitToHeight="0" orientation="landscape" r:id="rId1"/>
  <headerFooter>
    <oddHeader>&amp;C&amp;"-,太字"&amp;12&amp;A 支出明細（決算対象）&amp;R&amp;"-,太字" 社外秘</oddHeader>
    <oddFooter>&amp;A&amp;R&amp;P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6" r:id="rId4" name="Button 2">
              <controlPr defaultSize="0" print="0" autoFill="0" autoPict="0" macro="[0]!monthDataSort2">
                <anchor moveWithCells="1" sizeWithCells="1">
                  <from>
                    <xdr:col>6</xdr:col>
                    <xdr:colOff>276225</xdr:colOff>
                    <xdr:row>0</xdr:row>
                    <xdr:rowOff>66675</xdr:rowOff>
                  </from>
                  <to>
                    <xdr:col>8</xdr:col>
                    <xdr:colOff>723900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5" name="Button 3">
              <controlPr defaultSize="0" print="0" autoFill="0" autoPict="0" macro="[0]!monthDataSort1">
                <anchor moveWithCells="1" siz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6</xdr:col>
                    <xdr:colOff>161925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3924DC-8775-44A8-BB6C-D3B0F5C69654}">
          <x14:formula1>
            <xm:f>目次!#REF!</xm:f>
          </x14:formula1>
          <xm:sqref>J107:J1048576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22</vt:i4>
      </vt:variant>
    </vt:vector>
  </HeadingPairs>
  <TitlesOfParts>
    <vt:vector size="28" baseType="lpstr">
      <vt:lpstr>目次</vt:lpstr>
      <vt:lpstr>合計</vt:lpstr>
      <vt:lpstr>消費税</vt:lpstr>
      <vt:lpstr>配賦費</vt:lpstr>
      <vt:lpstr>▲</vt:lpstr>
      <vt:lpstr>202007</vt:lpstr>
      <vt:lpstr>'202007'!Print_Area</vt:lpstr>
      <vt:lpstr>'202007'!Print_Titles</vt:lpstr>
      <vt:lpstr>その他</vt:lpstr>
      <vt:lpstr>営業費用</vt:lpstr>
      <vt:lpstr>課税_非課税</vt:lpstr>
      <vt:lpstr>各種管理</vt:lpstr>
      <vt:lpstr>確認者</vt:lpstr>
      <vt:lpstr>固定資産</vt:lpstr>
      <vt:lpstr>支出方法</vt:lpstr>
      <vt:lpstr>事務所</vt:lpstr>
      <vt:lpstr>事務費用</vt:lpstr>
      <vt:lpstr>消費税率</vt:lpstr>
      <vt:lpstr>人材募集</vt:lpstr>
      <vt:lpstr>精算状況</vt:lpstr>
      <vt:lpstr>大分類</vt:lpstr>
      <vt:lpstr>担当者</vt:lpstr>
      <vt:lpstr>東京本社</vt:lpstr>
      <vt:lpstr>配賦費</vt:lpstr>
      <vt:lpstr>福利厚生費</vt:lpstr>
      <vt:lpstr>北京支社</vt:lpstr>
      <vt:lpstr>領収書・請求書</vt:lpstr>
      <vt:lpstr>瀋陽支社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sxrsing</cp:lastModifiedBy>
  <cp:lastPrinted>2020-06-30T07:31:31Z</cp:lastPrinted>
  <dcterms:created xsi:type="dcterms:W3CDTF">2006-09-13T11:12:02Z</dcterms:created>
  <dcterms:modified xsi:type="dcterms:W3CDTF">2020-08-26T10:03:29Z</dcterms:modified>
</cp:coreProperties>
</file>