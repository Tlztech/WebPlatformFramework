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dialogsheets/sheet1.xml" ContentType="application/vnd.openxmlformats-officedocument.spreadsheetml.dialog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64A6EB3A-077E-470C-8069-13A64D8C2F49}" xr6:coauthVersionLast="45" xr6:coauthVersionMax="45" xr10:uidLastSave="{00000000-0000-0000-0000-000000000000}"/>
  <bookViews>
    <workbookView xWindow="-120" yWindow="-120" windowWidth="29040" windowHeight="15840" tabRatio="703" xr2:uid="{00000000-000D-0000-FFFF-FFFF00000000}"/>
  </bookViews>
  <sheets>
    <sheet name="201907" sheetId="107" r:id="rId1"/>
    <sheet name="INIT" sheetId="76" r:id="rId2"/>
  </sheets>
  <functionGroups builtInGroupCount="19"/>
  <externalReferences>
    <externalReference r:id="rId3"/>
  </externalReferences>
  <definedNames>
    <definedName name="_xlnm._FilterDatabase" localSheetId="0" hidden="1">'201907'!$B$8:$BM$90</definedName>
    <definedName name="_xlnm.Print_Area" localSheetId="0">'201907'!$A$1:$BM$93</definedName>
    <definedName name="_xlnm.Print_Titles" localSheetId="0">'201907'!$A:$E,'201907'!$1:$7</definedName>
    <definedName name="課税_非課税">[1]名前の管理!$AJ$3:$AJ$21</definedName>
    <definedName name="確認者">[1]名前の管理!$AM$3:$AM$21</definedName>
    <definedName name="支出方法">[1]名前の管理!$B$3:$B$21</definedName>
    <definedName name="精算状況">[1]名前の管理!$AN$3:$AN$21</definedName>
    <definedName name="大分類">[1]名前の管理!$C$3:$C$21</definedName>
    <definedName name="担当者">[1]名前の管理!$AL$3:$AL$21</definedName>
    <definedName name="領収書・請求書">[1]名前の管理!$AK$3:$AK$21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4" i="107" l="1"/>
  <c r="AQ4" i="107"/>
  <c r="AR4" i="107"/>
  <c r="A92" i="107"/>
  <c r="AU92" i="107"/>
  <c r="AV92" i="107"/>
  <c r="AX92" i="107"/>
  <c r="AY92" i="107"/>
  <c r="AZ92" i="107"/>
  <c r="BA92" i="107"/>
  <c r="BC92" i="107"/>
  <c r="BJ92" i="107"/>
  <c r="A8" i="107"/>
  <c r="L4" i="107"/>
  <c r="K4" i="107"/>
  <c r="J4" i="107"/>
  <c r="I4" i="107"/>
  <c r="BK92" i="107" l="1"/>
  <c r="BB92" i="107"/>
  <c r="AU9" i="107" l="1"/>
  <c r="AV9" i="107"/>
  <c r="AX9" i="107"/>
  <c r="AY9" i="107"/>
  <c r="AZ9" i="107"/>
  <c r="BA9" i="107"/>
  <c r="AU10" i="107"/>
  <c r="AV10" i="107"/>
  <c r="AX10" i="107"/>
  <c r="AY10" i="107"/>
  <c r="AZ10" i="107"/>
  <c r="BA10" i="107"/>
  <c r="AU11" i="107"/>
  <c r="AV11" i="107"/>
  <c r="AX11" i="107"/>
  <c r="AY11" i="107"/>
  <c r="AZ11" i="107"/>
  <c r="BA11" i="107"/>
  <c r="AU12" i="107"/>
  <c r="AV12" i="107"/>
  <c r="AX12" i="107"/>
  <c r="AY12" i="107"/>
  <c r="AZ12" i="107"/>
  <c r="BA12" i="107"/>
  <c r="AU13" i="107"/>
  <c r="AV13" i="107"/>
  <c r="AX13" i="107"/>
  <c r="AY13" i="107"/>
  <c r="AZ13" i="107"/>
  <c r="BA13" i="107"/>
  <c r="AU14" i="107"/>
  <c r="AV14" i="107"/>
  <c r="AX14" i="107"/>
  <c r="AY14" i="107"/>
  <c r="AZ14" i="107"/>
  <c r="BA14" i="107"/>
  <c r="AU15" i="107"/>
  <c r="AV15" i="107"/>
  <c r="AX15" i="107"/>
  <c r="AY15" i="107"/>
  <c r="AZ15" i="107"/>
  <c r="BA15" i="107"/>
  <c r="AU16" i="107"/>
  <c r="AV16" i="107"/>
  <c r="AX16" i="107"/>
  <c r="AY16" i="107"/>
  <c r="AZ16" i="107"/>
  <c r="BA16" i="107"/>
  <c r="AU17" i="107"/>
  <c r="AV17" i="107"/>
  <c r="AX17" i="107"/>
  <c r="AY17" i="107"/>
  <c r="AZ17" i="107"/>
  <c r="BA17" i="107"/>
  <c r="AU18" i="107"/>
  <c r="AV18" i="107"/>
  <c r="AX18" i="107"/>
  <c r="AY18" i="107"/>
  <c r="AZ18" i="107"/>
  <c r="BA18" i="107"/>
  <c r="AU19" i="107"/>
  <c r="AV19" i="107"/>
  <c r="AX19" i="107"/>
  <c r="AY19" i="107"/>
  <c r="AZ19" i="107"/>
  <c r="BA19" i="107"/>
  <c r="AU20" i="107"/>
  <c r="AV20" i="107"/>
  <c r="AX20" i="107"/>
  <c r="AY20" i="107"/>
  <c r="AZ20" i="107"/>
  <c r="BA20" i="107"/>
  <c r="AU21" i="107"/>
  <c r="AV21" i="107"/>
  <c r="AX21" i="107"/>
  <c r="AY21" i="107"/>
  <c r="AZ21" i="107"/>
  <c r="BA21" i="107"/>
  <c r="AU22" i="107"/>
  <c r="AV22" i="107"/>
  <c r="AX22" i="107"/>
  <c r="AY22" i="107"/>
  <c r="AZ22" i="107"/>
  <c r="BA22" i="107"/>
  <c r="AU23" i="107"/>
  <c r="AV23" i="107"/>
  <c r="AX23" i="107"/>
  <c r="AY23" i="107"/>
  <c r="AZ23" i="107"/>
  <c r="BA23" i="107"/>
  <c r="AU24" i="107"/>
  <c r="AV24" i="107"/>
  <c r="AX24" i="107"/>
  <c r="AY24" i="107"/>
  <c r="AZ24" i="107"/>
  <c r="BA24" i="107"/>
  <c r="AU25" i="107"/>
  <c r="AV25" i="107"/>
  <c r="AX25" i="107"/>
  <c r="AY25" i="107"/>
  <c r="AZ25" i="107"/>
  <c r="BA25" i="107"/>
  <c r="AU26" i="107"/>
  <c r="AV26" i="107"/>
  <c r="AX26" i="107"/>
  <c r="AY26" i="107"/>
  <c r="AZ26" i="107"/>
  <c r="BA26" i="107"/>
  <c r="AU27" i="107"/>
  <c r="AV27" i="107"/>
  <c r="AX27" i="107"/>
  <c r="AY27" i="107"/>
  <c r="AZ27" i="107"/>
  <c r="BA27" i="107"/>
  <c r="AU28" i="107"/>
  <c r="AV28" i="107"/>
  <c r="AX28" i="107"/>
  <c r="AY28" i="107"/>
  <c r="AZ28" i="107"/>
  <c r="BA28" i="107"/>
  <c r="AU29" i="107"/>
  <c r="AV29" i="107"/>
  <c r="AX29" i="107"/>
  <c r="AY29" i="107"/>
  <c r="AZ29" i="107"/>
  <c r="BA29" i="107"/>
  <c r="AU30" i="107"/>
  <c r="AV30" i="107"/>
  <c r="AX30" i="107"/>
  <c r="AY30" i="107"/>
  <c r="AZ30" i="107"/>
  <c r="BA30" i="107"/>
  <c r="AU31" i="107"/>
  <c r="AV31" i="107"/>
  <c r="AX31" i="107"/>
  <c r="AY31" i="107"/>
  <c r="AZ31" i="107"/>
  <c r="BA31" i="107"/>
  <c r="AU32" i="107"/>
  <c r="AV32" i="107"/>
  <c r="AX32" i="107"/>
  <c r="AY32" i="107"/>
  <c r="AZ32" i="107"/>
  <c r="BA32" i="107"/>
  <c r="AU33" i="107"/>
  <c r="AV33" i="107"/>
  <c r="AX33" i="107"/>
  <c r="AY33" i="107"/>
  <c r="AZ33" i="107"/>
  <c r="BA33" i="107"/>
  <c r="AU34" i="107"/>
  <c r="AV34" i="107"/>
  <c r="AX34" i="107"/>
  <c r="AY34" i="107"/>
  <c r="AZ34" i="107"/>
  <c r="BA34" i="107"/>
  <c r="AU35" i="107"/>
  <c r="AV35" i="107"/>
  <c r="AX35" i="107"/>
  <c r="AY35" i="107"/>
  <c r="AZ35" i="107"/>
  <c r="BA35" i="107"/>
  <c r="AU36" i="107"/>
  <c r="AV36" i="107"/>
  <c r="AX36" i="107"/>
  <c r="AY36" i="107"/>
  <c r="AZ36" i="107"/>
  <c r="BA36" i="107"/>
  <c r="AU37" i="107"/>
  <c r="AV37" i="107"/>
  <c r="AX37" i="107"/>
  <c r="AY37" i="107"/>
  <c r="AZ37" i="107"/>
  <c r="BA37" i="107"/>
  <c r="AU38" i="107"/>
  <c r="AV38" i="107"/>
  <c r="AX38" i="107"/>
  <c r="AY38" i="107"/>
  <c r="AZ38" i="107"/>
  <c r="BA38" i="107"/>
  <c r="AU39" i="107"/>
  <c r="AV39" i="107"/>
  <c r="AX39" i="107"/>
  <c r="AY39" i="107"/>
  <c r="AZ39" i="107"/>
  <c r="BA39" i="107"/>
  <c r="AU40" i="107"/>
  <c r="AV40" i="107"/>
  <c r="AX40" i="107"/>
  <c r="AY40" i="107"/>
  <c r="AZ40" i="107"/>
  <c r="BA40" i="107"/>
  <c r="AU41" i="107"/>
  <c r="AV41" i="107"/>
  <c r="AX41" i="107"/>
  <c r="AY41" i="107"/>
  <c r="AZ41" i="107"/>
  <c r="BA41" i="107"/>
  <c r="AU42" i="107"/>
  <c r="AV42" i="107"/>
  <c r="AX42" i="107"/>
  <c r="AY42" i="107"/>
  <c r="AZ42" i="107"/>
  <c r="BA42" i="107"/>
  <c r="AU43" i="107"/>
  <c r="AV43" i="107"/>
  <c r="AX43" i="107"/>
  <c r="AY43" i="107"/>
  <c r="AZ43" i="107"/>
  <c r="BA43" i="107"/>
  <c r="AU44" i="107"/>
  <c r="AV44" i="107"/>
  <c r="AX44" i="107"/>
  <c r="AY44" i="107"/>
  <c r="AZ44" i="107"/>
  <c r="BA44" i="107"/>
  <c r="AU45" i="107"/>
  <c r="AV45" i="107"/>
  <c r="AX45" i="107"/>
  <c r="AY45" i="107"/>
  <c r="AZ45" i="107"/>
  <c r="BA45" i="107"/>
  <c r="AU46" i="107"/>
  <c r="AV46" i="107"/>
  <c r="AX46" i="107"/>
  <c r="AY46" i="107"/>
  <c r="AZ46" i="107"/>
  <c r="BA46" i="107"/>
  <c r="AU47" i="107"/>
  <c r="AV47" i="107"/>
  <c r="AX47" i="107"/>
  <c r="AY47" i="107"/>
  <c r="AZ47" i="107"/>
  <c r="BA47" i="107"/>
  <c r="AU48" i="107"/>
  <c r="AV48" i="107"/>
  <c r="AX48" i="107"/>
  <c r="AY48" i="107"/>
  <c r="AZ48" i="107"/>
  <c r="BA48" i="107"/>
  <c r="AU49" i="107"/>
  <c r="AV49" i="107"/>
  <c r="AX49" i="107"/>
  <c r="AY49" i="107"/>
  <c r="AZ49" i="107"/>
  <c r="BA49" i="107"/>
  <c r="AU50" i="107"/>
  <c r="AV50" i="107"/>
  <c r="AX50" i="107"/>
  <c r="AY50" i="107"/>
  <c r="AZ50" i="107"/>
  <c r="BA50" i="107"/>
  <c r="AU51" i="107"/>
  <c r="AV51" i="107"/>
  <c r="AX51" i="107"/>
  <c r="AY51" i="107"/>
  <c r="AZ51" i="107"/>
  <c r="BA51" i="107"/>
  <c r="AU52" i="107"/>
  <c r="AV52" i="107"/>
  <c r="AX52" i="107"/>
  <c r="AY52" i="107"/>
  <c r="AZ52" i="107"/>
  <c r="BA52" i="107"/>
  <c r="AU53" i="107"/>
  <c r="AV53" i="107"/>
  <c r="AX53" i="107"/>
  <c r="AY53" i="107"/>
  <c r="AZ53" i="107"/>
  <c r="BA53" i="107"/>
  <c r="AU54" i="107"/>
  <c r="AV54" i="107"/>
  <c r="AX54" i="107"/>
  <c r="AY54" i="107"/>
  <c r="AZ54" i="107"/>
  <c r="BA54" i="107"/>
  <c r="AU55" i="107"/>
  <c r="AV55" i="107"/>
  <c r="AX55" i="107"/>
  <c r="AY55" i="107"/>
  <c r="AZ55" i="107"/>
  <c r="BA55" i="107"/>
  <c r="AU56" i="107"/>
  <c r="AV56" i="107"/>
  <c r="AX56" i="107"/>
  <c r="AY56" i="107"/>
  <c r="AZ56" i="107"/>
  <c r="BA56" i="107"/>
  <c r="AU57" i="107"/>
  <c r="AV57" i="107"/>
  <c r="AX57" i="107"/>
  <c r="AY57" i="107"/>
  <c r="AZ57" i="107"/>
  <c r="BA57" i="107"/>
  <c r="AU58" i="107"/>
  <c r="AV58" i="107"/>
  <c r="AX58" i="107"/>
  <c r="AY58" i="107"/>
  <c r="AZ58" i="107"/>
  <c r="BA58" i="107"/>
  <c r="AU59" i="107"/>
  <c r="AV59" i="107"/>
  <c r="AX59" i="107"/>
  <c r="AY59" i="107"/>
  <c r="AZ59" i="107"/>
  <c r="BA59" i="107"/>
  <c r="AU60" i="107"/>
  <c r="AV60" i="107"/>
  <c r="AX60" i="107"/>
  <c r="AY60" i="107"/>
  <c r="AZ60" i="107"/>
  <c r="BA60" i="107"/>
  <c r="AU61" i="107"/>
  <c r="AV61" i="107"/>
  <c r="AX61" i="107"/>
  <c r="AY61" i="107"/>
  <c r="AZ61" i="107"/>
  <c r="BA61" i="107"/>
  <c r="AU62" i="107"/>
  <c r="AV62" i="107"/>
  <c r="AX62" i="107"/>
  <c r="AY62" i="107"/>
  <c r="AZ62" i="107"/>
  <c r="BA62" i="107"/>
  <c r="AU63" i="107"/>
  <c r="AV63" i="107"/>
  <c r="AX63" i="107"/>
  <c r="AY63" i="107"/>
  <c r="AZ63" i="107"/>
  <c r="BA63" i="107"/>
  <c r="AU64" i="107"/>
  <c r="AV64" i="107"/>
  <c r="AX64" i="107"/>
  <c r="AY64" i="107"/>
  <c r="AZ64" i="107"/>
  <c r="BA64" i="107"/>
  <c r="AU65" i="107"/>
  <c r="AV65" i="107"/>
  <c r="AX65" i="107"/>
  <c r="AY65" i="107"/>
  <c r="AZ65" i="107"/>
  <c r="BA65" i="107"/>
  <c r="AU66" i="107"/>
  <c r="AV66" i="107"/>
  <c r="AX66" i="107"/>
  <c r="AY66" i="107"/>
  <c r="AZ66" i="107"/>
  <c r="BA66" i="107"/>
  <c r="AU67" i="107"/>
  <c r="AV67" i="107"/>
  <c r="AX67" i="107"/>
  <c r="AY67" i="107"/>
  <c r="AZ67" i="107"/>
  <c r="BA67" i="107"/>
  <c r="AU68" i="107"/>
  <c r="AV68" i="107"/>
  <c r="AX68" i="107"/>
  <c r="AY68" i="107"/>
  <c r="AZ68" i="107"/>
  <c r="BA68" i="107"/>
  <c r="AU69" i="107"/>
  <c r="AV69" i="107"/>
  <c r="AX69" i="107"/>
  <c r="AY69" i="107"/>
  <c r="AZ69" i="107"/>
  <c r="BA69" i="107"/>
  <c r="AU70" i="107"/>
  <c r="AV70" i="107"/>
  <c r="AX70" i="107"/>
  <c r="AY70" i="107"/>
  <c r="AZ70" i="107"/>
  <c r="BA70" i="107"/>
  <c r="AU71" i="107"/>
  <c r="AV71" i="107"/>
  <c r="AX71" i="107"/>
  <c r="AY71" i="107"/>
  <c r="AZ71" i="107"/>
  <c r="BA71" i="107"/>
  <c r="AU72" i="107"/>
  <c r="AV72" i="107"/>
  <c r="AX72" i="107"/>
  <c r="AY72" i="107"/>
  <c r="AZ72" i="107"/>
  <c r="BA72" i="107"/>
  <c r="AU73" i="107"/>
  <c r="AV73" i="107"/>
  <c r="AX73" i="107"/>
  <c r="AY73" i="107"/>
  <c r="AZ73" i="107"/>
  <c r="BA73" i="107"/>
  <c r="AU74" i="107"/>
  <c r="AV74" i="107"/>
  <c r="AX74" i="107"/>
  <c r="AY74" i="107"/>
  <c r="AZ74" i="107"/>
  <c r="BA74" i="107"/>
  <c r="AU75" i="107"/>
  <c r="AV75" i="107"/>
  <c r="AX75" i="107"/>
  <c r="AY75" i="107"/>
  <c r="AZ75" i="107"/>
  <c r="BA75" i="107"/>
  <c r="AU76" i="107"/>
  <c r="AV76" i="107"/>
  <c r="AX76" i="107"/>
  <c r="AY76" i="107"/>
  <c r="AZ76" i="107"/>
  <c r="BA76" i="107"/>
  <c r="AU77" i="107"/>
  <c r="AV77" i="107"/>
  <c r="AX77" i="107"/>
  <c r="AY77" i="107"/>
  <c r="AZ77" i="107"/>
  <c r="BA77" i="107"/>
  <c r="AU78" i="107"/>
  <c r="AV78" i="107"/>
  <c r="AX78" i="107"/>
  <c r="AY78" i="107"/>
  <c r="AZ78" i="107"/>
  <c r="BA78" i="107"/>
  <c r="AU79" i="107"/>
  <c r="AV79" i="107"/>
  <c r="AX79" i="107"/>
  <c r="AY79" i="107"/>
  <c r="AZ79" i="107"/>
  <c r="BA79" i="107"/>
  <c r="AU80" i="107"/>
  <c r="AV80" i="107"/>
  <c r="AX80" i="107"/>
  <c r="AY80" i="107"/>
  <c r="AZ80" i="107"/>
  <c r="BA80" i="107"/>
  <c r="AU81" i="107"/>
  <c r="AV81" i="107"/>
  <c r="AX81" i="107"/>
  <c r="AY81" i="107"/>
  <c r="AZ81" i="107"/>
  <c r="BA81" i="107"/>
  <c r="AU82" i="107"/>
  <c r="AV82" i="107"/>
  <c r="AX82" i="107"/>
  <c r="AY82" i="107"/>
  <c r="AZ82" i="107"/>
  <c r="BA82" i="107"/>
  <c r="AU83" i="107"/>
  <c r="AV83" i="107"/>
  <c r="AX83" i="107"/>
  <c r="AY83" i="107"/>
  <c r="AZ83" i="107"/>
  <c r="BA83" i="107"/>
  <c r="AU84" i="107"/>
  <c r="AV84" i="107"/>
  <c r="AX84" i="107"/>
  <c r="AY84" i="107"/>
  <c r="AZ84" i="107"/>
  <c r="BA84" i="107"/>
  <c r="AU85" i="107"/>
  <c r="AV85" i="107"/>
  <c r="AX85" i="107"/>
  <c r="AY85" i="107"/>
  <c r="AZ85" i="107"/>
  <c r="BA85" i="107"/>
  <c r="AU86" i="107"/>
  <c r="AV86" i="107"/>
  <c r="AX86" i="107"/>
  <c r="AY86" i="107"/>
  <c r="AZ86" i="107"/>
  <c r="BA86" i="107"/>
  <c r="AU87" i="107"/>
  <c r="AV87" i="107"/>
  <c r="AX87" i="107"/>
  <c r="AY87" i="107"/>
  <c r="AZ87" i="107"/>
  <c r="BA87" i="107"/>
  <c r="AU88" i="107"/>
  <c r="AV88" i="107"/>
  <c r="AX88" i="107"/>
  <c r="AY88" i="107"/>
  <c r="AZ88" i="107"/>
  <c r="BA88" i="107"/>
  <c r="AU89" i="107"/>
  <c r="AV89" i="107"/>
  <c r="AX89" i="107"/>
  <c r="AY89" i="107"/>
  <c r="AZ89" i="107"/>
  <c r="BA89" i="107"/>
  <c r="AU90" i="107"/>
  <c r="AV90" i="107"/>
  <c r="AX90" i="107"/>
  <c r="AY90" i="107"/>
  <c r="AZ90" i="107"/>
  <c r="BA90" i="107"/>
  <c r="AU91" i="107"/>
  <c r="AV91" i="107"/>
  <c r="AX91" i="107"/>
  <c r="AY91" i="107"/>
  <c r="AZ91" i="107"/>
  <c r="BA91" i="107"/>
  <c r="BA8" i="107"/>
  <c r="AV8" i="107"/>
  <c r="AU8" i="107"/>
  <c r="U4" i="107"/>
  <c r="AF4" i="107"/>
  <c r="AE4" i="107"/>
  <c r="AD4" i="107"/>
  <c r="AC4" i="107"/>
  <c r="AB4" i="107"/>
  <c r="AA4" i="107"/>
  <c r="Z4" i="107"/>
  <c r="Y4" i="107"/>
  <c r="X4" i="107"/>
  <c r="W4" i="107"/>
  <c r="V4" i="107"/>
  <c r="P4" i="107"/>
  <c r="Q4" i="107"/>
  <c r="R4" i="107"/>
  <c r="T4" i="107"/>
  <c r="O4" i="107"/>
  <c r="BC8" i="107"/>
  <c r="BJ9" i="107"/>
  <c r="BJ10" i="107"/>
  <c r="BJ11" i="107"/>
  <c r="BJ12" i="107"/>
  <c r="BJ13" i="107"/>
  <c r="BJ14" i="107"/>
  <c r="BJ15" i="107"/>
  <c r="BJ16" i="107"/>
  <c r="BJ17" i="107"/>
  <c r="BJ18" i="107"/>
  <c r="BJ19" i="107"/>
  <c r="BJ20" i="107"/>
  <c r="BJ21" i="107"/>
  <c r="BJ22" i="107"/>
  <c r="BJ23" i="107"/>
  <c r="BJ24" i="107"/>
  <c r="BJ25" i="107"/>
  <c r="BJ26" i="107"/>
  <c r="BJ27" i="107"/>
  <c r="BJ28" i="107"/>
  <c r="BJ29" i="107"/>
  <c r="BJ30" i="107"/>
  <c r="BJ31" i="107"/>
  <c r="BJ32" i="107"/>
  <c r="BJ33" i="107"/>
  <c r="BJ34" i="107"/>
  <c r="BJ35" i="107"/>
  <c r="BJ36" i="107"/>
  <c r="BJ37" i="107"/>
  <c r="BJ38" i="107"/>
  <c r="BJ39" i="107"/>
  <c r="BJ40" i="107"/>
  <c r="BJ41" i="107"/>
  <c r="BJ42" i="107"/>
  <c r="BJ43" i="107"/>
  <c r="BJ44" i="107"/>
  <c r="BJ45" i="107"/>
  <c r="BJ46" i="107"/>
  <c r="BJ47" i="107"/>
  <c r="BJ48" i="107"/>
  <c r="BJ49" i="107"/>
  <c r="BJ50" i="107"/>
  <c r="BJ51" i="107"/>
  <c r="BJ52" i="107"/>
  <c r="BJ53" i="107"/>
  <c r="BJ54" i="107"/>
  <c r="BJ55" i="107"/>
  <c r="BJ56" i="107"/>
  <c r="BJ57" i="107"/>
  <c r="BJ58" i="107"/>
  <c r="BJ59" i="107"/>
  <c r="BJ60" i="107"/>
  <c r="BJ61" i="107"/>
  <c r="BJ62" i="107"/>
  <c r="BJ63" i="107"/>
  <c r="BJ64" i="107"/>
  <c r="BJ65" i="107"/>
  <c r="BJ66" i="107"/>
  <c r="BJ67" i="107"/>
  <c r="BJ68" i="107"/>
  <c r="BJ69" i="107"/>
  <c r="BJ70" i="107"/>
  <c r="BJ71" i="107"/>
  <c r="BJ72" i="107"/>
  <c r="BJ73" i="107"/>
  <c r="BJ74" i="107"/>
  <c r="BJ75" i="107"/>
  <c r="BJ76" i="107"/>
  <c r="BJ77" i="107"/>
  <c r="BJ78" i="107"/>
  <c r="BJ79" i="107"/>
  <c r="BJ80" i="107"/>
  <c r="BJ81" i="107"/>
  <c r="BJ82" i="107"/>
  <c r="BJ83" i="107"/>
  <c r="BJ84" i="107"/>
  <c r="BJ85" i="107"/>
  <c r="BJ86" i="107"/>
  <c r="BJ87" i="107"/>
  <c r="BJ88" i="107"/>
  <c r="BJ89" i="107"/>
  <c r="BJ90" i="107"/>
  <c r="BJ91" i="107"/>
  <c r="BJ8" i="107"/>
  <c r="BC91" i="107"/>
  <c r="A91" i="107"/>
  <c r="AZ8" i="107"/>
  <c r="AX8" i="107"/>
  <c r="BC90" i="107"/>
  <c r="A90" i="107"/>
  <c r="BC89" i="107"/>
  <c r="A89" i="107"/>
  <c r="BC88" i="107"/>
  <c r="A88" i="107"/>
  <c r="BC87" i="107"/>
  <c r="A87" i="107"/>
  <c r="BC86" i="107"/>
  <c r="A86" i="107"/>
  <c r="BC85" i="107"/>
  <c r="A85" i="107"/>
  <c r="BC84" i="107"/>
  <c r="A84" i="107"/>
  <c r="BC83" i="107"/>
  <c r="A83" i="107"/>
  <c r="BC82" i="107"/>
  <c r="A82" i="107"/>
  <c r="BC81" i="107"/>
  <c r="A81" i="107"/>
  <c r="BC80" i="107"/>
  <c r="A80" i="107"/>
  <c r="BC79" i="107"/>
  <c r="A79" i="107"/>
  <c r="BC78" i="107"/>
  <c r="A78" i="107"/>
  <c r="BC77" i="107"/>
  <c r="A77" i="107"/>
  <c r="BC76" i="107"/>
  <c r="A76" i="107"/>
  <c r="BC75" i="107"/>
  <c r="A75" i="107"/>
  <c r="BC74" i="107"/>
  <c r="A74" i="107"/>
  <c r="BC73" i="107"/>
  <c r="A73" i="107"/>
  <c r="BC72" i="107"/>
  <c r="A72" i="107"/>
  <c r="BC71" i="107"/>
  <c r="A71" i="107"/>
  <c r="BC70" i="107"/>
  <c r="A70" i="107"/>
  <c r="BC69" i="107"/>
  <c r="A69" i="107"/>
  <c r="BC68" i="107"/>
  <c r="A68" i="107"/>
  <c r="BC67" i="107"/>
  <c r="A67" i="107"/>
  <c r="BC66" i="107"/>
  <c r="A66" i="107"/>
  <c r="BC65" i="107"/>
  <c r="A65" i="107"/>
  <c r="BC64" i="107"/>
  <c r="A64" i="107"/>
  <c r="BC63" i="107"/>
  <c r="A63" i="107"/>
  <c r="BC62" i="107"/>
  <c r="A62" i="107"/>
  <c r="BC61" i="107"/>
  <c r="A61" i="107"/>
  <c r="BC60" i="107"/>
  <c r="A60" i="107"/>
  <c r="BC59" i="107"/>
  <c r="A59" i="107"/>
  <c r="BC58" i="107"/>
  <c r="A58" i="107"/>
  <c r="BC57" i="107"/>
  <c r="A57" i="107"/>
  <c r="BC56" i="107"/>
  <c r="A56" i="107"/>
  <c r="BC55" i="107"/>
  <c r="A55" i="107"/>
  <c r="BC54" i="107"/>
  <c r="A54" i="107"/>
  <c r="BC53" i="107"/>
  <c r="A53" i="107"/>
  <c r="BC52" i="107"/>
  <c r="A52" i="107"/>
  <c r="BC51" i="107"/>
  <c r="A51" i="107"/>
  <c r="BC50" i="107"/>
  <c r="A50" i="107"/>
  <c r="BC49" i="107"/>
  <c r="A49" i="107"/>
  <c r="BC48" i="107"/>
  <c r="A48" i="107"/>
  <c r="BC47" i="107"/>
  <c r="A47" i="107"/>
  <c r="BC46" i="107"/>
  <c r="A46" i="107"/>
  <c r="BC45" i="107"/>
  <c r="A45" i="107"/>
  <c r="BC44" i="107"/>
  <c r="A44" i="107"/>
  <c r="BC43" i="107"/>
  <c r="A43" i="107"/>
  <c r="BC42" i="107"/>
  <c r="A42" i="107"/>
  <c r="BC41" i="107"/>
  <c r="A41" i="107"/>
  <c r="BC40" i="107"/>
  <c r="A40" i="107"/>
  <c r="BC39" i="107"/>
  <c r="A39" i="107"/>
  <c r="BC38" i="107"/>
  <c r="A38" i="107"/>
  <c r="BC37" i="107"/>
  <c r="A37" i="107"/>
  <c r="BC36" i="107"/>
  <c r="A36" i="107"/>
  <c r="BC35" i="107"/>
  <c r="A35" i="107"/>
  <c r="BC34" i="107"/>
  <c r="A34" i="107"/>
  <c r="BC33" i="107"/>
  <c r="A33" i="107"/>
  <c r="BC32" i="107"/>
  <c r="A32" i="107"/>
  <c r="BC31" i="107"/>
  <c r="A31" i="107"/>
  <c r="BC30" i="107"/>
  <c r="A30" i="107"/>
  <c r="BC29" i="107"/>
  <c r="A29" i="107"/>
  <c r="BC28" i="107"/>
  <c r="A28" i="107"/>
  <c r="BC27" i="107"/>
  <c r="A27" i="107"/>
  <c r="BC26" i="107"/>
  <c r="A26" i="107"/>
  <c r="BC25" i="107"/>
  <c r="A25" i="107"/>
  <c r="BC24" i="107"/>
  <c r="A24" i="107"/>
  <c r="BC23" i="107"/>
  <c r="A23" i="107"/>
  <c r="BC22" i="107"/>
  <c r="A22" i="107"/>
  <c r="BC21" i="107"/>
  <c r="A21" i="107"/>
  <c r="BC20" i="107"/>
  <c r="A20" i="107"/>
  <c r="BC19" i="107"/>
  <c r="A19" i="107"/>
  <c r="BC18" i="107"/>
  <c r="A18" i="107"/>
  <c r="BC17" i="107"/>
  <c r="A17" i="107"/>
  <c r="BC16" i="107"/>
  <c r="A16" i="107"/>
  <c r="BC15" i="107"/>
  <c r="A15" i="107"/>
  <c r="BC14" i="107"/>
  <c r="A14" i="107"/>
  <c r="BC13" i="107"/>
  <c r="A13" i="107"/>
  <c r="BC12" i="107"/>
  <c r="A12" i="107"/>
  <c r="BC11" i="107"/>
  <c r="A11" i="107"/>
  <c r="BC10" i="107"/>
  <c r="A10" i="107"/>
  <c r="BC9" i="107"/>
  <c r="A9" i="107"/>
  <c r="AY8" i="107"/>
  <c r="AS4" i="107"/>
  <c r="BB91" i="107" l="1"/>
  <c r="BB82" i="107"/>
  <c r="BB73" i="107"/>
  <c r="BB9" i="107"/>
  <c r="BK73" i="107"/>
  <c r="BB88" i="107"/>
  <c r="BB85" i="107"/>
  <c r="BB83" i="107"/>
  <c r="BB80" i="107"/>
  <c r="BB78" i="107"/>
  <c r="BB77" i="107"/>
  <c r="BB75" i="107"/>
  <c r="BB74" i="107"/>
  <c r="BB71" i="107"/>
  <c r="BK89" i="107"/>
  <c r="BK87" i="107"/>
  <c r="BK83" i="107"/>
  <c r="BK81" i="107"/>
  <c r="BB27" i="107"/>
  <c r="BK91" i="107"/>
  <c r="BK32" i="107"/>
  <c r="BK51" i="107"/>
  <c r="BK50" i="107"/>
  <c r="BB45" i="107"/>
  <c r="BB35" i="107"/>
  <c r="BB90" i="107"/>
  <c r="BB89" i="107"/>
  <c r="BB87" i="107"/>
  <c r="BB86" i="107"/>
  <c r="BK85" i="107"/>
  <c r="BB84" i="107"/>
  <c r="BB81" i="107"/>
  <c r="BK79" i="107"/>
  <c r="BK77" i="107"/>
  <c r="BB76" i="107"/>
  <c r="BK75" i="107"/>
  <c r="BB72" i="107"/>
  <c r="BK41" i="107"/>
  <c r="BK69" i="107"/>
  <c r="BB69" i="107"/>
  <c r="BB65" i="107"/>
  <c r="BK61" i="107"/>
  <c r="BB61" i="107"/>
  <c r="BB60" i="107"/>
  <c r="BB57" i="107"/>
  <c r="BK57" i="107"/>
  <c r="BB54" i="107"/>
  <c r="BB53" i="107"/>
  <c r="BK53" i="107"/>
  <c r="BB47" i="107"/>
  <c r="BB42" i="107"/>
  <c r="BK40" i="107"/>
  <c r="BB40" i="107"/>
  <c r="BB33" i="107"/>
  <c r="BK33" i="107"/>
  <c r="BB31" i="107"/>
  <c r="BK24" i="107"/>
  <c r="BB24" i="107"/>
  <c r="BK23" i="107"/>
  <c r="BB23" i="107"/>
  <c r="BK21" i="107"/>
  <c r="BB18" i="107"/>
  <c r="BB17" i="107"/>
  <c r="BK12" i="107"/>
  <c r="BK84" i="107"/>
  <c r="BK76" i="107"/>
  <c r="BB41" i="107"/>
  <c r="BB38" i="107"/>
  <c r="BB20" i="107"/>
  <c r="BB25" i="107"/>
  <c r="BK71" i="107"/>
  <c r="BK70" i="107"/>
  <c r="BB70" i="107"/>
  <c r="BK68" i="107"/>
  <c r="BB68" i="107"/>
  <c r="BK67" i="107"/>
  <c r="BB67" i="107"/>
  <c r="BB66" i="107"/>
  <c r="BK66" i="107"/>
  <c r="BK65" i="107"/>
  <c r="BK64" i="107"/>
  <c r="BB64" i="107"/>
  <c r="BB63" i="107"/>
  <c r="BK63" i="107"/>
  <c r="BB62" i="107"/>
  <c r="BK62" i="107"/>
  <c r="BK60" i="107"/>
  <c r="BB59" i="107"/>
  <c r="BK59" i="107"/>
  <c r="BK58" i="107"/>
  <c r="BB58" i="107"/>
  <c r="BK56" i="107"/>
  <c r="BB56" i="107"/>
  <c r="BB55" i="107"/>
  <c r="BK55" i="107"/>
  <c r="BK54" i="107"/>
  <c r="BB52" i="107"/>
  <c r="BK52" i="107"/>
  <c r="BB51" i="107"/>
  <c r="BB50" i="107"/>
  <c r="BB49" i="107"/>
  <c r="BK49" i="107"/>
  <c r="BB48" i="107"/>
  <c r="BK48" i="107"/>
  <c r="BK47" i="107"/>
  <c r="BK46" i="107"/>
  <c r="BB46" i="107"/>
  <c r="BK45" i="107"/>
  <c r="BK44" i="107"/>
  <c r="BB44" i="107"/>
  <c r="BK43" i="107"/>
  <c r="BB43" i="107"/>
  <c r="BK42" i="107"/>
  <c r="BB39" i="107"/>
  <c r="BK39" i="107"/>
  <c r="BK38" i="107"/>
  <c r="BK37" i="107"/>
  <c r="BB37" i="107"/>
  <c r="BB36" i="107"/>
  <c r="BK36" i="107"/>
  <c r="BK35" i="107"/>
  <c r="BB34" i="107"/>
  <c r="BK34" i="107"/>
  <c r="BB32" i="107"/>
  <c r="BK31" i="107"/>
  <c r="BB30" i="107"/>
  <c r="BK30" i="107"/>
  <c r="BB29" i="107"/>
  <c r="BK29" i="107"/>
  <c r="BB28" i="107"/>
  <c r="BK28" i="107"/>
  <c r="BK27" i="107"/>
  <c r="BK26" i="107"/>
  <c r="BB26" i="107"/>
  <c r="BK25" i="107"/>
  <c r="BB22" i="107"/>
  <c r="BK22" i="107"/>
  <c r="BB21" i="107"/>
  <c r="BK20" i="107"/>
  <c r="BK19" i="107"/>
  <c r="BB19" i="107"/>
  <c r="BK18" i="107"/>
  <c r="BK17" i="107"/>
  <c r="AZ3" i="107"/>
  <c r="BB16" i="107"/>
  <c r="BK16" i="107"/>
  <c r="AY3" i="107"/>
  <c r="BK15" i="107"/>
  <c r="BB15" i="107"/>
  <c r="BB14" i="107"/>
  <c r="BK14" i="107"/>
  <c r="BK13" i="107"/>
  <c r="BB13" i="107"/>
  <c r="BB12" i="107"/>
  <c r="BB11" i="107"/>
  <c r="AV3" i="107"/>
  <c r="BK11" i="107"/>
  <c r="BB10" i="107"/>
  <c r="BK10" i="107"/>
  <c r="BA3" i="107"/>
  <c r="BC3" i="107"/>
  <c r="BK9" i="107"/>
  <c r="AU3" i="107"/>
  <c r="BJ3" i="107"/>
  <c r="BK8" i="107"/>
  <c r="BB8" i="107"/>
  <c r="AX3" i="107"/>
  <c r="BK90" i="107"/>
  <c r="BK88" i="107"/>
  <c r="BK86" i="107"/>
  <c r="BK82" i="107"/>
  <c r="BK80" i="107"/>
  <c r="BK78" i="107"/>
  <c r="BK74" i="107"/>
  <c r="BK72" i="107"/>
  <c r="BB79" i="107"/>
  <c r="BB3" i="107" l="1"/>
  <c r="BK3" i="107"/>
  <c r="BD3" i="10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sxrsing</author>
  </authors>
  <commentList>
    <comment ref="AU6" authorId="0" shapeId="0" xr:uid="{41C7A9DC-CFDE-49D8-9A7B-51D71E85890B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--会社負担
総支払額(交通費込み)の0.6%
--個人負担
総支払額(交通費込み)の0.3%
雇用保険加入の場合のみ</t>
        </r>
      </text>
    </comment>
    <comment ref="AV6" authorId="0" shapeId="0" xr:uid="{FF40ACB3-DA3F-470B-83D2-F5136BBC5129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--会社負担
総支払額(交通費込み)の0.3%
--個人負担
なし
雇用保険加入の有無関係なし
</t>
        </r>
      </text>
    </comment>
    <comment ref="AX6" authorId="0" shapeId="0" xr:uid="{D7160FE8-B1EF-44BC-9AAD-F8D670A95FD3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標準報酬月額（健保）の9.96% / 2</t>
        </r>
      </text>
    </comment>
    <comment ref="AY6" authorId="0" shapeId="0" xr:uid="{E1325A71-DF62-4660-805A-0F23542DDA04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標準報酬月額（健保）の1.73% / 2
40歳以上のみ</t>
        </r>
      </text>
    </comment>
    <comment ref="AZ6" authorId="0" shapeId="0" xr:uid="{8170BA5D-8E35-45AA-93DE-BCBEE8B5E881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標準報酬月額（年金）の17.828% / 2</t>
        </r>
      </text>
    </comment>
    <comment ref="BA6" authorId="0" shapeId="0" xr:uid="{2BE2FC34-BEB5-4788-8997-B4832AA5021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sxrsing:
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標準報酬月額（年金）の0.34%</t>
        </r>
      </text>
    </comment>
    <comment ref="BB6" authorId="0" shapeId="0" xr:uid="{4735FD88-4CFE-4E6F-833C-25D6C1A0C93A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健保、介護、年金、子供・子育て拠出金の合計金額
</t>
        </r>
      </text>
    </comment>
  </commentList>
</comments>
</file>

<file path=xl/sharedStrings.xml><?xml version="1.0" encoding="utf-8"?>
<sst xmlns="http://schemas.openxmlformats.org/spreadsheetml/2006/main" count="138" uniqueCount="81">
  <si>
    <t>#</t>
    <phoneticPr fontId="1"/>
  </si>
  <si>
    <t>日時</t>
    <rPh sb="0" eb="2">
      <t>ニチジ</t>
    </rPh>
    <phoneticPr fontId="1"/>
  </si>
  <si>
    <t>備考</t>
    <rPh sb="0" eb="2">
      <t>ビコウ</t>
    </rPh>
    <phoneticPr fontId="1"/>
  </si>
  <si>
    <t>支払金額</t>
    <rPh sb="0" eb="2">
      <t>シハライ</t>
    </rPh>
    <rPh sb="2" eb="4">
      <t>キンガク</t>
    </rPh>
    <phoneticPr fontId="1"/>
  </si>
  <si>
    <t>健保</t>
    <rPh sb="0" eb="2">
      <t>ケンポ</t>
    </rPh>
    <phoneticPr fontId="1"/>
  </si>
  <si>
    <t>年金</t>
    <rPh sb="0" eb="2">
      <t>ネンキン</t>
    </rPh>
    <phoneticPr fontId="1"/>
  </si>
  <si>
    <t>雇用保険</t>
    <rPh sb="0" eb="2">
      <t>コヨウ</t>
    </rPh>
    <rPh sb="2" eb="4">
      <t>ホケン</t>
    </rPh>
    <phoneticPr fontId="1"/>
  </si>
  <si>
    <t>金融機関名</t>
    <rPh sb="0" eb="2">
      <t>キンユウ</t>
    </rPh>
    <rPh sb="2" eb="4">
      <t>キカン</t>
    </rPh>
    <rPh sb="4" eb="5">
      <t>メイ</t>
    </rPh>
    <phoneticPr fontId="1"/>
  </si>
  <si>
    <t>支店名</t>
    <rPh sb="0" eb="3">
      <t>シテンメイ</t>
    </rPh>
    <phoneticPr fontId="1"/>
  </si>
  <si>
    <t>科目名</t>
    <rPh sb="0" eb="2">
      <t>カモク</t>
    </rPh>
    <rPh sb="2" eb="3">
      <t>メイ</t>
    </rPh>
    <phoneticPr fontId="1"/>
  </si>
  <si>
    <t>口座番号</t>
    <phoneticPr fontId="1"/>
  </si>
  <si>
    <t>名義人</t>
    <rPh sb="0" eb="2">
      <t>メイギ</t>
    </rPh>
    <rPh sb="2" eb="3">
      <t>ジン</t>
    </rPh>
    <phoneticPr fontId="1"/>
  </si>
  <si>
    <t>支給日</t>
    <rPh sb="0" eb="2">
      <t>シキュウ</t>
    </rPh>
    <rPh sb="2" eb="3">
      <t>ビ</t>
    </rPh>
    <phoneticPr fontId="1"/>
  </si>
  <si>
    <t>氏名</t>
    <rPh sb="0" eb="2">
      <t>シメイ</t>
    </rPh>
    <phoneticPr fontId="1"/>
  </si>
  <si>
    <t>合計</t>
    <rPh sb="0" eb="2">
      <t>ゴウケイ</t>
    </rPh>
    <phoneticPr fontId="11"/>
  </si>
  <si>
    <t>金融機関
コード</t>
    <phoneticPr fontId="11"/>
  </si>
  <si>
    <t>支店
コード</t>
    <rPh sb="0" eb="2">
      <t>シテン</t>
    </rPh>
    <phoneticPr fontId="1"/>
  </si>
  <si>
    <t>科目
コード</t>
    <rPh sb="0" eb="2">
      <t>カモク</t>
    </rPh>
    <phoneticPr fontId="1"/>
  </si>
  <si>
    <t>基本給</t>
    <rPh sb="0" eb="3">
      <t>キホンキュウ</t>
    </rPh>
    <phoneticPr fontId="1"/>
  </si>
  <si>
    <t>残業手当</t>
    <rPh sb="0" eb="2">
      <t>ザンギョウ</t>
    </rPh>
    <rPh sb="2" eb="4">
      <t>テアテ</t>
    </rPh>
    <phoneticPr fontId="9"/>
  </si>
  <si>
    <t>深夜手当</t>
    <rPh sb="0" eb="2">
      <t>シンヤ</t>
    </rPh>
    <rPh sb="2" eb="4">
      <t>テアテ</t>
    </rPh>
    <phoneticPr fontId="9"/>
  </si>
  <si>
    <t>通勤手当</t>
    <rPh sb="0" eb="2">
      <t>ツウキン</t>
    </rPh>
    <rPh sb="2" eb="4">
      <t>テアテ</t>
    </rPh>
    <phoneticPr fontId="1"/>
  </si>
  <si>
    <t>合計</t>
    <rPh sb="0" eb="2">
      <t>ゴウケイ</t>
    </rPh>
    <phoneticPr fontId="5"/>
  </si>
  <si>
    <t>労災保険</t>
    <rPh sb="0" eb="2">
      <t>ロウサイ</t>
    </rPh>
    <rPh sb="2" eb="4">
      <t>ホケン</t>
    </rPh>
    <phoneticPr fontId="1"/>
  </si>
  <si>
    <t>支払情報</t>
    <rPh sb="0" eb="2">
      <t>シハライ</t>
    </rPh>
    <rPh sb="2" eb="4">
      <t>ジョウホウ</t>
    </rPh>
    <phoneticPr fontId="1"/>
  </si>
  <si>
    <t>コピー</t>
    <phoneticPr fontId="11"/>
  </si>
  <si>
    <t>住民税</t>
    <rPh sb="0" eb="3">
      <t>ジュウミンゼイ</t>
    </rPh>
    <phoneticPr fontId="9"/>
  </si>
  <si>
    <t>住宅控除</t>
    <rPh sb="0" eb="2">
      <t>ジュウタク</t>
    </rPh>
    <rPh sb="2" eb="4">
      <t>コウジョ</t>
    </rPh>
    <phoneticPr fontId="9"/>
  </si>
  <si>
    <t>勤務控除</t>
    <rPh sb="0" eb="2">
      <t>キンム</t>
    </rPh>
    <rPh sb="2" eb="4">
      <t>コウジョ</t>
    </rPh>
    <phoneticPr fontId="9"/>
  </si>
  <si>
    <t>支給額</t>
    <rPh sb="0" eb="2">
      <t>シキュウ</t>
    </rPh>
    <rPh sb="2" eb="3">
      <t>ガク</t>
    </rPh>
    <phoneticPr fontId="11"/>
  </si>
  <si>
    <t>源泉所得税</t>
    <rPh sb="0" eb="2">
      <t>ゲンセン</t>
    </rPh>
    <rPh sb="2" eb="5">
      <t>ショトクゼイ</t>
    </rPh>
    <phoneticPr fontId="5"/>
  </si>
  <si>
    <t>健保</t>
    <rPh sb="0" eb="2">
      <t>ケンポ</t>
    </rPh>
    <phoneticPr fontId="5"/>
  </si>
  <si>
    <t>介護</t>
    <rPh sb="0" eb="2">
      <t>カイゴ</t>
    </rPh>
    <phoneticPr fontId="5"/>
  </si>
  <si>
    <t>年金</t>
    <rPh sb="0" eb="2">
      <t>ネンキン</t>
    </rPh>
    <phoneticPr fontId="5"/>
  </si>
  <si>
    <t>雇用保険</t>
    <rPh sb="0" eb="2">
      <t>コヨウ</t>
    </rPh>
    <rPh sb="2" eb="4">
      <t>ホケン</t>
    </rPh>
    <phoneticPr fontId="5"/>
  </si>
  <si>
    <t>社員番号</t>
    <rPh sb="0" eb="2">
      <t>シャイン</t>
    </rPh>
    <rPh sb="2" eb="4">
      <t>バンゴウ</t>
    </rPh>
    <phoneticPr fontId="1"/>
  </si>
  <si>
    <t>控除額</t>
    <rPh sb="0" eb="2">
      <t>コウジョ</t>
    </rPh>
    <rPh sb="2" eb="3">
      <t>ガク</t>
    </rPh>
    <phoneticPr fontId="11"/>
  </si>
  <si>
    <t>金融機関名</t>
    <rPh sb="0" eb="2">
      <t>キンユウ</t>
    </rPh>
    <rPh sb="2" eb="4">
      <t>キカン</t>
    </rPh>
    <rPh sb="4" eb="5">
      <t>メイ</t>
    </rPh>
    <phoneticPr fontId="11"/>
  </si>
  <si>
    <t>支店
コード</t>
    <rPh sb="0" eb="2">
      <t>シテン</t>
    </rPh>
    <phoneticPr fontId="11"/>
  </si>
  <si>
    <t>支店名</t>
    <rPh sb="0" eb="3">
      <t>シテンメイ</t>
    </rPh>
    <phoneticPr fontId="11"/>
  </si>
  <si>
    <t>科目
コード</t>
    <rPh sb="0" eb="2">
      <t>カモク</t>
    </rPh>
    <phoneticPr fontId="11"/>
  </si>
  <si>
    <t>科目名</t>
    <rPh sb="0" eb="2">
      <t>カモク</t>
    </rPh>
    <rPh sb="2" eb="3">
      <t>メイ</t>
    </rPh>
    <phoneticPr fontId="11"/>
  </si>
  <si>
    <t>口座番号</t>
    <phoneticPr fontId="11"/>
  </si>
  <si>
    <t>名義人</t>
    <rPh sb="0" eb="2">
      <t>メイギ</t>
    </rPh>
    <rPh sb="2" eb="3">
      <t>ジン</t>
    </rPh>
    <phoneticPr fontId="11"/>
  </si>
  <si>
    <t>年末調整</t>
    <rPh sb="0" eb="2">
      <t>ネンマツ</t>
    </rPh>
    <rPh sb="2" eb="4">
      <t>チョウセイ</t>
    </rPh>
    <phoneticPr fontId="1"/>
  </si>
  <si>
    <t>社会保険
（加入/非）</t>
    <phoneticPr fontId="11"/>
  </si>
  <si>
    <t>人数</t>
    <rPh sb="0" eb="1">
      <t>ニン</t>
    </rPh>
    <rPh sb="1" eb="2">
      <t>スウ</t>
    </rPh>
    <phoneticPr fontId="11"/>
  </si>
  <si>
    <t>コスト</t>
    <phoneticPr fontId="11"/>
  </si>
  <si>
    <t>標準報酬月額</t>
    <rPh sb="0" eb="2">
      <t>ヒョウジュン</t>
    </rPh>
    <rPh sb="2" eb="4">
      <t>ホウシュウ</t>
    </rPh>
    <rPh sb="4" eb="6">
      <t>ゲツガク</t>
    </rPh>
    <phoneticPr fontId="5"/>
  </si>
  <si>
    <t>口座情報</t>
    <rPh sb="0" eb="2">
      <t>コウザ</t>
    </rPh>
    <rPh sb="2" eb="4">
      <t>ジョウホウ</t>
    </rPh>
    <phoneticPr fontId="11"/>
  </si>
  <si>
    <t>扶養
家族数</t>
    <rPh sb="0" eb="2">
      <t>フヨウ</t>
    </rPh>
    <rPh sb="3" eb="5">
      <t>カゾク</t>
    </rPh>
    <rPh sb="5" eb="6">
      <t>スウ</t>
    </rPh>
    <phoneticPr fontId="11"/>
  </si>
  <si>
    <t>その他</t>
    <rPh sb="2" eb="3">
      <t>タ</t>
    </rPh>
    <phoneticPr fontId="1"/>
  </si>
  <si>
    <t>健保</t>
    <rPh sb="0" eb="2">
      <t>ケンポ</t>
    </rPh>
    <phoneticPr fontId="11"/>
  </si>
  <si>
    <t>介護</t>
    <rPh sb="0" eb="2">
      <t>カイゴ</t>
    </rPh>
    <phoneticPr fontId="11"/>
  </si>
  <si>
    <t>年金</t>
    <rPh sb="0" eb="2">
      <t>ネンキン</t>
    </rPh>
    <phoneticPr fontId="11"/>
  </si>
  <si>
    <t>子供・子育て
拠出金</t>
    <rPh sb="0" eb="2">
      <t>コドモ</t>
    </rPh>
    <rPh sb="3" eb="5">
      <t>コソダ</t>
    </rPh>
    <rPh sb="7" eb="10">
      <t>キョシュツキン</t>
    </rPh>
    <rPh sb="8" eb="10">
      <t>シュッキン</t>
    </rPh>
    <phoneticPr fontId="11"/>
  </si>
  <si>
    <t>保険料納入通知書</t>
    <phoneticPr fontId="5"/>
  </si>
  <si>
    <t>会社負担</t>
    <phoneticPr fontId="11"/>
  </si>
  <si>
    <t>個人負担</t>
    <phoneticPr fontId="11"/>
  </si>
  <si>
    <t>会社負担</t>
    <phoneticPr fontId="11"/>
  </si>
  <si>
    <t>雇用保険納入書</t>
    <rPh sb="0" eb="2">
      <t>コヨウ</t>
    </rPh>
    <rPh sb="2" eb="4">
      <t>ホケン</t>
    </rPh>
    <rPh sb="4" eb="6">
      <t>ノウニュウ</t>
    </rPh>
    <rPh sb="6" eb="7">
      <t>ショ</t>
    </rPh>
    <phoneticPr fontId="1"/>
  </si>
  <si>
    <t>合計
（個人負担、会社負担）</t>
    <rPh sb="4" eb="6">
      <t>コジン</t>
    </rPh>
    <rPh sb="6" eb="8">
      <t>フタン</t>
    </rPh>
    <rPh sb="9" eb="11">
      <t>カイシャ</t>
    </rPh>
    <rPh sb="11" eb="13">
      <t>フタン</t>
    </rPh>
    <phoneticPr fontId="11"/>
  </si>
  <si>
    <t>小計
(健保、介護、年金、子供・子育て拠出金)</t>
    <rPh sb="0" eb="2">
      <t>ショウケイ</t>
    </rPh>
    <phoneticPr fontId="11"/>
  </si>
  <si>
    <t>小計
(健保、介護、年金)</t>
    <phoneticPr fontId="11"/>
  </si>
  <si>
    <t>管理</t>
    <rPh sb="0" eb="2">
      <t>カンリ</t>
    </rPh>
    <phoneticPr fontId="11"/>
  </si>
  <si>
    <t>分類</t>
    <rPh sb="0" eb="2">
      <t>ブンルイ</t>
    </rPh>
    <phoneticPr fontId="1"/>
  </si>
  <si>
    <t>年齢</t>
    <rPh sb="0" eb="2">
      <t>ネンレイ</t>
    </rPh>
    <phoneticPr fontId="1"/>
  </si>
  <si>
    <t>地位</t>
    <rPh sb="0" eb="2">
      <t>チイ</t>
    </rPh>
    <phoneticPr fontId="1"/>
  </si>
  <si>
    <t>甲/乙</t>
    <rPh sb="0" eb="1">
      <t>コウ</t>
    </rPh>
    <rPh sb="2" eb="3">
      <t>オツ</t>
    </rPh>
    <phoneticPr fontId="1"/>
  </si>
  <si>
    <t>社会保険料
控除後</t>
    <rPh sb="0" eb="2">
      <t>シャカイ</t>
    </rPh>
    <rPh sb="2" eb="4">
      <t>ホケン</t>
    </rPh>
    <rPh sb="4" eb="5">
      <t>リョウ</t>
    </rPh>
    <rPh sb="6" eb="8">
      <t>コウジョ</t>
    </rPh>
    <rPh sb="8" eb="9">
      <t>ゴ</t>
    </rPh>
    <phoneticPr fontId="1"/>
  </si>
  <si>
    <t>休日手当</t>
    <rPh sb="0" eb="2">
      <t>キュウジツ</t>
    </rPh>
    <rPh sb="2" eb="4">
      <t>テアテ</t>
    </rPh>
    <phoneticPr fontId="9"/>
  </si>
  <si>
    <t>小計</t>
    <rPh sb="0" eb="2">
      <t>ショウケイ</t>
    </rPh>
    <phoneticPr fontId="9"/>
  </si>
  <si>
    <t>自動計算</t>
    <rPh sb="0" eb="2">
      <t>ジドウ</t>
    </rPh>
    <rPh sb="2" eb="4">
      <t>ケイサン</t>
    </rPh>
    <phoneticPr fontId="9"/>
  </si>
  <si>
    <t>入力</t>
    <rPh sb="0" eb="2">
      <t>ニュウリョク</t>
    </rPh>
    <phoneticPr fontId="9"/>
  </si>
  <si>
    <t>選択</t>
    <rPh sb="0" eb="2">
      <t>センタク</t>
    </rPh>
    <phoneticPr fontId="9"/>
  </si>
  <si>
    <t>雇用保険
（加入/非）</t>
    <phoneticPr fontId="11"/>
  </si>
  <si>
    <t>比率</t>
    <rPh sb="0" eb="2">
      <t>ヒリツ</t>
    </rPh>
    <phoneticPr fontId="1"/>
  </si>
  <si>
    <t>自</t>
    <rPh sb="0" eb="1">
      <t>ジ</t>
    </rPh>
    <phoneticPr fontId="9"/>
  </si>
  <si>
    <t>要振込額</t>
    <rPh sb="0" eb="1">
      <t>ヨウ</t>
    </rPh>
    <rPh sb="1" eb="3">
      <t>フリコミ</t>
    </rPh>
    <rPh sb="3" eb="4">
      <t>ガク</t>
    </rPh>
    <phoneticPr fontId="11"/>
  </si>
  <si>
    <t>C:\Users\sxrsing\Google ドライブ\TLZS Inc\90 税理士事務所\30.各エクセルフォーム\第4期</t>
    <phoneticPr fontId="9"/>
  </si>
  <si>
    <t>【東京】給与計算SHEET(H31.4月以降支給分　介護開示Ver).xlsm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</si>
</sst>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43" formatCode="_ * #,##0.00_ ;_ * \-#,##0.00_ ;_ * &quot;-&quot;??_ ;_ @_ "/>
    <numFmt numFmtId="176" formatCode="_-&quot;¥&quot;* #,##0.00_-\ ;\-&quot;¥&quot;* #,##0.00_-\ ;_-&quot;¥&quot;* &quot;-&quot;??_-\ ;_-@_-"/>
    <numFmt numFmtId="177" formatCode="yyyy&quot;年&quot;m&quot;月&quot;;@"/>
  </numFmts>
  <fonts count="24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MS UI Gothic"/>
      <family val="3"/>
      <charset val="128"/>
    </font>
    <font>
      <sz val="6"/>
      <name val="ＭＳ 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ゴシック"/>
      <family val="3"/>
      <charset val="128"/>
    </font>
    <font>
      <sz val="9"/>
      <name val="Tahoma"/>
      <family val="2"/>
    </font>
    <font>
      <sz val="9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name val="MS UI Gothic"/>
      <family val="3"/>
      <charset val="128"/>
    </font>
    <font>
      <sz val="11"/>
      <color theme="1"/>
      <name val="ＭＳ Ｐゴシック"/>
      <family val="2"/>
      <scheme val="minor"/>
    </font>
    <font>
      <sz val="12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name val="ＭＳ 明朝"/>
      <family val="1"/>
      <charset val="128"/>
    </font>
    <font>
      <sz val="9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lightGray">
        <fgColor indexed="22"/>
        <bgColor rgb="FF92D05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2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39994506668294322"/>
        <bgColor indexed="2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7" fillId="0" borderId="0"/>
    <xf numFmtId="0" fontId="18" fillId="0" borderId="0" applyAlignment="0">
      <alignment vertical="top" wrapText="1"/>
      <protection locked="0"/>
    </xf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6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center" vertical="center"/>
    </xf>
    <xf numFmtId="6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0" fontId="12" fillId="0" borderId="0" xfId="0" applyNumberFormat="1" applyFont="1" applyFill="1" applyAlignment="1" applyProtection="1">
      <alignment horizontal="center" vertical="center"/>
      <protection locked="0"/>
    </xf>
    <xf numFmtId="14" fontId="7" fillId="0" borderId="0" xfId="0" applyNumberFormat="1" applyFont="1" applyFill="1" applyAlignment="1">
      <alignment horizontal="center" vertical="center"/>
    </xf>
    <xf numFmtId="0" fontId="12" fillId="0" borderId="0" xfId="0" applyFont="1" applyFill="1" applyProtection="1">
      <alignment vertical="center"/>
      <protection locked="0"/>
    </xf>
    <xf numFmtId="38" fontId="8" fillId="10" borderId="1" xfId="9" applyNumberFormat="1" applyFont="1" applyFill="1" applyBorder="1" applyAlignment="1" applyProtection="1">
      <alignment horizontal="right" vertical="center"/>
      <protection hidden="1"/>
    </xf>
    <xf numFmtId="38" fontId="8" fillId="12" borderId="1" xfId="9" applyNumberFormat="1" applyFont="1" applyFill="1" applyBorder="1" applyAlignment="1" applyProtection="1">
      <alignment horizontal="right" vertical="center"/>
      <protection hidden="1"/>
    </xf>
    <xf numFmtId="0" fontId="8" fillId="2" borderId="1" xfId="0" applyFont="1" applyFill="1" applyBorder="1" applyAlignment="1" applyProtection="1">
      <alignment horizontal="center" vertical="center"/>
      <protection hidden="1"/>
    </xf>
    <xf numFmtId="0" fontId="7" fillId="15" borderId="9" xfId="0" applyFont="1" applyFill="1" applyBorder="1" applyProtection="1">
      <alignment vertical="center"/>
    </xf>
    <xf numFmtId="6" fontId="7" fillId="15" borderId="9" xfId="0" applyNumberFormat="1" applyFont="1" applyFill="1" applyBorder="1" applyProtection="1">
      <alignment vertical="center"/>
    </xf>
    <xf numFmtId="6" fontId="6" fillId="15" borderId="9" xfId="0" applyNumberFormat="1" applyFont="1" applyFill="1" applyBorder="1" applyProtection="1">
      <alignment vertical="center"/>
    </xf>
    <xf numFmtId="0" fontId="7" fillId="15" borderId="9" xfId="0" applyFont="1" applyFill="1" applyBorder="1" applyAlignment="1" applyProtection="1">
      <alignment horizontal="center" vertical="center"/>
    </xf>
    <xf numFmtId="0" fontId="7" fillId="15" borderId="10" xfId="0" applyFont="1" applyFill="1" applyBorder="1" applyAlignment="1" applyProtection="1">
      <alignment horizontal="left" vertical="center"/>
    </xf>
    <xf numFmtId="0" fontId="12" fillId="15" borderId="0" xfId="0" applyNumberFormat="1" applyFont="1" applyFill="1" applyBorder="1" applyAlignment="1" applyProtection="1">
      <alignment horizontal="center" vertical="center"/>
    </xf>
    <xf numFmtId="0" fontId="7" fillId="15" borderId="0" xfId="0" applyFont="1" applyFill="1" applyBorder="1" applyProtection="1">
      <alignment vertical="center"/>
    </xf>
    <xf numFmtId="6" fontId="7" fillId="15" borderId="0" xfId="0" applyNumberFormat="1" applyFont="1" applyFill="1" applyBorder="1" applyAlignment="1" applyProtection="1">
      <alignment horizontal="right" vertical="center"/>
    </xf>
    <xf numFmtId="6" fontId="7" fillId="15" borderId="11" xfId="0" applyNumberFormat="1" applyFont="1" applyFill="1" applyBorder="1" applyAlignment="1" applyProtection="1">
      <alignment horizontal="right" vertical="center"/>
    </xf>
    <xf numFmtId="0" fontId="12" fillId="15" borderId="8" xfId="0" applyNumberFormat="1" applyFont="1" applyFill="1" applyBorder="1" applyAlignment="1" applyProtection="1">
      <alignment horizontal="center" vertical="center"/>
    </xf>
    <xf numFmtId="0" fontId="7" fillId="15" borderId="8" xfId="0" applyFont="1" applyFill="1" applyBorder="1" applyProtection="1">
      <alignment vertical="center"/>
    </xf>
    <xf numFmtId="38" fontId="7" fillId="9" borderId="1" xfId="0" applyNumberFormat="1" applyFont="1" applyFill="1" applyBorder="1" applyAlignment="1" applyProtection="1">
      <alignment horizontal="right" vertical="center"/>
    </xf>
    <xf numFmtId="38" fontId="8" fillId="11" borderId="1" xfId="9" applyNumberFormat="1" applyFont="1" applyFill="1" applyBorder="1" applyAlignment="1" applyProtection="1">
      <alignment horizontal="right" vertical="center"/>
      <protection hidden="1"/>
    </xf>
    <xf numFmtId="38" fontId="8" fillId="9" borderId="1" xfId="9" applyNumberFormat="1" applyFont="1" applyFill="1" applyBorder="1" applyAlignment="1" applyProtection="1">
      <alignment horizontal="right" vertical="center"/>
      <protection hidden="1"/>
    </xf>
    <xf numFmtId="6" fontId="7" fillId="15" borderId="7" xfId="0" applyNumberFormat="1" applyFont="1" applyFill="1" applyBorder="1" applyAlignment="1" applyProtection="1">
      <alignment horizontal="right" vertical="center"/>
    </xf>
    <xf numFmtId="6" fontId="0" fillId="11" borderId="2" xfId="0" applyNumberFormat="1" applyFont="1" applyFill="1" applyBorder="1" applyAlignment="1" applyProtection="1">
      <alignment horizontal="centerContinuous" vertical="center"/>
    </xf>
    <xf numFmtId="6" fontId="0" fillId="10" borderId="2" xfId="0" applyNumberFormat="1" applyFont="1" applyFill="1" applyBorder="1" applyAlignment="1" applyProtection="1">
      <alignment horizontal="centerContinuous" vertical="center"/>
    </xf>
    <xf numFmtId="6" fontId="0" fillId="10" borderId="4" xfId="0" applyNumberFormat="1" applyFont="1" applyFill="1" applyBorder="1" applyAlignment="1" applyProtection="1">
      <alignment horizontal="centerContinuous" vertical="center"/>
    </xf>
    <xf numFmtId="6" fontId="0" fillId="10" borderId="3" xfId="0" applyNumberFormat="1" applyFont="1" applyFill="1" applyBorder="1" applyAlignment="1" applyProtection="1">
      <alignment horizontal="centerContinuous" vertical="center" wrapText="1"/>
    </xf>
    <xf numFmtId="6" fontId="0" fillId="11" borderId="3" xfId="0" applyNumberFormat="1" applyFont="1" applyFill="1" applyBorder="1" applyAlignment="1" applyProtection="1">
      <alignment horizontal="centerContinuous" vertical="center"/>
    </xf>
    <xf numFmtId="6" fontId="0" fillId="10" borderId="3" xfId="0" applyNumberFormat="1" applyFont="1" applyFill="1" applyBorder="1" applyAlignment="1" applyProtection="1">
      <alignment horizontal="centerContinuous" vertical="center"/>
    </xf>
    <xf numFmtId="38" fontId="8" fillId="12" borderId="1" xfId="9" applyFont="1" applyFill="1" applyBorder="1" applyAlignment="1" applyProtection="1">
      <alignment horizontal="center" vertical="center" wrapText="1"/>
    </xf>
    <xf numFmtId="38" fontId="8" fillId="11" borderId="1" xfId="9" applyFont="1" applyFill="1" applyBorder="1" applyAlignment="1" applyProtection="1">
      <alignment horizontal="center" vertical="center" wrapText="1"/>
    </xf>
    <xf numFmtId="0" fontId="8" fillId="10" borderId="1" xfId="9" applyNumberFormat="1" applyFont="1" applyFill="1" applyBorder="1" applyAlignment="1" applyProtection="1">
      <alignment horizontal="center" vertical="center"/>
      <protection hidden="1"/>
    </xf>
    <xf numFmtId="38" fontId="8" fillId="10" borderId="1" xfId="9" applyFont="1" applyFill="1" applyBorder="1" applyAlignment="1" applyProtection="1">
      <alignment horizontal="center" vertical="center" wrapText="1"/>
    </xf>
    <xf numFmtId="0" fontId="8" fillId="16" borderId="1" xfId="9" applyNumberFormat="1" applyFont="1" applyFill="1" applyBorder="1" applyAlignment="1" applyProtection="1">
      <alignment horizontal="center" vertical="center" wrapText="1"/>
      <protection hidden="1"/>
    </xf>
    <xf numFmtId="177" fontId="0" fillId="18" borderId="2" xfId="0" applyNumberFormat="1" applyFont="1" applyFill="1" applyBorder="1" applyAlignment="1" applyProtection="1">
      <alignment horizontal="center" vertical="center"/>
    </xf>
    <xf numFmtId="38" fontId="8" fillId="16" borderId="1" xfId="9" applyNumberFormat="1" applyFont="1" applyFill="1" applyBorder="1" applyAlignment="1" applyProtection="1">
      <alignment horizontal="right" vertical="center"/>
      <protection hidden="1"/>
    </xf>
    <xf numFmtId="38" fontId="8" fillId="6" borderId="1" xfId="9" applyNumberFormat="1" applyFont="1" applyFill="1" applyBorder="1" applyAlignment="1" applyProtection="1">
      <alignment horizontal="righ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locked="0"/>
    </xf>
    <xf numFmtId="38" fontId="8" fillId="19" borderId="1" xfId="9" applyFont="1" applyFill="1" applyBorder="1" applyAlignment="1" applyProtection="1">
      <alignment horizontal="right" vertical="center" wrapText="1"/>
      <protection hidden="1"/>
    </xf>
    <xf numFmtId="38" fontId="8" fillId="19" borderId="1" xfId="9" applyNumberFormat="1" applyFont="1" applyFill="1" applyBorder="1" applyAlignment="1" applyProtection="1">
      <alignment horizontal="right" vertical="center"/>
      <protection hidden="1"/>
    </xf>
    <xf numFmtId="0" fontId="10" fillId="20" borderId="2" xfId="4" applyFont="1" applyFill="1" applyBorder="1" applyAlignment="1" applyProtection="1">
      <alignment horizontal="centerContinuous" vertical="center" wrapText="1"/>
    </xf>
    <xf numFmtId="0" fontId="10" fillId="20" borderId="4" xfId="4" applyFont="1" applyFill="1" applyBorder="1" applyAlignment="1" applyProtection="1">
      <alignment horizontal="centerContinuous" vertical="center" wrapText="1"/>
    </xf>
    <xf numFmtId="38" fontId="7" fillId="5" borderId="1" xfId="0" applyNumberFormat="1" applyFont="1" applyFill="1" applyBorder="1" applyAlignment="1" applyProtection="1">
      <alignment horizontal="right" vertical="center"/>
    </xf>
    <xf numFmtId="0" fontId="6" fillId="0" borderId="0" xfId="0" applyFont="1">
      <alignment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38" fontId="8" fillId="6" borderId="5" xfId="9" applyFont="1" applyFill="1" applyBorder="1" applyAlignment="1" applyProtection="1">
      <alignment horizontal="center" vertical="center"/>
      <protection locked="0"/>
    </xf>
    <xf numFmtId="0" fontId="8" fillId="8" borderId="0" xfId="0" applyFont="1" applyFill="1" applyProtection="1">
      <alignment vertical="center"/>
      <protection locked="0"/>
    </xf>
    <xf numFmtId="38" fontId="8" fillId="6" borderId="10" xfId="9" applyFont="1" applyFill="1" applyBorder="1" applyAlignment="1">
      <alignment horizontal="center" vertical="center"/>
    </xf>
    <xf numFmtId="0" fontId="7" fillId="15" borderId="0" xfId="0" applyNumberFormat="1" applyFont="1" applyFill="1" applyBorder="1" applyAlignment="1" applyProtection="1">
      <alignment horizontal="center" vertical="center"/>
    </xf>
    <xf numFmtId="0" fontId="12" fillId="15" borderId="0" xfId="0" applyNumberFormat="1" applyFont="1" applyFill="1" applyBorder="1" applyProtection="1">
      <alignment vertical="center"/>
    </xf>
    <xf numFmtId="0" fontId="7" fillId="15" borderId="0" xfId="0" applyNumberFormat="1" applyFont="1" applyFill="1" applyBorder="1" applyAlignment="1" applyProtection="1">
      <alignment horizontal="left"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38" fontId="8" fillId="5" borderId="5" xfId="9" applyFont="1" applyFill="1" applyBorder="1" applyAlignment="1" applyProtection="1">
      <alignment horizontal="center" vertical="center"/>
    </xf>
    <xf numFmtId="38" fontId="8" fillId="6" borderId="5" xfId="9" applyFont="1" applyFill="1" applyBorder="1" applyAlignment="1">
      <alignment horizontal="center" vertical="center"/>
    </xf>
    <xf numFmtId="38" fontId="8" fillId="6" borderId="5" xfId="9" applyFont="1" applyFill="1" applyBorder="1" applyAlignment="1" applyProtection="1">
      <alignment horizontal="center" vertical="center"/>
    </xf>
    <xf numFmtId="38" fontId="8" fillId="5" borderId="5" xfId="9" applyFont="1" applyFill="1" applyBorder="1" applyAlignment="1" applyProtection="1">
      <alignment horizontal="center" vertical="center" wrapText="1"/>
      <protection hidden="1"/>
    </xf>
    <xf numFmtId="9" fontId="8" fillId="6" borderId="5" xfId="10" applyFont="1" applyFill="1" applyBorder="1" applyAlignment="1" applyProtection="1">
      <alignment horizontal="center" vertical="center"/>
    </xf>
    <xf numFmtId="0" fontId="8" fillId="5" borderId="1" xfId="0" applyFont="1" applyFill="1" applyBorder="1" applyAlignment="1" applyProtection="1">
      <alignment horizontal="center" vertical="center"/>
      <protection hidden="1"/>
    </xf>
    <xf numFmtId="9" fontId="8" fillId="9" borderId="1" xfId="1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 vertical="center"/>
      <protection hidden="1"/>
    </xf>
    <xf numFmtId="177" fontId="0" fillId="0" borderId="1" xfId="0" applyNumberFormat="1" applyFont="1" applyFill="1" applyBorder="1" applyAlignment="1" applyProtection="1">
      <alignment horizontal="center" vertical="center"/>
    </xf>
    <xf numFmtId="0" fontId="12" fillId="9" borderId="1" xfId="0" applyFont="1" applyFill="1" applyBorder="1" applyProtection="1">
      <alignment vertical="center"/>
      <protection locked="0"/>
    </xf>
    <xf numFmtId="0" fontId="8" fillId="9" borderId="1" xfId="0" applyFont="1" applyFill="1" applyBorder="1" applyAlignment="1" applyProtection="1">
      <alignment horizontal="center" vertical="center"/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56" fontId="8" fillId="9" borderId="1" xfId="0" applyNumberFormat="1" applyFont="1" applyFill="1" applyBorder="1" applyProtection="1">
      <alignment vertical="center"/>
      <protection locked="0"/>
    </xf>
    <xf numFmtId="0" fontId="8" fillId="9" borderId="1" xfId="0" applyFont="1" applyFill="1" applyBorder="1" applyAlignment="1" applyProtection="1">
      <alignment horizontal="right" vertical="center"/>
      <protection locked="0"/>
    </xf>
    <xf numFmtId="0" fontId="8" fillId="10" borderId="1" xfId="0" applyFont="1" applyFill="1" applyBorder="1" applyAlignment="1" applyProtection="1">
      <alignment horizontal="center" vertical="center"/>
      <protection hidden="1"/>
    </xf>
    <xf numFmtId="9" fontId="8" fillId="10" borderId="1" xfId="10" applyFont="1" applyFill="1" applyBorder="1" applyAlignment="1" applyProtection="1">
      <alignment horizontal="center" vertical="center"/>
      <protection hidden="1"/>
    </xf>
    <xf numFmtId="6" fontId="0" fillId="4" borderId="1" xfId="0" applyNumberFormat="1" applyFont="1" applyFill="1" applyBorder="1" applyAlignment="1" applyProtection="1">
      <alignment horizontal="center" vertical="center" wrapText="1"/>
    </xf>
    <xf numFmtId="6" fontId="0" fillId="11" borderId="1" xfId="0" applyNumberFormat="1" applyFont="1" applyFill="1" applyBorder="1" applyAlignment="1" applyProtection="1">
      <alignment horizontal="centerContinuous" vertical="center"/>
    </xf>
    <xf numFmtId="6" fontId="8" fillId="9" borderId="1" xfId="9" applyNumberFormat="1" applyFont="1" applyFill="1" applyBorder="1" applyProtection="1">
      <alignment vertical="center"/>
      <protection locked="0"/>
    </xf>
    <xf numFmtId="6" fontId="8" fillId="5" borderId="1" xfId="9" applyNumberFormat="1" applyFont="1" applyFill="1" applyBorder="1" applyAlignment="1" applyProtection="1">
      <alignment horizontal="right" vertical="center"/>
      <protection hidden="1"/>
    </xf>
    <xf numFmtId="6" fontId="8" fillId="9" borderId="1" xfId="9" applyNumberFormat="1" applyFont="1" applyFill="1" applyBorder="1" applyAlignment="1" applyProtection="1">
      <alignment horizontal="right" vertical="center"/>
      <protection locked="0"/>
    </xf>
    <xf numFmtId="6" fontId="8" fillId="9" borderId="1" xfId="10" applyNumberFormat="1" applyFont="1" applyFill="1" applyBorder="1" applyAlignment="1" applyProtection="1">
      <alignment horizontal="right" vertical="center"/>
      <protection locked="0"/>
    </xf>
    <xf numFmtId="6" fontId="8" fillId="5" borderId="1" xfId="0" applyNumberFormat="1" applyFont="1" applyFill="1" applyBorder="1" applyAlignment="1" applyProtection="1">
      <alignment horizontal="right" vertical="center" wrapText="1"/>
      <protection hidden="1"/>
    </xf>
    <xf numFmtId="6" fontId="8" fillId="5" borderId="1" xfId="0" applyNumberFormat="1" applyFont="1" applyFill="1" applyBorder="1" applyAlignment="1" applyProtection="1">
      <alignment horizontal="right" vertical="center"/>
      <protection hidden="1"/>
    </xf>
    <xf numFmtId="6" fontId="8" fillId="3" borderId="1" xfId="0" applyNumberFormat="1" applyFont="1" applyFill="1" applyBorder="1" applyAlignment="1" applyProtection="1">
      <alignment horizontal="right" vertical="center"/>
      <protection locked="0" hidden="1"/>
    </xf>
    <xf numFmtId="6" fontId="6" fillId="4" borderId="1" xfId="0" applyNumberFormat="1" applyFont="1" applyFill="1" applyBorder="1" applyProtection="1">
      <alignment vertical="center"/>
    </xf>
    <xf numFmtId="6" fontId="8" fillId="14" borderId="1" xfId="9" applyNumberFormat="1" applyFont="1" applyFill="1" applyBorder="1" applyAlignment="1" applyProtection="1">
      <alignment horizontal="right" vertical="center"/>
    </xf>
    <xf numFmtId="6" fontId="8" fillId="14" borderId="3" xfId="9" applyNumberFormat="1" applyFont="1" applyFill="1" applyBorder="1" applyAlignment="1" applyProtection="1">
      <alignment horizontal="right" vertical="center"/>
    </xf>
    <xf numFmtId="6" fontId="8" fillId="5" borderId="1" xfId="9" applyNumberFormat="1" applyFont="1" applyFill="1" applyBorder="1" applyAlignment="1" applyProtection="1">
      <alignment horizontal="right" vertical="center" wrapText="1"/>
      <protection hidden="1"/>
    </xf>
    <xf numFmtId="6" fontId="8" fillId="13" borderId="1" xfId="9" applyNumberFormat="1" applyFont="1" applyFill="1" applyBorder="1" applyAlignment="1" applyProtection="1">
      <alignment horizontal="right" vertical="center"/>
      <protection hidden="1"/>
    </xf>
    <xf numFmtId="6" fontId="8" fillId="14" borderId="1" xfId="0" applyNumberFormat="1" applyFont="1" applyFill="1" applyBorder="1" applyAlignment="1" applyProtection="1">
      <alignment horizontal="right" vertical="center"/>
      <protection hidden="1"/>
    </xf>
    <xf numFmtId="6" fontId="8" fillId="3" borderId="1" xfId="0" applyNumberFormat="1" applyFont="1" applyFill="1" applyBorder="1" applyAlignment="1" applyProtection="1">
      <alignment horizontal="right" vertical="center"/>
      <protection hidden="1"/>
    </xf>
    <xf numFmtId="0" fontId="6" fillId="15" borderId="9" xfId="0" applyFont="1" applyFill="1" applyBorder="1">
      <alignment vertical="center"/>
    </xf>
    <xf numFmtId="0" fontId="6" fillId="15" borderId="0" xfId="0" applyFont="1" applyFill="1">
      <alignment vertical="center"/>
    </xf>
    <xf numFmtId="0" fontId="6" fillId="15" borderId="8" xfId="0" applyFont="1" applyFill="1" applyBorder="1">
      <alignment vertical="center"/>
    </xf>
    <xf numFmtId="0" fontId="10" fillId="7" borderId="2" xfId="4" applyFont="1" applyFill="1" applyBorder="1" applyAlignment="1">
      <alignment horizontal="centerContinuous" vertical="center" wrapText="1"/>
    </xf>
    <xf numFmtId="0" fontId="10" fillId="7" borderId="4" xfId="4" applyFont="1" applyFill="1" applyBorder="1" applyAlignment="1">
      <alignment horizontal="centerContinuous" vertical="center" wrapText="1"/>
    </xf>
    <xf numFmtId="0" fontId="10" fillId="7" borderId="3" xfId="4" applyFont="1" applyFill="1" applyBorder="1" applyAlignment="1">
      <alignment horizontal="centerContinuous" vertical="center" wrapText="1"/>
    </xf>
    <xf numFmtId="38" fontId="8" fillId="6" borderId="1" xfId="9" applyFont="1" applyFill="1" applyBorder="1" applyAlignment="1">
      <alignment horizontal="center" vertical="center"/>
    </xf>
    <xf numFmtId="49" fontId="8" fillId="8" borderId="1" xfId="0" applyNumberFormat="1" applyFont="1" applyFill="1" applyBorder="1">
      <alignment vertical="center"/>
    </xf>
    <xf numFmtId="0" fontId="8" fillId="8" borderId="1" xfId="0" applyFont="1" applyFill="1" applyBorder="1" applyAlignment="1">
      <alignment horizontal="center" vertical="center"/>
    </xf>
    <xf numFmtId="49" fontId="8" fillId="8" borderId="1" xfId="0" applyNumberFormat="1" applyFont="1" applyFill="1" applyBorder="1" applyAlignment="1">
      <alignment horizontal="left" vertical="center"/>
    </xf>
    <xf numFmtId="38" fontId="8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 wrapText="1"/>
    </xf>
    <xf numFmtId="0" fontId="10" fillId="20" borderId="3" xfId="4" applyFont="1" applyFill="1" applyBorder="1" applyAlignment="1" applyProtection="1">
      <alignment horizontal="centerContinuous" vertical="center" wrapText="1"/>
    </xf>
    <xf numFmtId="0" fontId="12" fillId="15" borderId="0" xfId="0" applyNumberFormat="1" applyFont="1" applyFill="1" applyBorder="1" applyAlignment="1" applyProtection="1">
      <alignment horizontal="left" vertical="center"/>
    </xf>
    <xf numFmtId="0" fontId="0" fillId="6" borderId="1" xfId="0" applyFont="1" applyFill="1" applyBorder="1" applyAlignment="1" applyProtection="1">
      <alignment horizontal="center" vertical="center"/>
    </xf>
    <xf numFmtId="6" fontId="0" fillId="6" borderId="1" xfId="0" applyNumberFormat="1" applyFont="1" applyFill="1" applyBorder="1" applyAlignment="1" applyProtection="1">
      <alignment horizontal="center" vertical="center"/>
    </xf>
    <xf numFmtId="6" fontId="0" fillId="6" borderId="1" xfId="0" applyNumberFormat="1" applyFont="1" applyFill="1" applyBorder="1" applyAlignment="1" applyProtection="1">
      <alignment horizontal="center" vertical="center" wrapText="1"/>
    </xf>
    <xf numFmtId="0" fontId="10" fillId="20" borderId="5" xfId="4" applyFont="1" applyFill="1" applyBorder="1" applyAlignment="1" applyProtection="1">
      <alignment horizontal="center" vertical="center" wrapText="1"/>
    </xf>
    <xf numFmtId="0" fontId="10" fillId="20" borderId="6" xfId="4" applyFont="1" applyFill="1" applyBorder="1" applyAlignment="1" applyProtection="1">
      <alignment horizontal="center" vertical="center" wrapText="1"/>
    </xf>
    <xf numFmtId="6" fontId="0" fillId="6" borderId="5" xfId="0" applyNumberFormat="1" applyFont="1" applyFill="1" applyBorder="1" applyAlignment="1" applyProtection="1">
      <alignment horizontal="center" vertical="center" wrapText="1"/>
    </xf>
    <xf numFmtId="6" fontId="0" fillId="6" borderId="6" xfId="0" applyNumberFormat="1" applyFont="1" applyFill="1" applyBorder="1" applyAlignment="1" applyProtection="1">
      <alignment horizontal="center" vertical="center" wrapText="1"/>
    </xf>
    <xf numFmtId="0" fontId="10" fillId="20" borderId="1" xfId="4" applyFont="1" applyFill="1" applyBorder="1" applyAlignment="1" applyProtection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8" fillId="6" borderId="1" xfId="0" applyFont="1" applyFill="1" applyBorder="1" applyAlignment="1" applyProtection="1">
      <alignment horizontal="center" vertical="center" wrapText="1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0" fontId="10" fillId="17" borderId="2" xfId="4" applyFont="1" applyFill="1" applyBorder="1" applyAlignment="1" applyProtection="1">
      <alignment horizontal="center" vertical="center" wrapText="1"/>
    </xf>
    <xf numFmtId="0" fontId="10" fillId="17" borderId="3" xfId="4" applyFont="1" applyFill="1" applyBorder="1" applyAlignment="1" applyProtection="1">
      <alignment horizontal="center" vertical="center" wrapText="1"/>
    </xf>
    <xf numFmtId="6" fontId="0" fillId="6" borderId="12" xfId="0" applyNumberFormat="1" applyFont="1" applyFill="1" applyBorder="1" applyAlignment="1" applyProtection="1">
      <alignment horizontal="center" vertical="center" wrapText="1"/>
    </xf>
    <xf numFmtId="6" fontId="0" fillId="5" borderId="1" xfId="0" applyNumberFormat="1" applyFont="1" applyFill="1" applyBorder="1" applyAlignment="1" applyProtection="1">
      <alignment horizontal="center" vertical="center" wrapText="1"/>
    </xf>
    <xf numFmtId="6" fontId="7" fillId="5" borderId="5" xfId="0" applyNumberFormat="1" applyFont="1" applyFill="1" applyBorder="1" applyAlignment="1" applyProtection="1">
      <alignment horizontal="center" vertical="center"/>
    </xf>
    <xf numFmtId="0" fontId="10" fillId="7" borderId="1" xfId="4" applyFont="1" applyFill="1" applyBorder="1" applyAlignment="1">
      <alignment horizontal="center" vertical="center" wrapText="1"/>
    </xf>
    <xf numFmtId="6" fontId="7" fillId="2" borderId="1" xfId="0" applyNumberFormat="1" applyFont="1" applyFill="1" applyBorder="1" applyAlignment="1" applyProtection="1">
      <alignment horizontal="center" vertical="center" wrapText="1"/>
    </xf>
    <xf numFmtId="0" fontId="8" fillId="6" borderId="5" xfId="0" applyFont="1" applyFill="1" applyBorder="1" applyAlignment="1" applyProtection="1">
      <alignment horizontal="center" vertical="center"/>
      <protection hidden="1"/>
    </xf>
    <xf numFmtId="0" fontId="8" fillId="6" borderId="12" xfId="0" applyFont="1" applyFill="1" applyBorder="1" applyAlignment="1" applyProtection="1">
      <alignment horizontal="center" vertical="center"/>
      <protection hidden="1"/>
    </xf>
    <xf numFmtId="6" fontId="7" fillId="6" borderId="5" xfId="0" applyNumberFormat="1" applyFont="1" applyFill="1" applyBorder="1" applyAlignment="1" applyProtection="1">
      <alignment horizontal="center" vertical="center"/>
    </xf>
    <xf numFmtId="0" fontId="0" fillId="4" borderId="2" xfId="0" applyFont="1" applyFill="1" applyBorder="1" applyAlignment="1" applyProtection="1">
      <alignment horizontal="center" vertical="center"/>
    </xf>
    <xf numFmtId="0" fontId="0" fillId="4" borderId="4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</cellXfs>
  <cellStyles count="15">
    <cellStyle name="パーセント" xfId="10" builtinId="5"/>
    <cellStyle name="ハイパーリンク 2" xfId="1" xr:uid="{00000000-0005-0000-0000-000000000000}"/>
    <cellStyle name="桁区切り" xfId="9" builtinId="6"/>
    <cellStyle name="桁区切り 2" xfId="14" xr:uid="{4E8E69F1-6B1A-4EB0-A716-9427C3778EF6}"/>
    <cellStyle name="桁区切り[0]" xfId="2" xr:uid="{00000000-0005-0000-0000-000001000000}"/>
    <cellStyle name="通貨[0]" xfId="3" xr:uid="{00000000-0005-0000-0000-000002000000}"/>
    <cellStyle name="標準" xfId="0" builtinId="0"/>
    <cellStyle name="標準 2" xfId="4" xr:uid="{00000000-0005-0000-0000-000004000000}"/>
    <cellStyle name="標準 2 2" xfId="12" xr:uid="{4570C41C-E0AC-4EC8-AC97-7D8C8CAC3AFC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6" xfId="8" xr:uid="{00000000-0005-0000-0000-000008000000}"/>
    <cellStyle name="標準 7" xfId="11" xr:uid="{73449EBB-0D60-417C-9185-A6E82CB7F516}"/>
    <cellStyle name="標準 7 2" xfId="13" xr:uid="{C8581B34-3004-4C6D-B63B-F332106C0512}"/>
  </cellStyles>
  <dxfs count="4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dialogsheet" Target="dialog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62E9E03-68E1-4859-B6B1-F293F162FF6F}">
  <sheetViews>
    <sheetView showRowColHeaders="0" showZeros="0" showOutlineSymbols="0" workbookViewId="0"/>
  </sheetViews>
  <sheetFormatPr defaultColWidth="1.125" defaultRowHeight="6" customHeight="1"/>
  <sheetProtection sheet="1"/>
  <pageMargins left="0.7" right="0.7" top="0.75" bottom="0.75" header="0.3" footer="0.3"/>
  <pageSetup paperSize="9" orientation="portrait" r:id="rId1"/>
  <legacyDrawing r:id="rId2"/>
</dialogsheet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104775</xdr:rowOff>
        </xdr:from>
        <xdr:to>
          <xdr:col>2</xdr:col>
          <xdr:colOff>342900</xdr:colOff>
          <xdr:row>2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2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2</xdr:row>
          <xdr:rowOff>123825</xdr:rowOff>
        </xdr:from>
        <xdr:to>
          <xdr:col>6</xdr:col>
          <xdr:colOff>304800</xdr:colOff>
          <xdr:row>3</xdr:row>
          <xdr:rowOff>257175</xdr:rowOff>
        </xdr:to>
        <xdr:sp macro="" textlink="">
          <xdr:nvSpPr>
            <xdr:cNvPr id="135179" name="Button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2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全銀データ出力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0</xdr:row>
          <xdr:rowOff>95250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135180" name="Button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2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0</xdr:row>
          <xdr:rowOff>104775</xdr:rowOff>
        </xdr:from>
        <xdr:to>
          <xdr:col>4</xdr:col>
          <xdr:colOff>123825</xdr:colOff>
          <xdr:row>2</xdr:row>
          <xdr:rowOff>66675</xdr:rowOff>
        </xdr:to>
        <xdr:sp macro="" textlink="">
          <xdr:nvSpPr>
            <xdr:cNvPr id="135184" name="Button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2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2</xdr:row>
          <xdr:rowOff>123825</xdr:rowOff>
        </xdr:from>
        <xdr:to>
          <xdr:col>4</xdr:col>
          <xdr:colOff>114300</xdr:colOff>
          <xdr:row>3</xdr:row>
          <xdr:rowOff>257175</xdr:rowOff>
        </xdr:to>
        <xdr:sp macro="" textlink="">
          <xdr:nvSpPr>
            <xdr:cNvPr id="135185" name="Button 17" hidden="1">
              <a:extLst>
                <a:ext uri="{63B3BB69-23CF-44E3-9099-C40C66FF867C}">
                  <a14:compatExt spid="_x0000_s135185"/>
                </a:ext>
                <a:ext uri="{FF2B5EF4-FFF2-40B4-BE49-F238E27FC236}">
                  <a16:creationId xmlns:a16="http://schemas.microsoft.com/office/drawing/2014/main" id="{00000000-0008-0000-0200-00001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給料明細作成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enqian/Google%20&#12489;&#12521;&#12452;&#12502;/TLZS%20Inc/40%20TLZS&#32076;&#21942;&#31649;&#29702;/99TLZS&#31532;&#65299;&#26399;/30TLZS&#26666;&#24335;&#20250;&#31038;_&#25903;&#20986;&#26126;&#3204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次"/>
      <sheetName val="合計"/>
      <sheetName val="消費税"/>
      <sheetName val="公共費用"/>
      <sheetName val="現金明細"/>
      <sheetName val="▲"/>
      <sheetName val="201807"/>
      <sheetName val="201808"/>
      <sheetName val="201809"/>
      <sheetName val="201810"/>
      <sheetName val="201811"/>
      <sheetName val="201812"/>
      <sheetName val="201901"/>
      <sheetName val="201902"/>
      <sheetName val="201903"/>
      <sheetName val="201904"/>
      <sheetName val="201905"/>
      <sheetName val="201906"/>
      <sheetName val="←"/>
      <sheetName val="名前の管理"/>
      <sheetName val="短期貸付金"/>
      <sheetName val="中国支社"/>
      <sheetName val="敷金"/>
      <sheetName val="法人税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B3" t="str">
            <v>口座振込</v>
          </cell>
          <cell r="C3" t="str">
            <v>公共費用</v>
          </cell>
          <cell r="AJ3" t="str">
            <v>課税</v>
          </cell>
          <cell r="AK3" t="str">
            <v>〇</v>
          </cell>
          <cell r="AL3" t="str">
            <v>芦 建軍</v>
          </cell>
          <cell r="AM3" t="str">
            <v>芦 建軍</v>
          </cell>
          <cell r="AN3" t="str">
            <v>精算済</v>
          </cell>
        </row>
        <row r="4">
          <cell r="B4" t="str">
            <v>現金</v>
          </cell>
          <cell r="C4" t="str">
            <v>雑費</v>
          </cell>
          <cell r="AJ4" t="str">
            <v>非課税</v>
          </cell>
          <cell r="AK4" t="str">
            <v>×</v>
          </cell>
          <cell r="AL4" t="str">
            <v>陳 倩</v>
          </cell>
          <cell r="AM4" t="str">
            <v>陳 倩</v>
          </cell>
          <cell r="AN4" t="str">
            <v>未精算</v>
          </cell>
        </row>
        <row r="5">
          <cell r="C5" t="str">
            <v>寮費用</v>
          </cell>
        </row>
        <row r="6">
          <cell r="C6" t="str">
            <v>法人税</v>
          </cell>
        </row>
        <row r="7">
          <cell r="C7" t="str">
            <v>消費税</v>
          </cell>
        </row>
        <row r="8">
          <cell r="C8" t="str">
            <v>精算費用</v>
          </cell>
        </row>
        <row r="9">
          <cell r="C9" t="str">
            <v>北京支社</v>
          </cell>
        </row>
        <row r="10">
          <cell r="C10" t="str">
            <v>瀋陽支社</v>
          </cell>
        </row>
        <row r="11">
          <cell r="C11" t="str">
            <v>外注費</v>
          </cell>
        </row>
        <row r="12">
          <cell r="C12" t="str">
            <v>資産</v>
          </cell>
        </row>
        <row r="13">
          <cell r="C13" t="str">
            <v>未決済</v>
          </cell>
        </row>
      </sheetData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1131-32BF-4D12-BF52-E77A50683321}">
  <sheetPr codeName="Sheet26"/>
  <dimension ref="A1:BM100"/>
  <sheetViews>
    <sheetView tabSelected="1" view="pageBreakPreview" zoomScale="115" zoomScaleNormal="100" zoomScaleSheetLayoutView="115" workbookViewId="0">
      <pane xSplit="8" ySplit="7" topLeftCell="I8" activePane="bottomRight" state="frozen"/>
      <selection pane="topRight" activeCell="I1" sqref="I1"/>
      <selection pane="bottomLeft" activeCell="A8" sqref="A8"/>
      <selection pane="bottomRight" activeCell="I77" sqref="I77"/>
    </sheetView>
  </sheetViews>
  <sheetFormatPr defaultColWidth="10.375" defaultRowHeight="13.5"/>
  <cols>
    <col min="1" max="1" width="3.25" style="7" customWidth="1"/>
    <col min="2" max="2" width="10.25" style="8" bestFit="1" customWidth="1"/>
    <col min="3" max="3" width="9.875" style="9" customWidth="1"/>
    <col min="4" max="4" width="9.125" style="56" bestFit="1" customWidth="1"/>
    <col min="5" max="5" width="8.5" style="56" bestFit="1" customWidth="1"/>
    <col min="6" max="7" width="4.75" style="56" bestFit="1" customWidth="1"/>
    <col min="8" max="8" width="5.625" style="56" bestFit="1" customWidth="1"/>
    <col min="9" max="10" width="10.125" style="5" bestFit="1" customWidth="1"/>
    <col min="11" max="12" width="8.75" style="2" customWidth="1"/>
    <col min="13" max="13" width="10.25" style="2" customWidth="1"/>
    <col min="14" max="14" width="9.25" style="2" bestFit="1" customWidth="1"/>
    <col min="15" max="21" width="9.25" style="2" customWidth="1"/>
    <col min="22" max="22" width="9.25" style="1" customWidth="1"/>
    <col min="23" max="27" width="8.75" style="2" customWidth="1"/>
    <col min="28" max="32" width="9.25" style="1" customWidth="1"/>
    <col min="33" max="33" width="10.25" style="2" bestFit="1" customWidth="1"/>
    <col min="34" max="34" width="1.5" style="4" customWidth="1"/>
    <col min="35" max="35" width="9.125" style="48" customWidth="1"/>
    <col min="36" max="36" width="13.125" style="48" customWidth="1"/>
    <col min="37" max="37" width="6.125" style="48" customWidth="1"/>
    <col min="38" max="38" width="16.25" style="48" customWidth="1"/>
    <col min="39" max="39" width="6.125" style="48" customWidth="1"/>
    <col min="40" max="40" width="7.25" style="48" customWidth="1"/>
    <col min="41" max="41" width="9.125" style="48" customWidth="1"/>
    <col min="42" max="42" width="15.625" style="48" customWidth="1"/>
    <col min="43" max="44" width="8.5" style="2" customWidth="1"/>
    <col min="45" max="45" width="11.5" style="5" bestFit="1" customWidth="1"/>
    <col min="46" max="46" width="1.5" style="4" customWidth="1"/>
    <col min="47" max="48" width="11.125" style="1" customWidth="1"/>
    <col min="49" max="49" width="1.5" style="4" customWidth="1"/>
    <col min="50" max="53" width="11.125" style="1" customWidth="1"/>
    <col min="54" max="54" width="16.125" style="1" bestFit="1" customWidth="1"/>
    <col min="55" max="55" width="15" style="1" bestFit="1" customWidth="1"/>
    <col min="56" max="56" width="11.375" style="1" bestFit="1" customWidth="1"/>
    <col min="57" max="57" width="1.5" style="4" customWidth="1"/>
    <col min="58" max="58" width="8.5" style="8" customWidth="1"/>
    <col min="59" max="59" width="6.375" style="8" bestFit="1" customWidth="1"/>
    <col min="60" max="61" width="6.375" style="8" customWidth="1"/>
    <col min="62" max="62" width="8" style="2" bestFit="1" customWidth="1"/>
    <col min="63" max="63" width="9.25" style="1" bestFit="1" customWidth="1"/>
    <col min="64" max="64" width="1.5" style="4" customWidth="1"/>
    <col min="65" max="65" width="42.875" style="6" customWidth="1"/>
    <col min="66" max="66" width="11.625" style="2" customWidth="1"/>
    <col min="67" max="16384" width="10.375" style="2"/>
  </cols>
  <sheetData>
    <row r="1" spans="1:65">
      <c r="A1" s="18"/>
      <c r="B1" s="53"/>
      <c r="C1" s="54"/>
      <c r="D1" s="18"/>
      <c r="E1" s="18"/>
      <c r="F1" s="18"/>
      <c r="G1" s="18"/>
      <c r="H1" s="18"/>
      <c r="I1" s="103" t="s">
        <v>79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6"/>
      <c r="AI1" s="18"/>
      <c r="AJ1" s="18"/>
      <c r="AK1" s="18"/>
      <c r="AL1" s="18"/>
      <c r="AM1" s="18"/>
      <c r="AN1" s="90"/>
      <c r="AO1" s="90"/>
      <c r="AP1" s="90"/>
      <c r="AQ1" s="13"/>
      <c r="AR1" s="13"/>
      <c r="AS1" s="14"/>
      <c r="AT1" s="16"/>
      <c r="AU1" s="15"/>
      <c r="AV1" s="15"/>
      <c r="AW1" s="16"/>
      <c r="AX1" s="15"/>
      <c r="AY1" s="15"/>
      <c r="AZ1" s="15"/>
      <c r="BA1" s="15"/>
      <c r="BB1" s="15"/>
      <c r="BC1" s="15"/>
      <c r="BD1" s="15"/>
      <c r="BE1" s="16"/>
      <c r="BF1" s="53"/>
      <c r="BG1" s="53"/>
      <c r="BH1" s="53"/>
      <c r="BI1" s="53"/>
      <c r="BJ1" s="13"/>
      <c r="BK1" s="15"/>
      <c r="BL1" s="16"/>
      <c r="BM1" s="17"/>
    </row>
    <row r="2" spans="1:65">
      <c r="A2" s="18"/>
      <c r="B2" s="53"/>
      <c r="C2" s="54"/>
      <c r="D2" s="18"/>
      <c r="E2" s="18"/>
      <c r="F2" s="18"/>
      <c r="G2" s="18"/>
      <c r="H2" s="18"/>
      <c r="I2" s="103" t="s">
        <v>80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9"/>
      <c r="AI2" s="18"/>
      <c r="AJ2" s="18"/>
      <c r="AK2" s="18"/>
      <c r="AL2" s="18"/>
      <c r="AM2" s="18"/>
      <c r="AN2" s="91"/>
      <c r="AO2" s="91"/>
      <c r="AP2" s="91"/>
      <c r="AQ2" s="19"/>
      <c r="AR2" s="19"/>
      <c r="AS2" s="19"/>
      <c r="AT2" s="19"/>
      <c r="AU2" s="20"/>
      <c r="AV2" s="20"/>
      <c r="AW2" s="19"/>
      <c r="AX2" s="20"/>
      <c r="AY2" s="20"/>
      <c r="AZ2" s="20"/>
      <c r="BA2" s="20"/>
      <c r="BB2" s="20"/>
      <c r="BC2" s="20"/>
      <c r="BD2" s="20"/>
      <c r="BE2" s="19"/>
      <c r="BF2" s="53"/>
      <c r="BG2" s="53"/>
      <c r="BH2" s="53"/>
      <c r="BI2" s="53"/>
      <c r="BJ2" s="19"/>
      <c r="BK2" s="20"/>
      <c r="BL2" s="19"/>
      <c r="BM2" s="21"/>
    </row>
    <row r="3" spans="1:65">
      <c r="A3" s="18"/>
      <c r="B3" s="55"/>
      <c r="C3" s="54"/>
      <c r="D3" s="18"/>
      <c r="E3" s="18"/>
      <c r="F3" s="18"/>
      <c r="G3" s="18"/>
      <c r="H3" s="18"/>
      <c r="I3" s="103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9"/>
      <c r="AI3" s="18"/>
      <c r="AJ3" s="18"/>
      <c r="AK3" s="18"/>
      <c r="AL3" s="18"/>
      <c r="AM3" s="18"/>
      <c r="AN3" s="92"/>
      <c r="AO3" s="92"/>
      <c r="AP3" s="92"/>
      <c r="AQ3" s="19"/>
      <c r="AR3" s="19"/>
      <c r="AS3" s="19"/>
      <c r="AT3" s="19"/>
      <c r="AU3" s="25">
        <f>SUM(AU8:AU91)</f>
        <v>0</v>
      </c>
      <c r="AV3" s="25">
        <f>SUM(AV8:AV91)</f>
        <v>0</v>
      </c>
      <c r="AW3" s="19"/>
      <c r="AX3" s="10">
        <f t="shared" ref="AX3:BD3" si="0">SUM(AX8:AX91)</f>
        <v>0</v>
      </c>
      <c r="AY3" s="10">
        <f t="shared" si="0"/>
        <v>0</v>
      </c>
      <c r="AZ3" s="10">
        <f t="shared" si="0"/>
        <v>0</v>
      </c>
      <c r="BA3" s="10">
        <f t="shared" si="0"/>
        <v>0</v>
      </c>
      <c r="BB3" s="10">
        <f t="shared" si="0"/>
        <v>0</v>
      </c>
      <c r="BC3" s="10">
        <f t="shared" si="0"/>
        <v>0</v>
      </c>
      <c r="BD3" s="10">
        <f t="shared" si="0"/>
        <v>0</v>
      </c>
      <c r="BE3" s="19"/>
      <c r="BF3" s="55"/>
      <c r="BG3" s="55"/>
      <c r="BH3" s="55"/>
      <c r="BI3" s="55"/>
      <c r="BJ3" s="43">
        <f>SUM(BJ8:BJ91)</f>
        <v>0</v>
      </c>
      <c r="BK3" s="44">
        <f>SUM(BK8:BK91)</f>
        <v>0</v>
      </c>
      <c r="BL3" s="19"/>
      <c r="BM3" s="27"/>
    </row>
    <row r="4" spans="1:65" ht="24" customHeight="1">
      <c r="A4" s="22"/>
      <c r="B4" s="22"/>
      <c r="C4" s="22"/>
      <c r="D4" s="22"/>
      <c r="E4" s="22"/>
      <c r="F4" s="22"/>
      <c r="G4" s="22"/>
      <c r="H4" s="22"/>
      <c r="I4" s="24">
        <f>COUNTIF(I8:I91, "加入")</f>
        <v>0</v>
      </c>
      <c r="J4" s="24">
        <f>COUNTIF(J8:J91, "加入")</f>
        <v>0</v>
      </c>
      <c r="K4" s="47">
        <f>COUNTIF(K8:K91, "&gt;0")</f>
        <v>0</v>
      </c>
      <c r="L4" s="47">
        <f>COUNTIF(L8:L91, "&gt;0")</f>
        <v>0</v>
      </c>
      <c r="M4" s="18"/>
      <c r="N4" s="23"/>
      <c r="O4" s="84">
        <f>SUM(O8:O91)</f>
        <v>0</v>
      </c>
      <c r="P4" s="85">
        <f>SUM(P8:P91)</f>
        <v>0</v>
      </c>
      <c r="Q4" s="85">
        <f>SUM(Q8:Q91)</f>
        <v>0</v>
      </c>
      <c r="R4" s="85">
        <f>SUM(R8:R91)</f>
        <v>0</v>
      </c>
      <c r="S4" s="85"/>
      <c r="T4" s="85">
        <f t="shared" ref="T4:AG4" si="1">SUM(T8:T91)</f>
        <v>0</v>
      </c>
      <c r="U4" s="86">
        <f t="shared" si="1"/>
        <v>0</v>
      </c>
      <c r="V4" s="86">
        <f t="shared" si="1"/>
        <v>0</v>
      </c>
      <c r="W4" s="87">
        <f t="shared" si="1"/>
        <v>0</v>
      </c>
      <c r="X4" s="87">
        <f t="shared" si="1"/>
        <v>0</v>
      </c>
      <c r="Y4" s="87">
        <f t="shared" si="1"/>
        <v>0</v>
      </c>
      <c r="Z4" s="87">
        <f t="shared" si="1"/>
        <v>0</v>
      </c>
      <c r="AA4" s="87">
        <f t="shared" si="1"/>
        <v>0</v>
      </c>
      <c r="AB4" s="86">
        <f t="shared" si="1"/>
        <v>0</v>
      </c>
      <c r="AC4" s="86">
        <f t="shared" si="1"/>
        <v>0</v>
      </c>
      <c r="AD4" s="86">
        <f t="shared" si="1"/>
        <v>0</v>
      </c>
      <c r="AE4" s="86">
        <f t="shared" si="1"/>
        <v>0</v>
      </c>
      <c r="AF4" s="86">
        <f t="shared" si="1"/>
        <v>0</v>
      </c>
      <c r="AG4" s="88">
        <f t="shared" si="1"/>
        <v>0</v>
      </c>
      <c r="AH4" s="19"/>
      <c r="AI4" s="93" t="s">
        <v>49</v>
      </c>
      <c r="AJ4" s="94"/>
      <c r="AK4" s="94"/>
      <c r="AL4" s="94"/>
      <c r="AM4" s="94"/>
      <c r="AN4" s="94"/>
      <c r="AO4" s="94"/>
      <c r="AP4" s="95"/>
      <c r="AQ4" s="89">
        <f>SUM(AQ9:AQ92)</f>
        <v>0</v>
      </c>
      <c r="AR4" s="89">
        <f>SUM(AR9:AR92)</f>
        <v>0</v>
      </c>
      <c r="AS4" s="83">
        <f>SUM(AS8:AS91)</f>
        <v>0</v>
      </c>
      <c r="AT4" s="19"/>
      <c r="AU4" s="75" t="s">
        <v>60</v>
      </c>
      <c r="AV4" s="75"/>
      <c r="AW4" s="19"/>
      <c r="AX4" s="29" t="s">
        <v>56</v>
      </c>
      <c r="AY4" s="30"/>
      <c r="AZ4" s="30"/>
      <c r="BA4" s="30"/>
      <c r="BB4" s="30"/>
      <c r="BC4" s="30"/>
      <c r="BD4" s="31"/>
      <c r="BE4" s="19"/>
      <c r="BF4" s="45" t="s">
        <v>64</v>
      </c>
      <c r="BG4" s="46"/>
      <c r="BH4" s="46"/>
      <c r="BI4" s="46"/>
      <c r="BJ4" s="46"/>
      <c r="BK4" s="102"/>
      <c r="BL4" s="19"/>
      <c r="BM4" s="122" t="s">
        <v>2</v>
      </c>
    </row>
    <row r="5" spans="1:65" ht="13.5" customHeight="1">
      <c r="A5" s="112" t="s">
        <v>0</v>
      </c>
      <c r="B5" s="112" t="s">
        <v>1</v>
      </c>
      <c r="C5" s="115" t="s">
        <v>12</v>
      </c>
      <c r="D5" s="123" t="s">
        <v>35</v>
      </c>
      <c r="E5" s="115" t="s">
        <v>13</v>
      </c>
      <c r="F5" s="115" t="s">
        <v>66</v>
      </c>
      <c r="G5" s="115" t="s">
        <v>67</v>
      </c>
      <c r="H5" s="115" t="s">
        <v>68</v>
      </c>
      <c r="I5" s="106" t="s">
        <v>45</v>
      </c>
      <c r="J5" s="109" t="s">
        <v>75</v>
      </c>
      <c r="K5" s="116" t="s">
        <v>48</v>
      </c>
      <c r="L5" s="117"/>
      <c r="M5" s="114" t="s">
        <v>69</v>
      </c>
      <c r="N5" s="119" t="s">
        <v>50</v>
      </c>
      <c r="O5" s="104" t="s">
        <v>29</v>
      </c>
      <c r="P5" s="104"/>
      <c r="Q5" s="104"/>
      <c r="R5" s="104"/>
      <c r="S5" s="104"/>
      <c r="T5" s="104"/>
      <c r="U5" s="104"/>
      <c r="V5" s="105" t="s">
        <v>36</v>
      </c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9" t="s">
        <v>78</v>
      </c>
      <c r="AH5" s="19"/>
      <c r="AI5" s="121" t="s">
        <v>15</v>
      </c>
      <c r="AJ5" s="121" t="s">
        <v>37</v>
      </c>
      <c r="AK5" s="121" t="s">
        <v>38</v>
      </c>
      <c r="AL5" s="121" t="s">
        <v>39</v>
      </c>
      <c r="AM5" s="121" t="s">
        <v>40</v>
      </c>
      <c r="AN5" s="121" t="s">
        <v>41</v>
      </c>
      <c r="AO5" s="121" t="s">
        <v>42</v>
      </c>
      <c r="AP5" s="121" t="s">
        <v>43</v>
      </c>
      <c r="AQ5" s="126" t="s">
        <v>24</v>
      </c>
      <c r="AR5" s="127"/>
      <c r="AS5" s="128"/>
      <c r="AT5" s="19"/>
      <c r="AU5" s="28" t="s">
        <v>59</v>
      </c>
      <c r="AV5" s="32"/>
      <c r="AW5" s="19"/>
      <c r="AX5" s="29" t="s">
        <v>57</v>
      </c>
      <c r="AY5" s="30"/>
      <c r="AZ5" s="30"/>
      <c r="BA5" s="30"/>
      <c r="BB5" s="33"/>
      <c r="BC5" s="34" t="s">
        <v>58</v>
      </c>
      <c r="BD5" s="109" t="s">
        <v>61</v>
      </c>
      <c r="BE5" s="19"/>
      <c r="BF5" s="112" t="s">
        <v>65</v>
      </c>
      <c r="BG5" s="112" t="s">
        <v>76</v>
      </c>
      <c r="BH5" s="12"/>
      <c r="BI5" s="12"/>
      <c r="BJ5" s="111" t="s">
        <v>46</v>
      </c>
      <c r="BK5" s="107" t="s">
        <v>47</v>
      </c>
      <c r="BL5" s="19"/>
      <c r="BM5" s="122"/>
    </row>
    <row r="6" spans="1:65" ht="36">
      <c r="A6" s="113"/>
      <c r="B6" s="113"/>
      <c r="C6" s="123" t="s">
        <v>12</v>
      </c>
      <c r="D6" s="124" t="s">
        <v>35</v>
      </c>
      <c r="E6" s="123" t="s">
        <v>13</v>
      </c>
      <c r="F6" s="123"/>
      <c r="G6" s="123"/>
      <c r="H6" s="123"/>
      <c r="I6" s="125"/>
      <c r="J6" s="118"/>
      <c r="K6" s="57" t="s">
        <v>4</v>
      </c>
      <c r="L6" s="57" t="s">
        <v>5</v>
      </c>
      <c r="M6" s="115"/>
      <c r="N6" s="120"/>
      <c r="O6" s="52" t="s">
        <v>18</v>
      </c>
      <c r="P6" s="50" t="s">
        <v>19</v>
      </c>
      <c r="Q6" s="50" t="s">
        <v>20</v>
      </c>
      <c r="R6" s="50" t="s">
        <v>70</v>
      </c>
      <c r="S6" s="58" t="s">
        <v>71</v>
      </c>
      <c r="T6" s="59" t="s">
        <v>21</v>
      </c>
      <c r="U6" s="60" t="s">
        <v>22</v>
      </c>
      <c r="V6" s="60" t="s">
        <v>30</v>
      </c>
      <c r="W6" s="59" t="s">
        <v>26</v>
      </c>
      <c r="X6" s="61" t="s">
        <v>27</v>
      </c>
      <c r="Y6" s="61" t="s">
        <v>28</v>
      </c>
      <c r="Z6" s="61"/>
      <c r="AA6" s="61"/>
      <c r="AB6" s="60" t="s">
        <v>31</v>
      </c>
      <c r="AC6" s="60" t="s">
        <v>32</v>
      </c>
      <c r="AD6" s="60" t="s">
        <v>33</v>
      </c>
      <c r="AE6" s="60" t="s">
        <v>34</v>
      </c>
      <c r="AF6" s="60" t="s">
        <v>14</v>
      </c>
      <c r="AG6" s="118"/>
      <c r="AH6" s="19"/>
      <c r="AI6" s="121"/>
      <c r="AJ6" s="121" t="s">
        <v>7</v>
      </c>
      <c r="AK6" s="121" t="s">
        <v>16</v>
      </c>
      <c r="AL6" s="121" t="s">
        <v>8</v>
      </c>
      <c r="AM6" s="121" t="s">
        <v>17</v>
      </c>
      <c r="AN6" s="121" t="s">
        <v>9</v>
      </c>
      <c r="AO6" s="121" t="s">
        <v>10</v>
      </c>
      <c r="AP6" s="121" t="s">
        <v>11</v>
      </c>
      <c r="AQ6" s="74" t="s">
        <v>44</v>
      </c>
      <c r="AR6" s="74" t="s">
        <v>51</v>
      </c>
      <c r="AS6" s="74" t="s">
        <v>3</v>
      </c>
      <c r="AT6" s="19"/>
      <c r="AU6" s="35" t="s">
        <v>6</v>
      </c>
      <c r="AV6" s="35" t="s">
        <v>23</v>
      </c>
      <c r="AW6" s="19"/>
      <c r="AX6" s="36" t="s">
        <v>52</v>
      </c>
      <c r="AY6" s="36" t="s">
        <v>53</v>
      </c>
      <c r="AZ6" s="36" t="s">
        <v>54</v>
      </c>
      <c r="BA6" s="37" t="s">
        <v>55</v>
      </c>
      <c r="BB6" s="38" t="s">
        <v>62</v>
      </c>
      <c r="BC6" s="34" t="s">
        <v>63</v>
      </c>
      <c r="BD6" s="110"/>
      <c r="BE6" s="19"/>
      <c r="BF6" s="113" t="s">
        <v>12</v>
      </c>
      <c r="BG6" s="113" t="s">
        <v>12</v>
      </c>
      <c r="BH6" s="64"/>
      <c r="BI6" s="64"/>
      <c r="BJ6" s="111"/>
      <c r="BK6" s="108"/>
      <c r="BL6" s="19"/>
      <c r="BM6" s="122"/>
    </row>
    <row r="7" spans="1:65" s="51" customFormat="1">
      <c r="A7" s="49" t="s">
        <v>77</v>
      </c>
      <c r="B7" s="72" t="s">
        <v>72</v>
      </c>
      <c r="C7" s="72" t="s">
        <v>73</v>
      </c>
      <c r="D7" s="72" t="s">
        <v>73</v>
      </c>
      <c r="E7" s="72" t="s">
        <v>73</v>
      </c>
      <c r="F7" s="72" t="s">
        <v>73</v>
      </c>
      <c r="G7" s="72" t="s">
        <v>74</v>
      </c>
      <c r="H7" s="72" t="s">
        <v>74</v>
      </c>
      <c r="I7" s="72" t="s">
        <v>74</v>
      </c>
      <c r="J7" s="72" t="s">
        <v>74</v>
      </c>
      <c r="K7" s="72" t="s">
        <v>73</v>
      </c>
      <c r="L7" s="72" t="s">
        <v>73</v>
      </c>
      <c r="M7" s="72" t="s">
        <v>72</v>
      </c>
      <c r="N7" s="72" t="s">
        <v>74</v>
      </c>
      <c r="O7" s="72" t="s">
        <v>73</v>
      </c>
      <c r="P7" s="72" t="s">
        <v>73</v>
      </c>
      <c r="Q7" s="72" t="s">
        <v>73</v>
      </c>
      <c r="R7" s="72" t="s">
        <v>73</v>
      </c>
      <c r="S7" s="72" t="s">
        <v>72</v>
      </c>
      <c r="T7" s="72" t="s">
        <v>73</v>
      </c>
      <c r="U7" s="72" t="s">
        <v>72</v>
      </c>
      <c r="V7" s="72" t="s">
        <v>72</v>
      </c>
      <c r="W7" s="72" t="s">
        <v>73</v>
      </c>
      <c r="X7" s="73" t="s">
        <v>73</v>
      </c>
      <c r="Y7" s="73" t="s">
        <v>73</v>
      </c>
      <c r="Z7" s="73" t="s">
        <v>73</v>
      </c>
      <c r="AA7" s="73" t="s">
        <v>73</v>
      </c>
      <c r="AB7" s="72" t="s">
        <v>72</v>
      </c>
      <c r="AC7" s="72" t="s">
        <v>72</v>
      </c>
      <c r="AD7" s="72" t="s">
        <v>72</v>
      </c>
      <c r="AE7" s="72" t="s">
        <v>72</v>
      </c>
      <c r="AF7" s="72" t="s">
        <v>72</v>
      </c>
      <c r="AG7" s="72" t="s">
        <v>72</v>
      </c>
      <c r="AH7" s="19"/>
      <c r="AI7" s="96" t="s">
        <v>25</v>
      </c>
      <c r="AJ7" s="96" t="s">
        <v>25</v>
      </c>
      <c r="AK7" s="96" t="s">
        <v>25</v>
      </c>
      <c r="AL7" s="96" t="s">
        <v>25</v>
      </c>
      <c r="AM7" s="96" t="s">
        <v>25</v>
      </c>
      <c r="AN7" s="96" t="s">
        <v>25</v>
      </c>
      <c r="AO7" s="96" t="s">
        <v>25</v>
      </c>
      <c r="AP7" s="96" t="s">
        <v>25</v>
      </c>
      <c r="AQ7" s="63" t="s">
        <v>73</v>
      </c>
      <c r="AR7" s="63" t="s">
        <v>73</v>
      </c>
      <c r="AS7" s="62" t="s">
        <v>72</v>
      </c>
      <c r="AT7" s="19"/>
      <c r="AU7" s="62" t="s">
        <v>72</v>
      </c>
      <c r="AV7" s="62" t="s">
        <v>72</v>
      </c>
      <c r="AW7" s="19"/>
      <c r="AX7" s="62" t="s">
        <v>72</v>
      </c>
      <c r="AY7" s="62" t="s">
        <v>72</v>
      </c>
      <c r="AZ7" s="62" t="s">
        <v>72</v>
      </c>
      <c r="BA7" s="62" t="s">
        <v>72</v>
      </c>
      <c r="BB7" s="62" t="s">
        <v>72</v>
      </c>
      <c r="BC7" s="62" t="s">
        <v>72</v>
      </c>
      <c r="BD7" s="62" t="s">
        <v>72</v>
      </c>
      <c r="BE7" s="19"/>
      <c r="BF7" s="65" t="s">
        <v>73</v>
      </c>
      <c r="BG7" s="65" t="s">
        <v>73</v>
      </c>
      <c r="BH7" s="65"/>
      <c r="BI7" s="65"/>
      <c r="BJ7" s="62" t="s">
        <v>72</v>
      </c>
      <c r="BK7" s="62" t="s">
        <v>72</v>
      </c>
      <c r="BL7" s="19"/>
    </row>
    <row r="8" spans="1:65" s="3" customFormat="1">
      <c r="A8" s="49">
        <f>ROW()-7</f>
        <v>1</v>
      </c>
      <c r="B8" s="39">
        <v>43647</v>
      </c>
      <c r="C8" s="70"/>
      <c r="D8" s="68"/>
      <c r="E8" s="68"/>
      <c r="F8" s="67"/>
      <c r="G8" s="68"/>
      <c r="H8" s="68"/>
      <c r="I8" s="69"/>
      <c r="J8" s="69"/>
      <c r="K8" s="76"/>
      <c r="L8" s="76"/>
      <c r="M8" s="77"/>
      <c r="N8" s="71"/>
      <c r="O8" s="78"/>
      <c r="P8" s="78"/>
      <c r="Q8" s="78"/>
      <c r="R8" s="78"/>
      <c r="S8" s="77"/>
      <c r="T8" s="78"/>
      <c r="U8" s="77"/>
      <c r="V8" s="77"/>
      <c r="W8" s="78"/>
      <c r="X8" s="79"/>
      <c r="Y8" s="79"/>
      <c r="Z8" s="79"/>
      <c r="AA8" s="79"/>
      <c r="AB8" s="77"/>
      <c r="AC8" s="77"/>
      <c r="AD8" s="77"/>
      <c r="AE8" s="77"/>
      <c r="AF8" s="80"/>
      <c r="AG8" s="81"/>
      <c r="AH8" s="19"/>
      <c r="AI8" s="97"/>
      <c r="AJ8" s="98"/>
      <c r="AK8" s="99"/>
      <c r="AL8" s="100"/>
      <c r="AM8" s="98"/>
      <c r="AN8" s="98"/>
      <c r="AO8" s="97"/>
      <c r="AP8" s="101"/>
      <c r="AQ8" s="82"/>
      <c r="AR8" s="82"/>
      <c r="AS8" s="83"/>
      <c r="AT8" s="19"/>
      <c r="AU8" s="25">
        <f t="shared" ref="AU8:AU39" si="2">IF($I8="加入",ROUND(U8*0.006,0),0)</f>
        <v>0</v>
      </c>
      <c r="AV8" s="25">
        <f t="shared" ref="AV8:AV39" si="3">ROUND(U8*0.003,0)</f>
        <v>0</v>
      </c>
      <c r="AW8" s="19"/>
      <c r="AX8" s="10">
        <f t="shared" ref="AX8:AX39" si="4">IF($J8="加入",AB8,0)</f>
        <v>0</v>
      </c>
      <c r="AY8" s="10">
        <f t="shared" ref="AY8:AY39" si="5">IF($J8="加入",AC8,0)</f>
        <v>0</v>
      </c>
      <c r="AZ8" s="10">
        <f t="shared" ref="AZ8:AZ39" si="6">IF($J8="加入",AD8,0)</f>
        <v>0</v>
      </c>
      <c r="BA8" s="10">
        <f t="shared" ref="BA8:BA39" si="7">IF($J8="加入",ROUND(L8*0.0034,0), 0)</f>
        <v>0</v>
      </c>
      <c r="BB8" s="40">
        <f>AX8+AY8+AZ8+BA8</f>
        <v>0</v>
      </c>
      <c r="BC8" s="11">
        <f t="shared" ref="BC8:BC39" si="8">AB8+AC8+AD8</f>
        <v>0</v>
      </c>
      <c r="BD8" s="41"/>
      <c r="BE8" s="19"/>
      <c r="BF8" s="66"/>
      <c r="BG8" s="66"/>
      <c r="BH8" s="66"/>
      <c r="BI8" s="66"/>
      <c r="BJ8" s="26">
        <f t="shared" ref="BJ8:BJ39" si="9">IF(AG8&lt;&gt;"",1,0)</f>
        <v>0</v>
      </c>
      <c r="BK8" s="26">
        <f t="shared" ref="BK8:BK39" si="10">SUM(O8:T8)+SUM(AU8:BA8)-Y8</f>
        <v>0</v>
      </c>
      <c r="BL8" s="19"/>
      <c r="BM8" s="42"/>
    </row>
    <row r="9" spans="1:65" s="3" customFormat="1">
      <c r="A9" s="49">
        <f t="shared" ref="A9:A72" si="11">ROW()-7</f>
        <v>2</v>
      </c>
      <c r="B9" s="39">
        <v>43647</v>
      </c>
      <c r="C9" s="70"/>
      <c r="D9" s="68"/>
      <c r="E9" s="68"/>
      <c r="F9" s="67"/>
      <c r="G9" s="68"/>
      <c r="H9" s="68"/>
      <c r="I9" s="69"/>
      <c r="J9" s="69"/>
      <c r="K9" s="76"/>
      <c r="L9" s="76"/>
      <c r="M9" s="77"/>
      <c r="N9" s="71"/>
      <c r="O9" s="78"/>
      <c r="P9" s="78"/>
      <c r="Q9" s="78"/>
      <c r="R9" s="78"/>
      <c r="S9" s="77"/>
      <c r="T9" s="78"/>
      <c r="U9" s="77"/>
      <c r="V9" s="77"/>
      <c r="W9" s="78"/>
      <c r="X9" s="79"/>
      <c r="Y9" s="79"/>
      <c r="Z9" s="79"/>
      <c r="AA9" s="79"/>
      <c r="AB9" s="77"/>
      <c r="AC9" s="77"/>
      <c r="AD9" s="77"/>
      <c r="AE9" s="77"/>
      <c r="AF9" s="80"/>
      <c r="AG9" s="81"/>
      <c r="AH9" s="19"/>
      <c r="AI9" s="97"/>
      <c r="AJ9" s="98"/>
      <c r="AK9" s="99"/>
      <c r="AL9" s="100"/>
      <c r="AM9" s="98"/>
      <c r="AN9" s="98"/>
      <c r="AO9" s="97"/>
      <c r="AP9" s="101"/>
      <c r="AQ9" s="82"/>
      <c r="AR9" s="82"/>
      <c r="AS9" s="83"/>
      <c r="AT9" s="19"/>
      <c r="AU9" s="25">
        <f t="shared" si="2"/>
        <v>0</v>
      </c>
      <c r="AV9" s="25">
        <f t="shared" si="3"/>
        <v>0</v>
      </c>
      <c r="AW9" s="19"/>
      <c r="AX9" s="10">
        <f t="shared" si="4"/>
        <v>0</v>
      </c>
      <c r="AY9" s="10">
        <f t="shared" si="5"/>
        <v>0</v>
      </c>
      <c r="AZ9" s="10">
        <f t="shared" si="6"/>
        <v>0</v>
      </c>
      <c r="BA9" s="10">
        <f t="shared" si="7"/>
        <v>0</v>
      </c>
      <c r="BB9" s="40">
        <f t="shared" ref="BB9:BB72" si="12">AX9+AY9+AZ9+BA9</f>
        <v>0</v>
      </c>
      <c r="BC9" s="11">
        <f t="shared" si="8"/>
        <v>0</v>
      </c>
      <c r="BD9" s="41"/>
      <c r="BE9" s="19"/>
      <c r="BF9" s="66"/>
      <c r="BG9" s="66"/>
      <c r="BH9" s="66"/>
      <c r="BI9" s="66"/>
      <c r="BJ9" s="26">
        <f t="shared" si="9"/>
        <v>0</v>
      </c>
      <c r="BK9" s="26">
        <f t="shared" si="10"/>
        <v>0</v>
      </c>
      <c r="BL9" s="19"/>
      <c r="BM9" s="42"/>
    </row>
    <row r="10" spans="1:65" s="3" customFormat="1">
      <c r="A10" s="49">
        <f t="shared" si="11"/>
        <v>3</v>
      </c>
      <c r="B10" s="39">
        <v>43647</v>
      </c>
      <c r="C10" s="70"/>
      <c r="D10" s="68"/>
      <c r="E10" s="68"/>
      <c r="F10" s="67"/>
      <c r="G10" s="68"/>
      <c r="H10" s="68"/>
      <c r="I10" s="69"/>
      <c r="J10" s="69"/>
      <c r="K10" s="76"/>
      <c r="L10" s="76"/>
      <c r="M10" s="77"/>
      <c r="N10" s="71"/>
      <c r="O10" s="78"/>
      <c r="P10" s="78"/>
      <c r="Q10" s="78"/>
      <c r="R10" s="78"/>
      <c r="S10" s="77"/>
      <c r="T10" s="78"/>
      <c r="U10" s="77"/>
      <c r="V10" s="77"/>
      <c r="W10" s="78"/>
      <c r="X10" s="79"/>
      <c r="Y10" s="79"/>
      <c r="Z10" s="79"/>
      <c r="AA10" s="79"/>
      <c r="AB10" s="77"/>
      <c r="AC10" s="77"/>
      <c r="AD10" s="77"/>
      <c r="AE10" s="77"/>
      <c r="AF10" s="80"/>
      <c r="AG10" s="81"/>
      <c r="AH10" s="19"/>
      <c r="AI10" s="97"/>
      <c r="AJ10" s="98"/>
      <c r="AK10" s="99"/>
      <c r="AL10" s="100"/>
      <c r="AM10" s="98"/>
      <c r="AN10" s="98"/>
      <c r="AO10" s="97"/>
      <c r="AP10" s="101"/>
      <c r="AQ10" s="82"/>
      <c r="AR10" s="82"/>
      <c r="AS10" s="83"/>
      <c r="AT10" s="19"/>
      <c r="AU10" s="25">
        <f t="shared" si="2"/>
        <v>0</v>
      </c>
      <c r="AV10" s="25">
        <f t="shared" si="3"/>
        <v>0</v>
      </c>
      <c r="AW10" s="19"/>
      <c r="AX10" s="10">
        <f t="shared" si="4"/>
        <v>0</v>
      </c>
      <c r="AY10" s="10">
        <f t="shared" si="5"/>
        <v>0</v>
      </c>
      <c r="AZ10" s="10">
        <f t="shared" si="6"/>
        <v>0</v>
      </c>
      <c r="BA10" s="10">
        <f t="shared" si="7"/>
        <v>0</v>
      </c>
      <c r="BB10" s="40">
        <f t="shared" si="12"/>
        <v>0</v>
      </c>
      <c r="BC10" s="11">
        <f t="shared" si="8"/>
        <v>0</v>
      </c>
      <c r="BD10" s="41"/>
      <c r="BE10" s="19"/>
      <c r="BF10" s="66"/>
      <c r="BG10" s="66"/>
      <c r="BH10" s="66"/>
      <c r="BI10" s="66"/>
      <c r="BJ10" s="26">
        <f t="shared" si="9"/>
        <v>0</v>
      </c>
      <c r="BK10" s="26">
        <f t="shared" si="10"/>
        <v>0</v>
      </c>
      <c r="BL10" s="19"/>
      <c r="BM10" s="42"/>
    </row>
    <row r="11" spans="1:65" s="3" customFormat="1">
      <c r="A11" s="49">
        <f t="shared" si="11"/>
        <v>4</v>
      </c>
      <c r="B11" s="39">
        <v>43647</v>
      </c>
      <c r="C11" s="70"/>
      <c r="D11" s="68"/>
      <c r="E11" s="68"/>
      <c r="F11" s="67"/>
      <c r="G11" s="68"/>
      <c r="H11" s="68"/>
      <c r="I11" s="69"/>
      <c r="J11" s="69"/>
      <c r="K11" s="76"/>
      <c r="L11" s="76"/>
      <c r="M11" s="77"/>
      <c r="N11" s="71"/>
      <c r="O11" s="78"/>
      <c r="P11" s="78"/>
      <c r="Q11" s="78"/>
      <c r="R11" s="78"/>
      <c r="S11" s="77"/>
      <c r="T11" s="78"/>
      <c r="U11" s="77"/>
      <c r="V11" s="77"/>
      <c r="W11" s="78"/>
      <c r="X11" s="79"/>
      <c r="Y11" s="79"/>
      <c r="Z11" s="79"/>
      <c r="AA11" s="79"/>
      <c r="AB11" s="77"/>
      <c r="AC11" s="77"/>
      <c r="AD11" s="77"/>
      <c r="AE11" s="77"/>
      <c r="AF11" s="80"/>
      <c r="AG11" s="81"/>
      <c r="AH11" s="19"/>
      <c r="AI11" s="97"/>
      <c r="AJ11" s="98"/>
      <c r="AK11" s="99"/>
      <c r="AL11" s="100"/>
      <c r="AM11" s="98"/>
      <c r="AN11" s="98"/>
      <c r="AO11" s="97"/>
      <c r="AP11" s="101"/>
      <c r="AQ11" s="82"/>
      <c r="AR11" s="82"/>
      <c r="AS11" s="83"/>
      <c r="AT11" s="19"/>
      <c r="AU11" s="25">
        <f t="shared" si="2"/>
        <v>0</v>
      </c>
      <c r="AV11" s="25">
        <f t="shared" si="3"/>
        <v>0</v>
      </c>
      <c r="AW11" s="19"/>
      <c r="AX11" s="10">
        <f t="shared" si="4"/>
        <v>0</v>
      </c>
      <c r="AY11" s="10">
        <f t="shared" si="5"/>
        <v>0</v>
      </c>
      <c r="AZ11" s="10">
        <f t="shared" si="6"/>
        <v>0</v>
      </c>
      <c r="BA11" s="10">
        <f t="shared" si="7"/>
        <v>0</v>
      </c>
      <c r="BB11" s="40">
        <f t="shared" si="12"/>
        <v>0</v>
      </c>
      <c r="BC11" s="11">
        <f t="shared" si="8"/>
        <v>0</v>
      </c>
      <c r="BD11" s="41"/>
      <c r="BE11" s="19"/>
      <c r="BF11" s="66"/>
      <c r="BG11" s="66"/>
      <c r="BH11" s="66"/>
      <c r="BI11" s="66"/>
      <c r="BJ11" s="26">
        <f t="shared" si="9"/>
        <v>0</v>
      </c>
      <c r="BK11" s="26">
        <f t="shared" si="10"/>
        <v>0</v>
      </c>
      <c r="BL11" s="19"/>
      <c r="BM11" s="42"/>
    </row>
    <row r="12" spans="1:65" s="3" customFormat="1">
      <c r="A12" s="49">
        <f t="shared" si="11"/>
        <v>5</v>
      </c>
      <c r="B12" s="39">
        <v>43647</v>
      </c>
      <c r="C12" s="70"/>
      <c r="D12" s="68"/>
      <c r="E12" s="68"/>
      <c r="F12" s="67"/>
      <c r="G12" s="68"/>
      <c r="H12" s="68"/>
      <c r="I12" s="69"/>
      <c r="J12" s="69"/>
      <c r="K12" s="76"/>
      <c r="L12" s="76"/>
      <c r="M12" s="77"/>
      <c r="N12" s="71"/>
      <c r="O12" s="78"/>
      <c r="P12" s="78"/>
      <c r="Q12" s="78"/>
      <c r="R12" s="78"/>
      <c r="S12" s="77"/>
      <c r="T12" s="78"/>
      <c r="U12" s="77"/>
      <c r="V12" s="77"/>
      <c r="W12" s="78"/>
      <c r="X12" s="79"/>
      <c r="Y12" s="79"/>
      <c r="Z12" s="79"/>
      <c r="AA12" s="79"/>
      <c r="AB12" s="77"/>
      <c r="AC12" s="77"/>
      <c r="AD12" s="77"/>
      <c r="AE12" s="77"/>
      <c r="AF12" s="80"/>
      <c r="AG12" s="81"/>
      <c r="AH12" s="19"/>
      <c r="AI12" s="97"/>
      <c r="AJ12" s="98"/>
      <c r="AK12" s="99"/>
      <c r="AL12" s="100"/>
      <c r="AM12" s="98"/>
      <c r="AN12" s="98"/>
      <c r="AO12" s="97"/>
      <c r="AP12" s="101"/>
      <c r="AQ12" s="82"/>
      <c r="AR12" s="82"/>
      <c r="AS12" s="83"/>
      <c r="AT12" s="19"/>
      <c r="AU12" s="25">
        <f t="shared" si="2"/>
        <v>0</v>
      </c>
      <c r="AV12" s="25">
        <f t="shared" si="3"/>
        <v>0</v>
      </c>
      <c r="AW12" s="19"/>
      <c r="AX12" s="10">
        <f t="shared" si="4"/>
        <v>0</v>
      </c>
      <c r="AY12" s="10">
        <f t="shared" si="5"/>
        <v>0</v>
      </c>
      <c r="AZ12" s="10">
        <f t="shared" si="6"/>
        <v>0</v>
      </c>
      <c r="BA12" s="10">
        <f t="shared" si="7"/>
        <v>0</v>
      </c>
      <c r="BB12" s="40">
        <f t="shared" si="12"/>
        <v>0</v>
      </c>
      <c r="BC12" s="11">
        <f t="shared" si="8"/>
        <v>0</v>
      </c>
      <c r="BD12" s="41"/>
      <c r="BE12" s="19"/>
      <c r="BF12" s="66"/>
      <c r="BG12" s="66"/>
      <c r="BH12" s="66"/>
      <c r="BI12" s="66"/>
      <c r="BJ12" s="26">
        <f t="shared" si="9"/>
        <v>0</v>
      </c>
      <c r="BK12" s="26">
        <f t="shared" si="10"/>
        <v>0</v>
      </c>
      <c r="BL12" s="19"/>
      <c r="BM12" s="42"/>
    </row>
    <row r="13" spans="1:65" s="3" customFormat="1">
      <c r="A13" s="49">
        <f t="shared" si="11"/>
        <v>6</v>
      </c>
      <c r="B13" s="39">
        <v>43647</v>
      </c>
      <c r="C13" s="70"/>
      <c r="D13" s="68"/>
      <c r="E13" s="68"/>
      <c r="F13" s="67"/>
      <c r="G13" s="68"/>
      <c r="H13" s="68"/>
      <c r="I13" s="69"/>
      <c r="J13" s="69"/>
      <c r="K13" s="76"/>
      <c r="L13" s="76"/>
      <c r="M13" s="77"/>
      <c r="N13" s="71"/>
      <c r="O13" s="78"/>
      <c r="P13" s="78"/>
      <c r="Q13" s="78"/>
      <c r="R13" s="78"/>
      <c r="S13" s="77"/>
      <c r="T13" s="78"/>
      <c r="U13" s="77"/>
      <c r="V13" s="77"/>
      <c r="W13" s="78"/>
      <c r="X13" s="79"/>
      <c r="Y13" s="79"/>
      <c r="Z13" s="79"/>
      <c r="AA13" s="79"/>
      <c r="AB13" s="77"/>
      <c r="AC13" s="77"/>
      <c r="AD13" s="77"/>
      <c r="AE13" s="77"/>
      <c r="AF13" s="80"/>
      <c r="AG13" s="81"/>
      <c r="AH13" s="19"/>
      <c r="AI13" s="97"/>
      <c r="AJ13" s="98"/>
      <c r="AK13" s="99"/>
      <c r="AL13" s="100"/>
      <c r="AM13" s="98"/>
      <c r="AN13" s="98"/>
      <c r="AO13" s="97"/>
      <c r="AP13" s="101"/>
      <c r="AQ13" s="82"/>
      <c r="AR13" s="82"/>
      <c r="AS13" s="83"/>
      <c r="AT13" s="19"/>
      <c r="AU13" s="25">
        <f t="shared" si="2"/>
        <v>0</v>
      </c>
      <c r="AV13" s="25">
        <f t="shared" si="3"/>
        <v>0</v>
      </c>
      <c r="AW13" s="19"/>
      <c r="AX13" s="10">
        <f t="shared" si="4"/>
        <v>0</v>
      </c>
      <c r="AY13" s="10">
        <f t="shared" si="5"/>
        <v>0</v>
      </c>
      <c r="AZ13" s="10">
        <f t="shared" si="6"/>
        <v>0</v>
      </c>
      <c r="BA13" s="10">
        <f t="shared" si="7"/>
        <v>0</v>
      </c>
      <c r="BB13" s="40">
        <f t="shared" si="12"/>
        <v>0</v>
      </c>
      <c r="BC13" s="11">
        <f t="shared" si="8"/>
        <v>0</v>
      </c>
      <c r="BD13" s="41"/>
      <c r="BE13" s="19"/>
      <c r="BF13" s="66"/>
      <c r="BG13" s="66"/>
      <c r="BH13" s="66"/>
      <c r="BI13" s="66"/>
      <c r="BJ13" s="26">
        <f t="shared" si="9"/>
        <v>0</v>
      </c>
      <c r="BK13" s="26">
        <f t="shared" si="10"/>
        <v>0</v>
      </c>
      <c r="BL13" s="19"/>
      <c r="BM13" s="42"/>
    </row>
    <row r="14" spans="1:65" s="3" customFormat="1">
      <c r="A14" s="49">
        <f t="shared" si="11"/>
        <v>7</v>
      </c>
      <c r="B14" s="39">
        <v>43647</v>
      </c>
      <c r="C14" s="70"/>
      <c r="D14" s="68"/>
      <c r="E14" s="68"/>
      <c r="F14" s="67"/>
      <c r="G14" s="68"/>
      <c r="H14" s="68"/>
      <c r="I14" s="69"/>
      <c r="J14" s="69"/>
      <c r="K14" s="76"/>
      <c r="L14" s="76"/>
      <c r="M14" s="77"/>
      <c r="N14" s="71"/>
      <c r="O14" s="78"/>
      <c r="P14" s="78"/>
      <c r="Q14" s="78"/>
      <c r="R14" s="78"/>
      <c r="S14" s="77"/>
      <c r="T14" s="78"/>
      <c r="U14" s="77"/>
      <c r="V14" s="77"/>
      <c r="W14" s="78"/>
      <c r="X14" s="79"/>
      <c r="Y14" s="79"/>
      <c r="Z14" s="79"/>
      <c r="AA14" s="79"/>
      <c r="AB14" s="77"/>
      <c r="AC14" s="77"/>
      <c r="AD14" s="77"/>
      <c r="AE14" s="77"/>
      <c r="AF14" s="80"/>
      <c r="AG14" s="81"/>
      <c r="AH14" s="19"/>
      <c r="AI14" s="97"/>
      <c r="AJ14" s="98"/>
      <c r="AK14" s="99"/>
      <c r="AL14" s="100"/>
      <c r="AM14" s="98"/>
      <c r="AN14" s="98"/>
      <c r="AO14" s="97"/>
      <c r="AP14" s="101"/>
      <c r="AQ14" s="82"/>
      <c r="AR14" s="82"/>
      <c r="AS14" s="83"/>
      <c r="AT14" s="19"/>
      <c r="AU14" s="25">
        <f t="shared" si="2"/>
        <v>0</v>
      </c>
      <c r="AV14" s="25">
        <f t="shared" si="3"/>
        <v>0</v>
      </c>
      <c r="AW14" s="19"/>
      <c r="AX14" s="10">
        <f t="shared" si="4"/>
        <v>0</v>
      </c>
      <c r="AY14" s="10">
        <f t="shared" si="5"/>
        <v>0</v>
      </c>
      <c r="AZ14" s="10">
        <f t="shared" si="6"/>
        <v>0</v>
      </c>
      <c r="BA14" s="10">
        <f t="shared" si="7"/>
        <v>0</v>
      </c>
      <c r="BB14" s="40">
        <f t="shared" si="12"/>
        <v>0</v>
      </c>
      <c r="BC14" s="11">
        <f t="shared" si="8"/>
        <v>0</v>
      </c>
      <c r="BD14" s="41"/>
      <c r="BE14" s="19"/>
      <c r="BF14" s="66"/>
      <c r="BG14" s="66"/>
      <c r="BH14" s="66"/>
      <c r="BI14" s="66"/>
      <c r="BJ14" s="26">
        <f t="shared" si="9"/>
        <v>0</v>
      </c>
      <c r="BK14" s="26">
        <f t="shared" si="10"/>
        <v>0</v>
      </c>
      <c r="BL14" s="19"/>
      <c r="BM14" s="42"/>
    </row>
    <row r="15" spans="1:65" s="3" customFormat="1">
      <c r="A15" s="49">
        <f t="shared" si="11"/>
        <v>8</v>
      </c>
      <c r="B15" s="39">
        <v>43647</v>
      </c>
      <c r="C15" s="70"/>
      <c r="D15" s="68"/>
      <c r="E15" s="68"/>
      <c r="F15" s="67"/>
      <c r="G15" s="68"/>
      <c r="H15" s="68"/>
      <c r="I15" s="69"/>
      <c r="J15" s="69"/>
      <c r="K15" s="76"/>
      <c r="L15" s="76"/>
      <c r="M15" s="77"/>
      <c r="N15" s="71"/>
      <c r="O15" s="78"/>
      <c r="P15" s="78"/>
      <c r="Q15" s="78"/>
      <c r="R15" s="78"/>
      <c r="S15" s="77"/>
      <c r="T15" s="78"/>
      <c r="U15" s="77"/>
      <c r="V15" s="77"/>
      <c r="W15" s="78"/>
      <c r="X15" s="79"/>
      <c r="Y15" s="79"/>
      <c r="Z15" s="79"/>
      <c r="AA15" s="79"/>
      <c r="AB15" s="77"/>
      <c r="AC15" s="77"/>
      <c r="AD15" s="77"/>
      <c r="AE15" s="77"/>
      <c r="AF15" s="80"/>
      <c r="AG15" s="81"/>
      <c r="AH15" s="19"/>
      <c r="AI15" s="97"/>
      <c r="AJ15" s="98"/>
      <c r="AK15" s="99"/>
      <c r="AL15" s="100"/>
      <c r="AM15" s="98"/>
      <c r="AN15" s="98"/>
      <c r="AO15" s="97"/>
      <c r="AP15" s="101"/>
      <c r="AQ15" s="82"/>
      <c r="AR15" s="82"/>
      <c r="AS15" s="83"/>
      <c r="AT15" s="19"/>
      <c r="AU15" s="25">
        <f t="shared" si="2"/>
        <v>0</v>
      </c>
      <c r="AV15" s="25">
        <f t="shared" si="3"/>
        <v>0</v>
      </c>
      <c r="AW15" s="19"/>
      <c r="AX15" s="10">
        <f t="shared" si="4"/>
        <v>0</v>
      </c>
      <c r="AY15" s="10">
        <f t="shared" si="5"/>
        <v>0</v>
      </c>
      <c r="AZ15" s="10">
        <f t="shared" si="6"/>
        <v>0</v>
      </c>
      <c r="BA15" s="10">
        <f t="shared" si="7"/>
        <v>0</v>
      </c>
      <c r="BB15" s="40">
        <f t="shared" si="12"/>
        <v>0</v>
      </c>
      <c r="BC15" s="11">
        <f t="shared" si="8"/>
        <v>0</v>
      </c>
      <c r="BD15" s="41"/>
      <c r="BE15" s="19"/>
      <c r="BF15" s="66"/>
      <c r="BG15" s="66"/>
      <c r="BH15" s="66"/>
      <c r="BI15" s="66"/>
      <c r="BJ15" s="26">
        <f t="shared" si="9"/>
        <v>0</v>
      </c>
      <c r="BK15" s="26">
        <f t="shared" si="10"/>
        <v>0</v>
      </c>
      <c r="BL15" s="19"/>
      <c r="BM15" s="42"/>
    </row>
    <row r="16" spans="1:65" s="3" customFormat="1">
      <c r="A16" s="49">
        <f t="shared" si="11"/>
        <v>9</v>
      </c>
      <c r="B16" s="39">
        <v>43647</v>
      </c>
      <c r="C16" s="70"/>
      <c r="D16" s="68"/>
      <c r="E16" s="68"/>
      <c r="F16" s="67"/>
      <c r="G16" s="68"/>
      <c r="H16" s="68"/>
      <c r="I16" s="69"/>
      <c r="J16" s="69"/>
      <c r="K16" s="76"/>
      <c r="L16" s="76"/>
      <c r="M16" s="77"/>
      <c r="N16" s="71"/>
      <c r="O16" s="78"/>
      <c r="P16" s="78"/>
      <c r="Q16" s="78"/>
      <c r="R16" s="78"/>
      <c r="S16" s="77"/>
      <c r="T16" s="78"/>
      <c r="U16" s="77"/>
      <c r="V16" s="77"/>
      <c r="W16" s="78"/>
      <c r="X16" s="79"/>
      <c r="Y16" s="79"/>
      <c r="Z16" s="79"/>
      <c r="AA16" s="79"/>
      <c r="AB16" s="77"/>
      <c r="AC16" s="77"/>
      <c r="AD16" s="77"/>
      <c r="AE16" s="77"/>
      <c r="AF16" s="80"/>
      <c r="AG16" s="81"/>
      <c r="AH16" s="19"/>
      <c r="AI16" s="97"/>
      <c r="AJ16" s="98"/>
      <c r="AK16" s="99"/>
      <c r="AL16" s="100"/>
      <c r="AM16" s="98"/>
      <c r="AN16" s="98"/>
      <c r="AO16" s="97"/>
      <c r="AP16" s="101"/>
      <c r="AQ16" s="82"/>
      <c r="AR16" s="82"/>
      <c r="AS16" s="83"/>
      <c r="AT16" s="19"/>
      <c r="AU16" s="25">
        <f t="shared" si="2"/>
        <v>0</v>
      </c>
      <c r="AV16" s="25">
        <f t="shared" si="3"/>
        <v>0</v>
      </c>
      <c r="AW16" s="19"/>
      <c r="AX16" s="10">
        <f t="shared" si="4"/>
        <v>0</v>
      </c>
      <c r="AY16" s="10">
        <f t="shared" si="5"/>
        <v>0</v>
      </c>
      <c r="AZ16" s="10">
        <f t="shared" si="6"/>
        <v>0</v>
      </c>
      <c r="BA16" s="10">
        <f t="shared" si="7"/>
        <v>0</v>
      </c>
      <c r="BB16" s="40">
        <f t="shared" si="12"/>
        <v>0</v>
      </c>
      <c r="BC16" s="11">
        <f t="shared" si="8"/>
        <v>0</v>
      </c>
      <c r="BD16" s="41"/>
      <c r="BE16" s="19"/>
      <c r="BF16" s="66"/>
      <c r="BG16" s="66"/>
      <c r="BH16" s="66"/>
      <c r="BI16" s="66"/>
      <c r="BJ16" s="26">
        <f t="shared" si="9"/>
        <v>0</v>
      </c>
      <c r="BK16" s="26">
        <f t="shared" si="10"/>
        <v>0</v>
      </c>
      <c r="BL16" s="19"/>
      <c r="BM16" s="42"/>
    </row>
    <row r="17" spans="1:65" s="3" customFormat="1">
      <c r="A17" s="49">
        <f t="shared" si="11"/>
        <v>10</v>
      </c>
      <c r="B17" s="39">
        <v>43647</v>
      </c>
      <c r="C17" s="70"/>
      <c r="D17" s="68"/>
      <c r="E17" s="68"/>
      <c r="F17" s="67"/>
      <c r="G17" s="68"/>
      <c r="H17" s="68"/>
      <c r="I17" s="69"/>
      <c r="J17" s="69"/>
      <c r="K17" s="76"/>
      <c r="L17" s="76"/>
      <c r="M17" s="77"/>
      <c r="N17" s="71"/>
      <c r="O17" s="78"/>
      <c r="P17" s="78"/>
      <c r="Q17" s="78"/>
      <c r="R17" s="78"/>
      <c r="S17" s="77"/>
      <c r="T17" s="78"/>
      <c r="U17" s="77"/>
      <c r="V17" s="77"/>
      <c r="W17" s="78"/>
      <c r="X17" s="79"/>
      <c r="Y17" s="79"/>
      <c r="Z17" s="79"/>
      <c r="AA17" s="79"/>
      <c r="AB17" s="77"/>
      <c r="AC17" s="77"/>
      <c r="AD17" s="77"/>
      <c r="AE17" s="77"/>
      <c r="AF17" s="80"/>
      <c r="AG17" s="81"/>
      <c r="AH17" s="19"/>
      <c r="AI17" s="97"/>
      <c r="AJ17" s="98"/>
      <c r="AK17" s="99"/>
      <c r="AL17" s="100"/>
      <c r="AM17" s="98"/>
      <c r="AN17" s="98"/>
      <c r="AO17" s="97"/>
      <c r="AP17" s="101"/>
      <c r="AQ17" s="82"/>
      <c r="AR17" s="82"/>
      <c r="AS17" s="83"/>
      <c r="AT17" s="19"/>
      <c r="AU17" s="25">
        <f t="shared" si="2"/>
        <v>0</v>
      </c>
      <c r="AV17" s="25">
        <f t="shared" si="3"/>
        <v>0</v>
      </c>
      <c r="AW17" s="19"/>
      <c r="AX17" s="10">
        <f t="shared" si="4"/>
        <v>0</v>
      </c>
      <c r="AY17" s="10">
        <f t="shared" si="5"/>
        <v>0</v>
      </c>
      <c r="AZ17" s="10">
        <f t="shared" si="6"/>
        <v>0</v>
      </c>
      <c r="BA17" s="10">
        <f t="shared" si="7"/>
        <v>0</v>
      </c>
      <c r="BB17" s="40">
        <f t="shared" si="12"/>
        <v>0</v>
      </c>
      <c r="BC17" s="11">
        <f t="shared" si="8"/>
        <v>0</v>
      </c>
      <c r="BD17" s="41"/>
      <c r="BE17" s="19"/>
      <c r="BF17" s="66"/>
      <c r="BG17" s="66"/>
      <c r="BH17" s="66"/>
      <c r="BI17" s="66"/>
      <c r="BJ17" s="26">
        <f t="shared" si="9"/>
        <v>0</v>
      </c>
      <c r="BK17" s="26">
        <f t="shared" si="10"/>
        <v>0</v>
      </c>
      <c r="BL17" s="19"/>
      <c r="BM17" s="42"/>
    </row>
    <row r="18" spans="1:65" s="3" customFormat="1">
      <c r="A18" s="49">
        <f t="shared" si="11"/>
        <v>11</v>
      </c>
      <c r="B18" s="39">
        <v>43647</v>
      </c>
      <c r="C18" s="70"/>
      <c r="D18" s="68"/>
      <c r="E18" s="68"/>
      <c r="F18" s="67"/>
      <c r="G18" s="68"/>
      <c r="H18" s="68"/>
      <c r="I18" s="69"/>
      <c r="J18" s="69"/>
      <c r="K18" s="76"/>
      <c r="L18" s="76"/>
      <c r="M18" s="77"/>
      <c r="N18" s="71"/>
      <c r="O18" s="78"/>
      <c r="P18" s="78"/>
      <c r="Q18" s="78"/>
      <c r="R18" s="78"/>
      <c r="S18" s="77"/>
      <c r="T18" s="78"/>
      <c r="U18" s="77"/>
      <c r="V18" s="77"/>
      <c r="W18" s="78"/>
      <c r="X18" s="79"/>
      <c r="Y18" s="79"/>
      <c r="Z18" s="79"/>
      <c r="AA18" s="79"/>
      <c r="AB18" s="77"/>
      <c r="AC18" s="77"/>
      <c r="AD18" s="77"/>
      <c r="AE18" s="77"/>
      <c r="AF18" s="80"/>
      <c r="AG18" s="81"/>
      <c r="AH18" s="19"/>
      <c r="AI18" s="97"/>
      <c r="AJ18" s="98"/>
      <c r="AK18" s="99"/>
      <c r="AL18" s="100"/>
      <c r="AM18" s="98"/>
      <c r="AN18" s="98"/>
      <c r="AO18" s="97"/>
      <c r="AP18" s="101"/>
      <c r="AQ18" s="82"/>
      <c r="AR18" s="82"/>
      <c r="AS18" s="83"/>
      <c r="AT18" s="19"/>
      <c r="AU18" s="25">
        <f t="shared" si="2"/>
        <v>0</v>
      </c>
      <c r="AV18" s="25">
        <f t="shared" si="3"/>
        <v>0</v>
      </c>
      <c r="AW18" s="19"/>
      <c r="AX18" s="10">
        <f t="shared" si="4"/>
        <v>0</v>
      </c>
      <c r="AY18" s="10">
        <f t="shared" si="5"/>
        <v>0</v>
      </c>
      <c r="AZ18" s="10">
        <f t="shared" si="6"/>
        <v>0</v>
      </c>
      <c r="BA18" s="10">
        <f t="shared" si="7"/>
        <v>0</v>
      </c>
      <c r="BB18" s="40">
        <f t="shared" si="12"/>
        <v>0</v>
      </c>
      <c r="BC18" s="11">
        <f t="shared" si="8"/>
        <v>0</v>
      </c>
      <c r="BD18" s="41"/>
      <c r="BE18" s="19"/>
      <c r="BF18" s="66"/>
      <c r="BG18" s="66"/>
      <c r="BH18" s="66"/>
      <c r="BI18" s="66"/>
      <c r="BJ18" s="26">
        <f t="shared" si="9"/>
        <v>0</v>
      </c>
      <c r="BK18" s="26">
        <f t="shared" si="10"/>
        <v>0</v>
      </c>
      <c r="BL18" s="19"/>
      <c r="BM18" s="42"/>
    </row>
    <row r="19" spans="1:65" s="3" customFormat="1">
      <c r="A19" s="49">
        <f t="shared" si="11"/>
        <v>12</v>
      </c>
      <c r="B19" s="39">
        <v>43647</v>
      </c>
      <c r="C19" s="70"/>
      <c r="D19" s="68"/>
      <c r="E19" s="68"/>
      <c r="F19" s="67"/>
      <c r="G19" s="68"/>
      <c r="H19" s="68"/>
      <c r="I19" s="69"/>
      <c r="J19" s="69"/>
      <c r="K19" s="76"/>
      <c r="L19" s="76"/>
      <c r="M19" s="77"/>
      <c r="N19" s="71"/>
      <c r="O19" s="78"/>
      <c r="P19" s="78"/>
      <c r="Q19" s="78"/>
      <c r="R19" s="78"/>
      <c r="S19" s="77"/>
      <c r="T19" s="78"/>
      <c r="U19" s="77"/>
      <c r="V19" s="77"/>
      <c r="W19" s="78"/>
      <c r="X19" s="79"/>
      <c r="Y19" s="79"/>
      <c r="Z19" s="79"/>
      <c r="AA19" s="79"/>
      <c r="AB19" s="77"/>
      <c r="AC19" s="77"/>
      <c r="AD19" s="77"/>
      <c r="AE19" s="77"/>
      <c r="AF19" s="80"/>
      <c r="AG19" s="81"/>
      <c r="AH19" s="19"/>
      <c r="AI19" s="97"/>
      <c r="AJ19" s="98"/>
      <c r="AK19" s="99"/>
      <c r="AL19" s="100"/>
      <c r="AM19" s="98"/>
      <c r="AN19" s="98"/>
      <c r="AO19" s="97"/>
      <c r="AP19" s="101"/>
      <c r="AQ19" s="82"/>
      <c r="AR19" s="82"/>
      <c r="AS19" s="83"/>
      <c r="AT19" s="19"/>
      <c r="AU19" s="25">
        <f t="shared" si="2"/>
        <v>0</v>
      </c>
      <c r="AV19" s="25">
        <f t="shared" si="3"/>
        <v>0</v>
      </c>
      <c r="AW19" s="19"/>
      <c r="AX19" s="10">
        <f t="shared" si="4"/>
        <v>0</v>
      </c>
      <c r="AY19" s="10">
        <f t="shared" si="5"/>
        <v>0</v>
      </c>
      <c r="AZ19" s="10">
        <f t="shared" si="6"/>
        <v>0</v>
      </c>
      <c r="BA19" s="10">
        <f t="shared" si="7"/>
        <v>0</v>
      </c>
      <c r="BB19" s="40">
        <f t="shared" si="12"/>
        <v>0</v>
      </c>
      <c r="BC19" s="11">
        <f t="shared" si="8"/>
        <v>0</v>
      </c>
      <c r="BD19" s="41"/>
      <c r="BE19" s="19"/>
      <c r="BF19" s="66"/>
      <c r="BG19" s="66"/>
      <c r="BH19" s="66"/>
      <c r="BI19" s="66"/>
      <c r="BJ19" s="26">
        <f t="shared" si="9"/>
        <v>0</v>
      </c>
      <c r="BK19" s="26">
        <f t="shared" si="10"/>
        <v>0</v>
      </c>
      <c r="BL19" s="19"/>
      <c r="BM19" s="42"/>
    </row>
    <row r="20" spans="1:65" s="3" customFormat="1">
      <c r="A20" s="49">
        <f t="shared" si="11"/>
        <v>13</v>
      </c>
      <c r="B20" s="39">
        <v>43647</v>
      </c>
      <c r="C20" s="70"/>
      <c r="D20" s="68"/>
      <c r="E20" s="68"/>
      <c r="F20" s="67"/>
      <c r="G20" s="68"/>
      <c r="H20" s="68"/>
      <c r="I20" s="69"/>
      <c r="J20" s="69"/>
      <c r="K20" s="76"/>
      <c r="L20" s="76"/>
      <c r="M20" s="77"/>
      <c r="N20" s="71"/>
      <c r="O20" s="78"/>
      <c r="P20" s="78"/>
      <c r="Q20" s="78"/>
      <c r="R20" s="78"/>
      <c r="S20" s="77"/>
      <c r="T20" s="78"/>
      <c r="U20" s="77"/>
      <c r="V20" s="77"/>
      <c r="W20" s="78"/>
      <c r="X20" s="79"/>
      <c r="Y20" s="79"/>
      <c r="Z20" s="79"/>
      <c r="AA20" s="79"/>
      <c r="AB20" s="77"/>
      <c r="AC20" s="77"/>
      <c r="AD20" s="77"/>
      <c r="AE20" s="77"/>
      <c r="AF20" s="80"/>
      <c r="AG20" s="81"/>
      <c r="AH20" s="19"/>
      <c r="AI20" s="97"/>
      <c r="AJ20" s="98"/>
      <c r="AK20" s="99"/>
      <c r="AL20" s="100"/>
      <c r="AM20" s="98"/>
      <c r="AN20" s="98"/>
      <c r="AO20" s="97"/>
      <c r="AP20" s="101"/>
      <c r="AQ20" s="82"/>
      <c r="AR20" s="82"/>
      <c r="AS20" s="83"/>
      <c r="AT20" s="19"/>
      <c r="AU20" s="25">
        <f t="shared" si="2"/>
        <v>0</v>
      </c>
      <c r="AV20" s="25">
        <f t="shared" si="3"/>
        <v>0</v>
      </c>
      <c r="AW20" s="19"/>
      <c r="AX20" s="10">
        <f t="shared" si="4"/>
        <v>0</v>
      </c>
      <c r="AY20" s="10">
        <f t="shared" si="5"/>
        <v>0</v>
      </c>
      <c r="AZ20" s="10">
        <f t="shared" si="6"/>
        <v>0</v>
      </c>
      <c r="BA20" s="10">
        <f t="shared" si="7"/>
        <v>0</v>
      </c>
      <c r="BB20" s="40">
        <f t="shared" si="12"/>
        <v>0</v>
      </c>
      <c r="BC20" s="11">
        <f t="shared" si="8"/>
        <v>0</v>
      </c>
      <c r="BD20" s="41"/>
      <c r="BE20" s="19"/>
      <c r="BF20" s="66"/>
      <c r="BG20" s="66"/>
      <c r="BH20" s="66"/>
      <c r="BI20" s="66"/>
      <c r="BJ20" s="26">
        <f t="shared" si="9"/>
        <v>0</v>
      </c>
      <c r="BK20" s="26">
        <f t="shared" si="10"/>
        <v>0</v>
      </c>
      <c r="BL20" s="19"/>
      <c r="BM20" s="42"/>
    </row>
    <row r="21" spans="1:65" s="3" customFormat="1">
      <c r="A21" s="49">
        <f t="shared" si="11"/>
        <v>14</v>
      </c>
      <c r="B21" s="39">
        <v>43647</v>
      </c>
      <c r="C21" s="70"/>
      <c r="D21" s="68"/>
      <c r="E21" s="68"/>
      <c r="F21" s="67"/>
      <c r="G21" s="68"/>
      <c r="H21" s="68"/>
      <c r="I21" s="69"/>
      <c r="J21" s="69"/>
      <c r="K21" s="76"/>
      <c r="L21" s="76"/>
      <c r="M21" s="77"/>
      <c r="N21" s="71"/>
      <c r="O21" s="78"/>
      <c r="P21" s="78"/>
      <c r="Q21" s="78"/>
      <c r="R21" s="78"/>
      <c r="S21" s="77"/>
      <c r="T21" s="78"/>
      <c r="U21" s="77"/>
      <c r="V21" s="77"/>
      <c r="W21" s="78"/>
      <c r="X21" s="79"/>
      <c r="Y21" s="79"/>
      <c r="Z21" s="79"/>
      <c r="AA21" s="79"/>
      <c r="AB21" s="77"/>
      <c r="AC21" s="77"/>
      <c r="AD21" s="77"/>
      <c r="AE21" s="77"/>
      <c r="AF21" s="80"/>
      <c r="AG21" s="81"/>
      <c r="AH21" s="19"/>
      <c r="AI21" s="97"/>
      <c r="AJ21" s="98"/>
      <c r="AK21" s="99"/>
      <c r="AL21" s="100"/>
      <c r="AM21" s="98"/>
      <c r="AN21" s="98"/>
      <c r="AO21" s="97"/>
      <c r="AP21" s="101"/>
      <c r="AQ21" s="82"/>
      <c r="AR21" s="82"/>
      <c r="AS21" s="83"/>
      <c r="AT21" s="19"/>
      <c r="AU21" s="25">
        <f t="shared" si="2"/>
        <v>0</v>
      </c>
      <c r="AV21" s="25">
        <f t="shared" si="3"/>
        <v>0</v>
      </c>
      <c r="AW21" s="19"/>
      <c r="AX21" s="10">
        <f t="shared" si="4"/>
        <v>0</v>
      </c>
      <c r="AY21" s="10">
        <f t="shared" si="5"/>
        <v>0</v>
      </c>
      <c r="AZ21" s="10">
        <f t="shared" si="6"/>
        <v>0</v>
      </c>
      <c r="BA21" s="10">
        <f t="shared" si="7"/>
        <v>0</v>
      </c>
      <c r="BB21" s="40">
        <f t="shared" si="12"/>
        <v>0</v>
      </c>
      <c r="BC21" s="11">
        <f t="shared" si="8"/>
        <v>0</v>
      </c>
      <c r="BD21" s="41"/>
      <c r="BE21" s="19"/>
      <c r="BF21" s="66"/>
      <c r="BG21" s="66"/>
      <c r="BH21" s="66"/>
      <c r="BI21" s="66"/>
      <c r="BJ21" s="26">
        <f t="shared" si="9"/>
        <v>0</v>
      </c>
      <c r="BK21" s="26">
        <f t="shared" si="10"/>
        <v>0</v>
      </c>
      <c r="BL21" s="19"/>
      <c r="BM21" s="42"/>
    </row>
    <row r="22" spans="1:65" s="3" customFormat="1">
      <c r="A22" s="49">
        <f t="shared" si="11"/>
        <v>15</v>
      </c>
      <c r="B22" s="39">
        <v>43647</v>
      </c>
      <c r="C22" s="70"/>
      <c r="D22" s="68"/>
      <c r="E22" s="68"/>
      <c r="F22" s="67"/>
      <c r="G22" s="68"/>
      <c r="H22" s="68"/>
      <c r="I22" s="69"/>
      <c r="J22" s="69"/>
      <c r="K22" s="76"/>
      <c r="L22" s="76"/>
      <c r="M22" s="77"/>
      <c r="N22" s="71"/>
      <c r="O22" s="78"/>
      <c r="P22" s="78"/>
      <c r="Q22" s="78"/>
      <c r="R22" s="78"/>
      <c r="S22" s="77"/>
      <c r="T22" s="78"/>
      <c r="U22" s="77"/>
      <c r="V22" s="77"/>
      <c r="W22" s="78"/>
      <c r="X22" s="79"/>
      <c r="Y22" s="79"/>
      <c r="Z22" s="79"/>
      <c r="AA22" s="79"/>
      <c r="AB22" s="77"/>
      <c r="AC22" s="77"/>
      <c r="AD22" s="77"/>
      <c r="AE22" s="77"/>
      <c r="AF22" s="80"/>
      <c r="AG22" s="81"/>
      <c r="AH22" s="19"/>
      <c r="AI22" s="97"/>
      <c r="AJ22" s="98"/>
      <c r="AK22" s="99"/>
      <c r="AL22" s="100"/>
      <c r="AM22" s="98"/>
      <c r="AN22" s="98"/>
      <c r="AO22" s="97"/>
      <c r="AP22" s="101"/>
      <c r="AQ22" s="82"/>
      <c r="AR22" s="82"/>
      <c r="AS22" s="83"/>
      <c r="AT22" s="19"/>
      <c r="AU22" s="25">
        <f t="shared" si="2"/>
        <v>0</v>
      </c>
      <c r="AV22" s="25">
        <f t="shared" si="3"/>
        <v>0</v>
      </c>
      <c r="AW22" s="19"/>
      <c r="AX22" s="10">
        <f t="shared" si="4"/>
        <v>0</v>
      </c>
      <c r="AY22" s="10">
        <f t="shared" si="5"/>
        <v>0</v>
      </c>
      <c r="AZ22" s="10">
        <f t="shared" si="6"/>
        <v>0</v>
      </c>
      <c r="BA22" s="10">
        <f t="shared" si="7"/>
        <v>0</v>
      </c>
      <c r="BB22" s="40">
        <f t="shared" si="12"/>
        <v>0</v>
      </c>
      <c r="BC22" s="11">
        <f t="shared" si="8"/>
        <v>0</v>
      </c>
      <c r="BD22" s="41"/>
      <c r="BE22" s="19"/>
      <c r="BF22" s="66"/>
      <c r="BG22" s="66"/>
      <c r="BH22" s="66"/>
      <c r="BI22" s="66"/>
      <c r="BJ22" s="26">
        <f t="shared" si="9"/>
        <v>0</v>
      </c>
      <c r="BK22" s="26">
        <f t="shared" si="10"/>
        <v>0</v>
      </c>
      <c r="BL22" s="19"/>
      <c r="BM22" s="42"/>
    </row>
    <row r="23" spans="1:65" s="3" customFormat="1">
      <c r="A23" s="49">
        <f t="shared" si="11"/>
        <v>16</v>
      </c>
      <c r="B23" s="39">
        <v>43647</v>
      </c>
      <c r="C23" s="70"/>
      <c r="D23" s="68"/>
      <c r="E23" s="68"/>
      <c r="F23" s="67"/>
      <c r="G23" s="68"/>
      <c r="H23" s="68"/>
      <c r="I23" s="69"/>
      <c r="J23" s="69"/>
      <c r="K23" s="76"/>
      <c r="L23" s="76"/>
      <c r="M23" s="77"/>
      <c r="N23" s="71"/>
      <c r="O23" s="78"/>
      <c r="P23" s="78"/>
      <c r="Q23" s="78"/>
      <c r="R23" s="78"/>
      <c r="S23" s="77"/>
      <c r="T23" s="78"/>
      <c r="U23" s="77"/>
      <c r="V23" s="77"/>
      <c r="W23" s="78"/>
      <c r="X23" s="79"/>
      <c r="Y23" s="79"/>
      <c r="Z23" s="79"/>
      <c r="AA23" s="79"/>
      <c r="AB23" s="77"/>
      <c r="AC23" s="77"/>
      <c r="AD23" s="77"/>
      <c r="AE23" s="77"/>
      <c r="AF23" s="80"/>
      <c r="AG23" s="81"/>
      <c r="AH23" s="19"/>
      <c r="AI23" s="97"/>
      <c r="AJ23" s="98"/>
      <c r="AK23" s="99"/>
      <c r="AL23" s="100"/>
      <c r="AM23" s="98"/>
      <c r="AN23" s="98"/>
      <c r="AO23" s="97"/>
      <c r="AP23" s="101"/>
      <c r="AQ23" s="82"/>
      <c r="AR23" s="82"/>
      <c r="AS23" s="83"/>
      <c r="AT23" s="19"/>
      <c r="AU23" s="25">
        <f t="shared" si="2"/>
        <v>0</v>
      </c>
      <c r="AV23" s="25">
        <f t="shared" si="3"/>
        <v>0</v>
      </c>
      <c r="AW23" s="19"/>
      <c r="AX23" s="10">
        <f t="shared" si="4"/>
        <v>0</v>
      </c>
      <c r="AY23" s="10">
        <f t="shared" si="5"/>
        <v>0</v>
      </c>
      <c r="AZ23" s="10">
        <f t="shared" si="6"/>
        <v>0</v>
      </c>
      <c r="BA23" s="10">
        <f t="shared" si="7"/>
        <v>0</v>
      </c>
      <c r="BB23" s="40">
        <f t="shared" si="12"/>
        <v>0</v>
      </c>
      <c r="BC23" s="11">
        <f t="shared" si="8"/>
        <v>0</v>
      </c>
      <c r="BD23" s="41"/>
      <c r="BE23" s="19"/>
      <c r="BF23" s="66"/>
      <c r="BG23" s="66"/>
      <c r="BH23" s="66"/>
      <c r="BI23" s="66"/>
      <c r="BJ23" s="26">
        <f t="shared" si="9"/>
        <v>0</v>
      </c>
      <c r="BK23" s="26">
        <f t="shared" si="10"/>
        <v>0</v>
      </c>
      <c r="BL23" s="19"/>
      <c r="BM23" s="42"/>
    </row>
    <row r="24" spans="1:65" s="3" customFormat="1">
      <c r="A24" s="49">
        <f t="shared" si="11"/>
        <v>17</v>
      </c>
      <c r="B24" s="39">
        <v>43647</v>
      </c>
      <c r="C24" s="70"/>
      <c r="D24" s="68"/>
      <c r="E24" s="68"/>
      <c r="F24" s="67"/>
      <c r="G24" s="68"/>
      <c r="H24" s="68"/>
      <c r="I24" s="69"/>
      <c r="J24" s="69"/>
      <c r="K24" s="76"/>
      <c r="L24" s="76"/>
      <c r="M24" s="77"/>
      <c r="N24" s="71"/>
      <c r="O24" s="78"/>
      <c r="P24" s="78"/>
      <c r="Q24" s="78"/>
      <c r="R24" s="78"/>
      <c r="S24" s="77"/>
      <c r="T24" s="78"/>
      <c r="U24" s="77"/>
      <c r="V24" s="77"/>
      <c r="W24" s="78"/>
      <c r="X24" s="79"/>
      <c r="Y24" s="79"/>
      <c r="Z24" s="79"/>
      <c r="AA24" s="79"/>
      <c r="AB24" s="77"/>
      <c r="AC24" s="77"/>
      <c r="AD24" s="77"/>
      <c r="AE24" s="77"/>
      <c r="AF24" s="80"/>
      <c r="AG24" s="81"/>
      <c r="AH24" s="19"/>
      <c r="AI24" s="97"/>
      <c r="AJ24" s="98"/>
      <c r="AK24" s="99"/>
      <c r="AL24" s="100"/>
      <c r="AM24" s="98"/>
      <c r="AN24" s="98"/>
      <c r="AO24" s="97"/>
      <c r="AP24" s="101"/>
      <c r="AQ24" s="82"/>
      <c r="AR24" s="82"/>
      <c r="AS24" s="83"/>
      <c r="AT24" s="19"/>
      <c r="AU24" s="25">
        <f t="shared" si="2"/>
        <v>0</v>
      </c>
      <c r="AV24" s="25">
        <f t="shared" si="3"/>
        <v>0</v>
      </c>
      <c r="AW24" s="19"/>
      <c r="AX24" s="10">
        <f t="shared" si="4"/>
        <v>0</v>
      </c>
      <c r="AY24" s="10">
        <f t="shared" si="5"/>
        <v>0</v>
      </c>
      <c r="AZ24" s="10">
        <f t="shared" si="6"/>
        <v>0</v>
      </c>
      <c r="BA24" s="10">
        <f t="shared" si="7"/>
        <v>0</v>
      </c>
      <c r="BB24" s="40">
        <f t="shared" si="12"/>
        <v>0</v>
      </c>
      <c r="BC24" s="11">
        <f t="shared" si="8"/>
        <v>0</v>
      </c>
      <c r="BD24" s="41"/>
      <c r="BE24" s="19"/>
      <c r="BF24" s="66"/>
      <c r="BG24" s="66"/>
      <c r="BH24" s="66"/>
      <c r="BI24" s="66"/>
      <c r="BJ24" s="26">
        <f t="shared" si="9"/>
        <v>0</v>
      </c>
      <c r="BK24" s="26">
        <f t="shared" si="10"/>
        <v>0</v>
      </c>
      <c r="BL24" s="19"/>
      <c r="BM24" s="42"/>
    </row>
    <row r="25" spans="1:65" s="3" customFormat="1">
      <c r="A25" s="49">
        <f t="shared" si="11"/>
        <v>18</v>
      </c>
      <c r="B25" s="39">
        <v>43647</v>
      </c>
      <c r="C25" s="70"/>
      <c r="D25" s="68"/>
      <c r="E25" s="68"/>
      <c r="F25" s="67"/>
      <c r="G25" s="68"/>
      <c r="H25" s="68"/>
      <c r="I25" s="69"/>
      <c r="J25" s="69"/>
      <c r="K25" s="76"/>
      <c r="L25" s="76"/>
      <c r="M25" s="77"/>
      <c r="N25" s="71"/>
      <c r="O25" s="78"/>
      <c r="P25" s="78"/>
      <c r="Q25" s="78"/>
      <c r="R25" s="78"/>
      <c r="S25" s="77"/>
      <c r="T25" s="78"/>
      <c r="U25" s="77"/>
      <c r="V25" s="77"/>
      <c r="W25" s="78"/>
      <c r="X25" s="79"/>
      <c r="Y25" s="79"/>
      <c r="Z25" s="79"/>
      <c r="AA25" s="79"/>
      <c r="AB25" s="77"/>
      <c r="AC25" s="77"/>
      <c r="AD25" s="77"/>
      <c r="AE25" s="77"/>
      <c r="AF25" s="80"/>
      <c r="AG25" s="81"/>
      <c r="AH25" s="19"/>
      <c r="AI25" s="97"/>
      <c r="AJ25" s="98"/>
      <c r="AK25" s="99"/>
      <c r="AL25" s="100"/>
      <c r="AM25" s="98"/>
      <c r="AN25" s="98"/>
      <c r="AO25" s="97"/>
      <c r="AP25" s="101"/>
      <c r="AQ25" s="82"/>
      <c r="AR25" s="82"/>
      <c r="AS25" s="83"/>
      <c r="AT25" s="19"/>
      <c r="AU25" s="25">
        <f t="shared" si="2"/>
        <v>0</v>
      </c>
      <c r="AV25" s="25">
        <f t="shared" si="3"/>
        <v>0</v>
      </c>
      <c r="AW25" s="19"/>
      <c r="AX25" s="10">
        <f t="shared" si="4"/>
        <v>0</v>
      </c>
      <c r="AY25" s="10">
        <f t="shared" si="5"/>
        <v>0</v>
      </c>
      <c r="AZ25" s="10">
        <f t="shared" si="6"/>
        <v>0</v>
      </c>
      <c r="BA25" s="10">
        <f t="shared" si="7"/>
        <v>0</v>
      </c>
      <c r="BB25" s="40">
        <f t="shared" si="12"/>
        <v>0</v>
      </c>
      <c r="BC25" s="11">
        <f t="shared" si="8"/>
        <v>0</v>
      </c>
      <c r="BD25" s="41"/>
      <c r="BE25" s="19"/>
      <c r="BF25" s="66"/>
      <c r="BG25" s="66"/>
      <c r="BH25" s="66"/>
      <c r="BI25" s="66"/>
      <c r="BJ25" s="26">
        <f t="shared" si="9"/>
        <v>0</v>
      </c>
      <c r="BK25" s="26">
        <f t="shared" si="10"/>
        <v>0</v>
      </c>
      <c r="BL25" s="19"/>
      <c r="BM25" s="42"/>
    </row>
    <row r="26" spans="1:65" s="3" customFormat="1">
      <c r="A26" s="49">
        <f t="shared" si="11"/>
        <v>19</v>
      </c>
      <c r="B26" s="39">
        <v>43647</v>
      </c>
      <c r="C26" s="70"/>
      <c r="D26" s="68"/>
      <c r="E26" s="68"/>
      <c r="F26" s="67"/>
      <c r="G26" s="68"/>
      <c r="H26" s="68"/>
      <c r="I26" s="69"/>
      <c r="J26" s="69"/>
      <c r="K26" s="76"/>
      <c r="L26" s="76"/>
      <c r="M26" s="77"/>
      <c r="N26" s="71"/>
      <c r="O26" s="78"/>
      <c r="P26" s="78"/>
      <c r="Q26" s="78"/>
      <c r="R26" s="78"/>
      <c r="S26" s="77"/>
      <c r="T26" s="78"/>
      <c r="U26" s="77"/>
      <c r="V26" s="77"/>
      <c r="W26" s="78"/>
      <c r="X26" s="79"/>
      <c r="Y26" s="79"/>
      <c r="Z26" s="79"/>
      <c r="AA26" s="79"/>
      <c r="AB26" s="77"/>
      <c r="AC26" s="77"/>
      <c r="AD26" s="77"/>
      <c r="AE26" s="77"/>
      <c r="AF26" s="80"/>
      <c r="AG26" s="81"/>
      <c r="AH26" s="19"/>
      <c r="AI26" s="97"/>
      <c r="AJ26" s="98"/>
      <c r="AK26" s="99"/>
      <c r="AL26" s="100"/>
      <c r="AM26" s="98"/>
      <c r="AN26" s="98"/>
      <c r="AO26" s="97"/>
      <c r="AP26" s="101"/>
      <c r="AQ26" s="82"/>
      <c r="AR26" s="82"/>
      <c r="AS26" s="83"/>
      <c r="AT26" s="19"/>
      <c r="AU26" s="25">
        <f t="shared" si="2"/>
        <v>0</v>
      </c>
      <c r="AV26" s="25">
        <f t="shared" si="3"/>
        <v>0</v>
      </c>
      <c r="AW26" s="19"/>
      <c r="AX26" s="10">
        <f t="shared" si="4"/>
        <v>0</v>
      </c>
      <c r="AY26" s="10">
        <f t="shared" si="5"/>
        <v>0</v>
      </c>
      <c r="AZ26" s="10">
        <f t="shared" si="6"/>
        <v>0</v>
      </c>
      <c r="BA26" s="10">
        <f t="shared" si="7"/>
        <v>0</v>
      </c>
      <c r="BB26" s="40">
        <f t="shared" si="12"/>
        <v>0</v>
      </c>
      <c r="BC26" s="11">
        <f t="shared" si="8"/>
        <v>0</v>
      </c>
      <c r="BD26" s="41"/>
      <c r="BE26" s="19"/>
      <c r="BF26" s="66"/>
      <c r="BG26" s="66"/>
      <c r="BH26" s="66"/>
      <c r="BI26" s="66"/>
      <c r="BJ26" s="26">
        <f t="shared" si="9"/>
        <v>0</v>
      </c>
      <c r="BK26" s="26">
        <f t="shared" si="10"/>
        <v>0</v>
      </c>
      <c r="BL26" s="19"/>
      <c r="BM26" s="42"/>
    </row>
    <row r="27" spans="1:65" s="3" customFormat="1">
      <c r="A27" s="49">
        <f t="shared" si="11"/>
        <v>20</v>
      </c>
      <c r="B27" s="39">
        <v>43647</v>
      </c>
      <c r="C27" s="70"/>
      <c r="D27" s="68"/>
      <c r="E27" s="68"/>
      <c r="F27" s="67"/>
      <c r="G27" s="68"/>
      <c r="H27" s="68"/>
      <c r="I27" s="69"/>
      <c r="J27" s="69"/>
      <c r="K27" s="76"/>
      <c r="L27" s="76"/>
      <c r="M27" s="77"/>
      <c r="N27" s="71"/>
      <c r="O27" s="78"/>
      <c r="P27" s="78"/>
      <c r="Q27" s="78"/>
      <c r="R27" s="78"/>
      <c r="S27" s="77"/>
      <c r="T27" s="78"/>
      <c r="U27" s="77"/>
      <c r="V27" s="77"/>
      <c r="W27" s="78"/>
      <c r="X27" s="79"/>
      <c r="Y27" s="79"/>
      <c r="Z27" s="79"/>
      <c r="AA27" s="79"/>
      <c r="AB27" s="77"/>
      <c r="AC27" s="77"/>
      <c r="AD27" s="77"/>
      <c r="AE27" s="77"/>
      <c r="AF27" s="80"/>
      <c r="AG27" s="81"/>
      <c r="AH27" s="19"/>
      <c r="AI27" s="97"/>
      <c r="AJ27" s="98"/>
      <c r="AK27" s="99"/>
      <c r="AL27" s="100"/>
      <c r="AM27" s="98"/>
      <c r="AN27" s="98"/>
      <c r="AO27" s="97"/>
      <c r="AP27" s="101"/>
      <c r="AQ27" s="82"/>
      <c r="AR27" s="82"/>
      <c r="AS27" s="83"/>
      <c r="AT27" s="19"/>
      <c r="AU27" s="25">
        <f t="shared" si="2"/>
        <v>0</v>
      </c>
      <c r="AV27" s="25">
        <f t="shared" si="3"/>
        <v>0</v>
      </c>
      <c r="AW27" s="19"/>
      <c r="AX27" s="10">
        <f t="shared" si="4"/>
        <v>0</v>
      </c>
      <c r="AY27" s="10">
        <f t="shared" si="5"/>
        <v>0</v>
      </c>
      <c r="AZ27" s="10">
        <f t="shared" si="6"/>
        <v>0</v>
      </c>
      <c r="BA27" s="10">
        <f t="shared" si="7"/>
        <v>0</v>
      </c>
      <c r="BB27" s="40">
        <f t="shared" si="12"/>
        <v>0</v>
      </c>
      <c r="BC27" s="11">
        <f t="shared" si="8"/>
        <v>0</v>
      </c>
      <c r="BD27" s="41"/>
      <c r="BE27" s="19"/>
      <c r="BF27" s="66"/>
      <c r="BG27" s="66"/>
      <c r="BH27" s="66"/>
      <c r="BI27" s="66"/>
      <c r="BJ27" s="26">
        <f t="shared" si="9"/>
        <v>0</v>
      </c>
      <c r="BK27" s="26">
        <f t="shared" si="10"/>
        <v>0</v>
      </c>
      <c r="BL27" s="19"/>
      <c r="BM27" s="42"/>
    </row>
    <row r="28" spans="1:65" s="3" customFormat="1">
      <c r="A28" s="49">
        <f t="shared" si="11"/>
        <v>21</v>
      </c>
      <c r="B28" s="39">
        <v>43647</v>
      </c>
      <c r="C28" s="70"/>
      <c r="D28" s="68"/>
      <c r="E28" s="68"/>
      <c r="F28" s="67"/>
      <c r="G28" s="68"/>
      <c r="H28" s="68"/>
      <c r="I28" s="69"/>
      <c r="J28" s="69"/>
      <c r="K28" s="76"/>
      <c r="L28" s="76"/>
      <c r="M28" s="77"/>
      <c r="N28" s="71"/>
      <c r="O28" s="78"/>
      <c r="P28" s="78"/>
      <c r="Q28" s="78"/>
      <c r="R28" s="78"/>
      <c r="S28" s="77"/>
      <c r="T28" s="78"/>
      <c r="U28" s="77"/>
      <c r="V28" s="77"/>
      <c r="W28" s="78"/>
      <c r="X28" s="79"/>
      <c r="Y28" s="79"/>
      <c r="Z28" s="79"/>
      <c r="AA28" s="79"/>
      <c r="AB28" s="77"/>
      <c r="AC28" s="77"/>
      <c r="AD28" s="77"/>
      <c r="AE28" s="77"/>
      <c r="AF28" s="80"/>
      <c r="AG28" s="81"/>
      <c r="AH28" s="19"/>
      <c r="AI28" s="97"/>
      <c r="AJ28" s="98"/>
      <c r="AK28" s="99"/>
      <c r="AL28" s="100"/>
      <c r="AM28" s="98"/>
      <c r="AN28" s="98"/>
      <c r="AO28" s="97"/>
      <c r="AP28" s="101"/>
      <c r="AQ28" s="82"/>
      <c r="AR28" s="82"/>
      <c r="AS28" s="83"/>
      <c r="AT28" s="19"/>
      <c r="AU28" s="25">
        <f t="shared" si="2"/>
        <v>0</v>
      </c>
      <c r="AV28" s="25">
        <f t="shared" si="3"/>
        <v>0</v>
      </c>
      <c r="AW28" s="19"/>
      <c r="AX28" s="10">
        <f t="shared" si="4"/>
        <v>0</v>
      </c>
      <c r="AY28" s="10">
        <f t="shared" si="5"/>
        <v>0</v>
      </c>
      <c r="AZ28" s="10">
        <f t="shared" si="6"/>
        <v>0</v>
      </c>
      <c r="BA28" s="10">
        <f t="shared" si="7"/>
        <v>0</v>
      </c>
      <c r="BB28" s="40">
        <f t="shared" si="12"/>
        <v>0</v>
      </c>
      <c r="BC28" s="11">
        <f t="shared" si="8"/>
        <v>0</v>
      </c>
      <c r="BD28" s="41"/>
      <c r="BE28" s="19"/>
      <c r="BF28" s="66"/>
      <c r="BG28" s="66"/>
      <c r="BH28" s="66"/>
      <c r="BI28" s="66"/>
      <c r="BJ28" s="26">
        <f t="shared" si="9"/>
        <v>0</v>
      </c>
      <c r="BK28" s="26">
        <f t="shared" si="10"/>
        <v>0</v>
      </c>
      <c r="BL28" s="19"/>
      <c r="BM28" s="42"/>
    </row>
    <row r="29" spans="1:65" s="3" customFormat="1">
      <c r="A29" s="49">
        <f t="shared" si="11"/>
        <v>22</v>
      </c>
      <c r="B29" s="39">
        <v>43647</v>
      </c>
      <c r="C29" s="70"/>
      <c r="D29" s="68"/>
      <c r="E29" s="68"/>
      <c r="F29" s="67"/>
      <c r="G29" s="68"/>
      <c r="H29" s="68"/>
      <c r="I29" s="69"/>
      <c r="J29" s="69"/>
      <c r="K29" s="76"/>
      <c r="L29" s="76"/>
      <c r="M29" s="77"/>
      <c r="N29" s="71"/>
      <c r="O29" s="78"/>
      <c r="P29" s="78"/>
      <c r="Q29" s="78"/>
      <c r="R29" s="78"/>
      <c r="S29" s="77"/>
      <c r="T29" s="78"/>
      <c r="U29" s="77"/>
      <c r="V29" s="77"/>
      <c r="W29" s="78"/>
      <c r="X29" s="79"/>
      <c r="Y29" s="79"/>
      <c r="Z29" s="79"/>
      <c r="AA29" s="79"/>
      <c r="AB29" s="77"/>
      <c r="AC29" s="77"/>
      <c r="AD29" s="77"/>
      <c r="AE29" s="77"/>
      <c r="AF29" s="80"/>
      <c r="AG29" s="81"/>
      <c r="AH29" s="19"/>
      <c r="AI29" s="97"/>
      <c r="AJ29" s="98"/>
      <c r="AK29" s="99"/>
      <c r="AL29" s="100"/>
      <c r="AM29" s="98"/>
      <c r="AN29" s="98"/>
      <c r="AO29" s="97"/>
      <c r="AP29" s="101"/>
      <c r="AQ29" s="82"/>
      <c r="AR29" s="82"/>
      <c r="AS29" s="83"/>
      <c r="AT29" s="19"/>
      <c r="AU29" s="25">
        <f t="shared" si="2"/>
        <v>0</v>
      </c>
      <c r="AV29" s="25">
        <f t="shared" si="3"/>
        <v>0</v>
      </c>
      <c r="AW29" s="19"/>
      <c r="AX29" s="10">
        <f t="shared" si="4"/>
        <v>0</v>
      </c>
      <c r="AY29" s="10">
        <f t="shared" si="5"/>
        <v>0</v>
      </c>
      <c r="AZ29" s="10">
        <f t="shared" si="6"/>
        <v>0</v>
      </c>
      <c r="BA29" s="10">
        <f t="shared" si="7"/>
        <v>0</v>
      </c>
      <c r="BB29" s="40">
        <f t="shared" si="12"/>
        <v>0</v>
      </c>
      <c r="BC29" s="11">
        <f t="shared" si="8"/>
        <v>0</v>
      </c>
      <c r="BD29" s="41"/>
      <c r="BE29" s="19"/>
      <c r="BF29" s="66"/>
      <c r="BG29" s="66"/>
      <c r="BH29" s="66"/>
      <c r="BI29" s="66"/>
      <c r="BJ29" s="26">
        <f t="shared" si="9"/>
        <v>0</v>
      </c>
      <c r="BK29" s="26">
        <f t="shared" si="10"/>
        <v>0</v>
      </c>
      <c r="BL29" s="19"/>
      <c r="BM29" s="42"/>
    </row>
    <row r="30" spans="1:65" s="3" customFormat="1">
      <c r="A30" s="49">
        <f t="shared" si="11"/>
        <v>23</v>
      </c>
      <c r="B30" s="39">
        <v>43647</v>
      </c>
      <c r="C30" s="70"/>
      <c r="D30" s="68"/>
      <c r="E30" s="68"/>
      <c r="F30" s="67"/>
      <c r="G30" s="68"/>
      <c r="H30" s="68"/>
      <c r="I30" s="69"/>
      <c r="J30" s="69"/>
      <c r="K30" s="76"/>
      <c r="L30" s="76"/>
      <c r="M30" s="77"/>
      <c r="N30" s="71"/>
      <c r="O30" s="78"/>
      <c r="P30" s="78"/>
      <c r="Q30" s="78"/>
      <c r="R30" s="78"/>
      <c r="S30" s="77"/>
      <c r="T30" s="78"/>
      <c r="U30" s="77"/>
      <c r="V30" s="77"/>
      <c r="W30" s="78"/>
      <c r="X30" s="79"/>
      <c r="Y30" s="79"/>
      <c r="Z30" s="79"/>
      <c r="AA30" s="79"/>
      <c r="AB30" s="77"/>
      <c r="AC30" s="77"/>
      <c r="AD30" s="77"/>
      <c r="AE30" s="77"/>
      <c r="AF30" s="80"/>
      <c r="AG30" s="81"/>
      <c r="AH30" s="19"/>
      <c r="AI30" s="97"/>
      <c r="AJ30" s="98"/>
      <c r="AK30" s="99"/>
      <c r="AL30" s="100"/>
      <c r="AM30" s="98"/>
      <c r="AN30" s="98"/>
      <c r="AO30" s="97"/>
      <c r="AP30" s="101"/>
      <c r="AQ30" s="82"/>
      <c r="AR30" s="82"/>
      <c r="AS30" s="83"/>
      <c r="AT30" s="19"/>
      <c r="AU30" s="25">
        <f t="shared" si="2"/>
        <v>0</v>
      </c>
      <c r="AV30" s="25">
        <f t="shared" si="3"/>
        <v>0</v>
      </c>
      <c r="AW30" s="19"/>
      <c r="AX30" s="10">
        <f t="shared" si="4"/>
        <v>0</v>
      </c>
      <c r="AY30" s="10">
        <f t="shared" si="5"/>
        <v>0</v>
      </c>
      <c r="AZ30" s="10">
        <f t="shared" si="6"/>
        <v>0</v>
      </c>
      <c r="BA30" s="10">
        <f t="shared" si="7"/>
        <v>0</v>
      </c>
      <c r="BB30" s="40">
        <f t="shared" si="12"/>
        <v>0</v>
      </c>
      <c r="BC30" s="11">
        <f t="shared" si="8"/>
        <v>0</v>
      </c>
      <c r="BD30" s="41"/>
      <c r="BE30" s="19"/>
      <c r="BF30" s="66"/>
      <c r="BG30" s="66"/>
      <c r="BH30" s="66"/>
      <c r="BI30" s="66"/>
      <c r="BJ30" s="26">
        <f t="shared" si="9"/>
        <v>0</v>
      </c>
      <c r="BK30" s="26">
        <f t="shared" si="10"/>
        <v>0</v>
      </c>
      <c r="BL30" s="19"/>
      <c r="BM30" s="42"/>
    </row>
    <row r="31" spans="1:65" s="3" customFormat="1">
      <c r="A31" s="49">
        <f t="shared" si="11"/>
        <v>24</v>
      </c>
      <c r="B31" s="39">
        <v>43647</v>
      </c>
      <c r="C31" s="70"/>
      <c r="D31" s="68"/>
      <c r="E31" s="68"/>
      <c r="F31" s="67"/>
      <c r="G31" s="68"/>
      <c r="H31" s="68"/>
      <c r="I31" s="69"/>
      <c r="J31" s="69"/>
      <c r="K31" s="76"/>
      <c r="L31" s="76"/>
      <c r="M31" s="77"/>
      <c r="N31" s="71"/>
      <c r="O31" s="78"/>
      <c r="P31" s="78"/>
      <c r="Q31" s="78"/>
      <c r="R31" s="78"/>
      <c r="S31" s="77"/>
      <c r="T31" s="78"/>
      <c r="U31" s="77"/>
      <c r="V31" s="77"/>
      <c r="W31" s="78"/>
      <c r="X31" s="79"/>
      <c r="Y31" s="79"/>
      <c r="Z31" s="79"/>
      <c r="AA31" s="79"/>
      <c r="AB31" s="77"/>
      <c r="AC31" s="77"/>
      <c r="AD31" s="77"/>
      <c r="AE31" s="77"/>
      <c r="AF31" s="80"/>
      <c r="AG31" s="81"/>
      <c r="AH31" s="19"/>
      <c r="AI31" s="97"/>
      <c r="AJ31" s="98"/>
      <c r="AK31" s="99"/>
      <c r="AL31" s="100"/>
      <c r="AM31" s="98"/>
      <c r="AN31" s="98"/>
      <c r="AO31" s="97"/>
      <c r="AP31" s="101"/>
      <c r="AQ31" s="82"/>
      <c r="AR31" s="82"/>
      <c r="AS31" s="83"/>
      <c r="AT31" s="19"/>
      <c r="AU31" s="25">
        <f t="shared" si="2"/>
        <v>0</v>
      </c>
      <c r="AV31" s="25">
        <f t="shared" si="3"/>
        <v>0</v>
      </c>
      <c r="AW31" s="19"/>
      <c r="AX31" s="10">
        <f t="shared" si="4"/>
        <v>0</v>
      </c>
      <c r="AY31" s="10">
        <f t="shared" si="5"/>
        <v>0</v>
      </c>
      <c r="AZ31" s="10">
        <f t="shared" si="6"/>
        <v>0</v>
      </c>
      <c r="BA31" s="10">
        <f t="shared" si="7"/>
        <v>0</v>
      </c>
      <c r="BB31" s="40">
        <f t="shared" si="12"/>
        <v>0</v>
      </c>
      <c r="BC31" s="11">
        <f t="shared" si="8"/>
        <v>0</v>
      </c>
      <c r="BD31" s="41"/>
      <c r="BE31" s="19"/>
      <c r="BF31" s="66"/>
      <c r="BG31" s="66"/>
      <c r="BH31" s="66"/>
      <c r="BI31" s="66"/>
      <c r="BJ31" s="26">
        <f t="shared" si="9"/>
        <v>0</v>
      </c>
      <c r="BK31" s="26">
        <f t="shared" si="10"/>
        <v>0</v>
      </c>
      <c r="BL31" s="19"/>
      <c r="BM31" s="42"/>
    </row>
    <row r="32" spans="1:65" s="3" customFormat="1">
      <c r="A32" s="49">
        <f t="shared" si="11"/>
        <v>25</v>
      </c>
      <c r="B32" s="39">
        <v>43647</v>
      </c>
      <c r="C32" s="70"/>
      <c r="D32" s="68"/>
      <c r="E32" s="68"/>
      <c r="F32" s="67"/>
      <c r="G32" s="68"/>
      <c r="H32" s="68"/>
      <c r="I32" s="69"/>
      <c r="J32" s="69"/>
      <c r="K32" s="76"/>
      <c r="L32" s="76"/>
      <c r="M32" s="77"/>
      <c r="N32" s="71"/>
      <c r="O32" s="78"/>
      <c r="P32" s="78"/>
      <c r="Q32" s="78"/>
      <c r="R32" s="78"/>
      <c r="S32" s="77"/>
      <c r="T32" s="78"/>
      <c r="U32" s="77"/>
      <c r="V32" s="77"/>
      <c r="W32" s="78"/>
      <c r="X32" s="79"/>
      <c r="Y32" s="79"/>
      <c r="Z32" s="79"/>
      <c r="AA32" s="79"/>
      <c r="AB32" s="77"/>
      <c r="AC32" s="77"/>
      <c r="AD32" s="77"/>
      <c r="AE32" s="77"/>
      <c r="AF32" s="80"/>
      <c r="AG32" s="81"/>
      <c r="AH32" s="19"/>
      <c r="AI32" s="97"/>
      <c r="AJ32" s="98"/>
      <c r="AK32" s="99"/>
      <c r="AL32" s="100"/>
      <c r="AM32" s="98"/>
      <c r="AN32" s="98"/>
      <c r="AO32" s="97"/>
      <c r="AP32" s="101"/>
      <c r="AQ32" s="82"/>
      <c r="AR32" s="82"/>
      <c r="AS32" s="83"/>
      <c r="AT32" s="19"/>
      <c r="AU32" s="25">
        <f t="shared" si="2"/>
        <v>0</v>
      </c>
      <c r="AV32" s="25">
        <f t="shared" si="3"/>
        <v>0</v>
      </c>
      <c r="AW32" s="19"/>
      <c r="AX32" s="10">
        <f t="shared" si="4"/>
        <v>0</v>
      </c>
      <c r="AY32" s="10">
        <f t="shared" si="5"/>
        <v>0</v>
      </c>
      <c r="AZ32" s="10">
        <f t="shared" si="6"/>
        <v>0</v>
      </c>
      <c r="BA32" s="10">
        <f t="shared" si="7"/>
        <v>0</v>
      </c>
      <c r="BB32" s="40">
        <f t="shared" si="12"/>
        <v>0</v>
      </c>
      <c r="BC32" s="11">
        <f t="shared" si="8"/>
        <v>0</v>
      </c>
      <c r="BD32" s="41"/>
      <c r="BE32" s="19"/>
      <c r="BF32" s="66"/>
      <c r="BG32" s="66"/>
      <c r="BH32" s="66"/>
      <c r="BI32" s="66"/>
      <c r="BJ32" s="26">
        <f t="shared" si="9"/>
        <v>0</v>
      </c>
      <c r="BK32" s="26">
        <f t="shared" si="10"/>
        <v>0</v>
      </c>
      <c r="BL32" s="19"/>
      <c r="BM32" s="42"/>
    </row>
    <row r="33" spans="1:65" s="3" customFormat="1">
      <c r="A33" s="49">
        <f t="shared" si="11"/>
        <v>26</v>
      </c>
      <c r="B33" s="39">
        <v>43647</v>
      </c>
      <c r="C33" s="70"/>
      <c r="D33" s="68"/>
      <c r="E33" s="68"/>
      <c r="F33" s="67"/>
      <c r="G33" s="68"/>
      <c r="H33" s="68"/>
      <c r="I33" s="69"/>
      <c r="J33" s="69"/>
      <c r="K33" s="76"/>
      <c r="L33" s="76"/>
      <c r="M33" s="77"/>
      <c r="N33" s="71"/>
      <c r="O33" s="78"/>
      <c r="P33" s="78"/>
      <c r="Q33" s="78"/>
      <c r="R33" s="78"/>
      <c r="S33" s="77"/>
      <c r="T33" s="78"/>
      <c r="U33" s="77"/>
      <c r="V33" s="77"/>
      <c r="W33" s="78"/>
      <c r="X33" s="79"/>
      <c r="Y33" s="79"/>
      <c r="Z33" s="79"/>
      <c r="AA33" s="79"/>
      <c r="AB33" s="77"/>
      <c r="AC33" s="77"/>
      <c r="AD33" s="77"/>
      <c r="AE33" s="77"/>
      <c r="AF33" s="80"/>
      <c r="AG33" s="81"/>
      <c r="AH33" s="19"/>
      <c r="AI33" s="97"/>
      <c r="AJ33" s="98"/>
      <c r="AK33" s="99"/>
      <c r="AL33" s="100"/>
      <c r="AM33" s="98"/>
      <c r="AN33" s="98"/>
      <c r="AO33" s="97"/>
      <c r="AP33" s="101"/>
      <c r="AQ33" s="82"/>
      <c r="AR33" s="82"/>
      <c r="AS33" s="83"/>
      <c r="AT33" s="19"/>
      <c r="AU33" s="25">
        <f t="shared" si="2"/>
        <v>0</v>
      </c>
      <c r="AV33" s="25">
        <f t="shared" si="3"/>
        <v>0</v>
      </c>
      <c r="AW33" s="19"/>
      <c r="AX33" s="10">
        <f t="shared" si="4"/>
        <v>0</v>
      </c>
      <c r="AY33" s="10">
        <f t="shared" si="5"/>
        <v>0</v>
      </c>
      <c r="AZ33" s="10">
        <f t="shared" si="6"/>
        <v>0</v>
      </c>
      <c r="BA33" s="10">
        <f t="shared" si="7"/>
        <v>0</v>
      </c>
      <c r="BB33" s="40">
        <f t="shared" si="12"/>
        <v>0</v>
      </c>
      <c r="BC33" s="11">
        <f t="shared" si="8"/>
        <v>0</v>
      </c>
      <c r="BD33" s="41"/>
      <c r="BE33" s="19"/>
      <c r="BF33" s="66"/>
      <c r="BG33" s="66"/>
      <c r="BH33" s="66"/>
      <c r="BI33" s="66"/>
      <c r="BJ33" s="26">
        <f t="shared" si="9"/>
        <v>0</v>
      </c>
      <c r="BK33" s="26">
        <f t="shared" si="10"/>
        <v>0</v>
      </c>
      <c r="BL33" s="19"/>
      <c r="BM33" s="42"/>
    </row>
    <row r="34" spans="1:65" s="3" customFormat="1">
      <c r="A34" s="49">
        <f t="shared" si="11"/>
        <v>27</v>
      </c>
      <c r="B34" s="39">
        <v>43647</v>
      </c>
      <c r="C34" s="70"/>
      <c r="D34" s="68"/>
      <c r="E34" s="68"/>
      <c r="F34" s="67"/>
      <c r="G34" s="68"/>
      <c r="H34" s="68"/>
      <c r="I34" s="69"/>
      <c r="J34" s="69"/>
      <c r="K34" s="76"/>
      <c r="L34" s="76"/>
      <c r="M34" s="77"/>
      <c r="N34" s="71"/>
      <c r="O34" s="78"/>
      <c r="P34" s="78"/>
      <c r="Q34" s="78"/>
      <c r="R34" s="78"/>
      <c r="S34" s="77"/>
      <c r="T34" s="78"/>
      <c r="U34" s="77"/>
      <c r="V34" s="77"/>
      <c r="W34" s="78"/>
      <c r="X34" s="79"/>
      <c r="Y34" s="79"/>
      <c r="Z34" s="79"/>
      <c r="AA34" s="79"/>
      <c r="AB34" s="77"/>
      <c r="AC34" s="77"/>
      <c r="AD34" s="77"/>
      <c r="AE34" s="77"/>
      <c r="AF34" s="80"/>
      <c r="AG34" s="81"/>
      <c r="AH34" s="19"/>
      <c r="AI34" s="97"/>
      <c r="AJ34" s="98"/>
      <c r="AK34" s="99"/>
      <c r="AL34" s="100"/>
      <c r="AM34" s="98"/>
      <c r="AN34" s="98"/>
      <c r="AO34" s="97"/>
      <c r="AP34" s="101"/>
      <c r="AQ34" s="82"/>
      <c r="AR34" s="82"/>
      <c r="AS34" s="83"/>
      <c r="AT34" s="19"/>
      <c r="AU34" s="25">
        <f t="shared" si="2"/>
        <v>0</v>
      </c>
      <c r="AV34" s="25">
        <f t="shared" si="3"/>
        <v>0</v>
      </c>
      <c r="AW34" s="19"/>
      <c r="AX34" s="10">
        <f t="shared" si="4"/>
        <v>0</v>
      </c>
      <c r="AY34" s="10">
        <f t="shared" si="5"/>
        <v>0</v>
      </c>
      <c r="AZ34" s="10">
        <f t="shared" si="6"/>
        <v>0</v>
      </c>
      <c r="BA34" s="10">
        <f t="shared" si="7"/>
        <v>0</v>
      </c>
      <c r="BB34" s="40">
        <f t="shared" si="12"/>
        <v>0</v>
      </c>
      <c r="BC34" s="11">
        <f t="shared" si="8"/>
        <v>0</v>
      </c>
      <c r="BD34" s="41"/>
      <c r="BE34" s="19"/>
      <c r="BF34" s="66"/>
      <c r="BG34" s="66"/>
      <c r="BH34" s="66"/>
      <c r="BI34" s="66"/>
      <c r="BJ34" s="26">
        <f t="shared" si="9"/>
        <v>0</v>
      </c>
      <c r="BK34" s="26">
        <f t="shared" si="10"/>
        <v>0</v>
      </c>
      <c r="BL34" s="19"/>
      <c r="BM34" s="42"/>
    </row>
    <row r="35" spans="1:65" s="3" customFormat="1">
      <c r="A35" s="49">
        <f t="shared" si="11"/>
        <v>28</v>
      </c>
      <c r="B35" s="39">
        <v>43647</v>
      </c>
      <c r="C35" s="70"/>
      <c r="D35" s="68"/>
      <c r="E35" s="68"/>
      <c r="F35" s="67"/>
      <c r="G35" s="68"/>
      <c r="H35" s="68"/>
      <c r="I35" s="69"/>
      <c r="J35" s="69"/>
      <c r="K35" s="76"/>
      <c r="L35" s="76"/>
      <c r="M35" s="77"/>
      <c r="N35" s="71"/>
      <c r="O35" s="78"/>
      <c r="P35" s="78"/>
      <c r="Q35" s="78"/>
      <c r="R35" s="78"/>
      <c r="S35" s="77"/>
      <c r="T35" s="78"/>
      <c r="U35" s="77"/>
      <c r="V35" s="77"/>
      <c r="W35" s="78"/>
      <c r="X35" s="79"/>
      <c r="Y35" s="79"/>
      <c r="Z35" s="79"/>
      <c r="AA35" s="79"/>
      <c r="AB35" s="77"/>
      <c r="AC35" s="77"/>
      <c r="AD35" s="77"/>
      <c r="AE35" s="77"/>
      <c r="AF35" s="80"/>
      <c r="AG35" s="81"/>
      <c r="AH35" s="19"/>
      <c r="AI35" s="97"/>
      <c r="AJ35" s="98"/>
      <c r="AK35" s="99"/>
      <c r="AL35" s="100"/>
      <c r="AM35" s="98"/>
      <c r="AN35" s="98"/>
      <c r="AO35" s="97"/>
      <c r="AP35" s="101"/>
      <c r="AQ35" s="82"/>
      <c r="AR35" s="82"/>
      <c r="AS35" s="83"/>
      <c r="AT35" s="19"/>
      <c r="AU35" s="25">
        <f t="shared" si="2"/>
        <v>0</v>
      </c>
      <c r="AV35" s="25">
        <f t="shared" si="3"/>
        <v>0</v>
      </c>
      <c r="AW35" s="19"/>
      <c r="AX35" s="10">
        <f t="shared" si="4"/>
        <v>0</v>
      </c>
      <c r="AY35" s="10">
        <f t="shared" si="5"/>
        <v>0</v>
      </c>
      <c r="AZ35" s="10">
        <f t="shared" si="6"/>
        <v>0</v>
      </c>
      <c r="BA35" s="10">
        <f t="shared" si="7"/>
        <v>0</v>
      </c>
      <c r="BB35" s="40">
        <f t="shared" si="12"/>
        <v>0</v>
      </c>
      <c r="BC35" s="11">
        <f t="shared" si="8"/>
        <v>0</v>
      </c>
      <c r="BD35" s="41"/>
      <c r="BE35" s="19"/>
      <c r="BF35" s="66"/>
      <c r="BG35" s="66"/>
      <c r="BH35" s="66"/>
      <c r="BI35" s="66"/>
      <c r="BJ35" s="26">
        <f t="shared" si="9"/>
        <v>0</v>
      </c>
      <c r="BK35" s="26">
        <f t="shared" si="10"/>
        <v>0</v>
      </c>
      <c r="BL35" s="19"/>
      <c r="BM35" s="42"/>
    </row>
    <row r="36" spans="1:65" s="3" customFormat="1">
      <c r="A36" s="49">
        <f t="shared" si="11"/>
        <v>29</v>
      </c>
      <c r="B36" s="39">
        <v>43647</v>
      </c>
      <c r="C36" s="70"/>
      <c r="D36" s="68"/>
      <c r="E36" s="68"/>
      <c r="F36" s="67"/>
      <c r="G36" s="68"/>
      <c r="H36" s="68"/>
      <c r="I36" s="69"/>
      <c r="J36" s="69"/>
      <c r="K36" s="76"/>
      <c r="L36" s="76"/>
      <c r="M36" s="77"/>
      <c r="N36" s="71"/>
      <c r="O36" s="78"/>
      <c r="P36" s="78"/>
      <c r="Q36" s="78"/>
      <c r="R36" s="78"/>
      <c r="S36" s="77"/>
      <c r="T36" s="78"/>
      <c r="U36" s="77"/>
      <c r="V36" s="77"/>
      <c r="W36" s="78"/>
      <c r="X36" s="79"/>
      <c r="Y36" s="79"/>
      <c r="Z36" s="79"/>
      <c r="AA36" s="79"/>
      <c r="AB36" s="77"/>
      <c r="AC36" s="77"/>
      <c r="AD36" s="77"/>
      <c r="AE36" s="77"/>
      <c r="AF36" s="80"/>
      <c r="AG36" s="81"/>
      <c r="AH36" s="19"/>
      <c r="AI36" s="97"/>
      <c r="AJ36" s="98"/>
      <c r="AK36" s="99"/>
      <c r="AL36" s="100"/>
      <c r="AM36" s="98"/>
      <c r="AN36" s="98"/>
      <c r="AO36" s="97"/>
      <c r="AP36" s="101"/>
      <c r="AQ36" s="82"/>
      <c r="AR36" s="82"/>
      <c r="AS36" s="83"/>
      <c r="AT36" s="19"/>
      <c r="AU36" s="25">
        <f t="shared" si="2"/>
        <v>0</v>
      </c>
      <c r="AV36" s="25">
        <f t="shared" si="3"/>
        <v>0</v>
      </c>
      <c r="AW36" s="19"/>
      <c r="AX36" s="10">
        <f t="shared" si="4"/>
        <v>0</v>
      </c>
      <c r="AY36" s="10">
        <f t="shared" si="5"/>
        <v>0</v>
      </c>
      <c r="AZ36" s="10">
        <f t="shared" si="6"/>
        <v>0</v>
      </c>
      <c r="BA36" s="10">
        <f t="shared" si="7"/>
        <v>0</v>
      </c>
      <c r="BB36" s="40">
        <f t="shared" si="12"/>
        <v>0</v>
      </c>
      <c r="BC36" s="11">
        <f t="shared" si="8"/>
        <v>0</v>
      </c>
      <c r="BD36" s="41"/>
      <c r="BE36" s="19"/>
      <c r="BF36" s="66"/>
      <c r="BG36" s="66"/>
      <c r="BH36" s="66"/>
      <c r="BI36" s="66"/>
      <c r="BJ36" s="26">
        <f t="shared" si="9"/>
        <v>0</v>
      </c>
      <c r="BK36" s="26">
        <f t="shared" si="10"/>
        <v>0</v>
      </c>
      <c r="BL36" s="19"/>
      <c r="BM36" s="42"/>
    </row>
    <row r="37" spans="1:65" s="3" customFormat="1">
      <c r="A37" s="49">
        <f t="shared" si="11"/>
        <v>30</v>
      </c>
      <c r="B37" s="39">
        <v>43647</v>
      </c>
      <c r="C37" s="70"/>
      <c r="D37" s="68"/>
      <c r="E37" s="68"/>
      <c r="F37" s="67"/>
      <c r="G37" s="68"/>
      <c r="H37" s="68"/>
      <c r="I37" s="69"/>
      <c r="J37" s="69"/>
      <c r="K37" s="76"/>
      <c r="L37" s="76"/>
      <c r="M37" s="77"/>
      <c r="N37" s="71"/>
      <c r="O37" s="78"/>
      <c r="P37" s="78"/>
      <c r="Q37" s="78"/>
      <c r="R37" s="78"/>
      <c r="S37" s="77"/>
      <c r="T37" s="78"/>
      <c r="U37" s="77"/>
      <c r="V37" s="77"/>
      <c r="W37" s="78"/>
      <c r="X37" s="79"/>
      <c r="Y37" s="79"/>
      <c r="Z37" s="79"/>
      <c r="AA37" s="79"/>
      <c r="AB37" s="77"/>
      <c r="AC37" s="77"/>
      <c r="AD37" s="77"/>
      <c r="AE37" s="77"/>
      <c r="AF37" s="80"/>
      <c r="AG37" s="81"/>
      <c r="AH37" s="19"/>
      <c r="AI37" s="97"/>
      <c r="AJ37" s="98"/>
      <c r="AK37" s="99"/>
      <c r="AL37" s="100"/>
      <c r="AM37" s="98"/>
      <c r="AN37" s="98"/>
      <c r="AO37" s="97"/>
      <c r="AP37" s="101"/>
      <c r="AQ37" s="82"/>
      <c r="AR37" s="82"/>
      <c r="AS37" s="83"/>
      <c r="AT37" s="19"/>
      <c r="AU37" s="25">
        <f t="shared" si="2"/>
        <v>0</v>
      </c>
      <c r="AV37" s="25">
        <f t="shared" si="3"/>
        <v>0</v>
      </c>
      <c r="AW37" s="19"/>
      <c r="AX37" s="10">
        <f t="shared" si="4"/>
        <v>0</v>
      </c>
      <c r="AY37" s="10">
        <f t="shared" si="5"/>
        <v>0</v>
      </c>
      <c r="AZ37" s="10">
        <f t="shared" si="6"/>
        <v>0</v>
      </c>
      <c r="BA37" s="10">
        <f t="shared" si="7"/>
        <v>0</v>
      </c>
      <c r="BB37" s="40">
        <f t="shared" si="12"/>
        <v>0</v>
      </c>
      <c r="BC37" s="11">
        <f t="shared" si="8"/>
        <v>0</v>
      </c>
      <c r="BD37" s="41"/>
      <c r="BE37" s="19"/>
      <c r="BF37" s="66"/>
      <c r="BG37" s="66"/>
      <c r="BH37" s="66"/>
      <c r="BI37" s="66"/>
      <c r="BJ37" s="26">
        <f t="shared" si="9"/>
        <v>0</v>
      </c>
      <c r="BK37" s="26">
        <f t="shared" si="10"/>
        <v>0</v>
      </c>
      <c r="BL37" s="19"/>
      <c r="BM37" s="42"/>
    </row>
    <row r="38" spans="1:65" s="3" customFormat="1">
      <c r="A38" s="49">
        <f t="shared" si="11"/>
        <v>31</v>
      </c>
      <c r="B38" s="39">
        <v>43647</v>
      </c>
      <c r="C38" s="70"/>
      <c r="D38" s="68"/>
      <c r="E38" s="68"/>
      <c r="F38" s="67"/>
      <c r="G38" s="68"/>
      <c r="H38" s="68"/>
      <c r="I38" s="69"/>
      <c r="J38" s="69"/>
      <c r="K38" s="76"/>
      <c r="L38" s="76"/>
      <c r="M38" s="77"/>
      <c r="N38" s="71"/>
      <c r="O38" s="78"/>
      <c r="P38" s="78"/>
      <c r="Q38" s="78"/>
      <c r="R38" s="78"/>
      <c r="S38" s="77"/>
      <c r="T38" s="78"/>
      <c r="U38" s="77"/>
      <c r="V38" s="77"/>
      <c r="W38" s="78"/>
      <c r="X38" s="79"/>
      <c r="Y38" s="79"/>
      <c r="Z38" s="79"/>
      <c r="AA38" s="79"/>
      <c r="AB38" s="77"/>
      <c r="AC38" s="77"/>
      <c r="AD38" s="77"/>
      <c r="AE38" s="77"/>
      <c r="AF38" s="80"/>
      <c r="AG38" s="81"/>
      <c r="AH38" s="19"/>
      <c r="AI38" s="97"/>
      <c r="AJ38" s="98"/>
      <c r="AK38" s="99"/>
      <c r="AL38" s="100"/>
      <c r="AM38" s="98"/>
      <c r="AN38" s="98"/>
      <c r="AO38" s="97"/>
      <c r="AP38" s="101"/>
      <c r="AQ38" s="82"/>
      <c r="AR38" s="82"/>
      <c r="AS38" s="83"/>
      <c r="AT38" s="19"/>
      <c r="AU38" s="25">
        <f t="shared" si="2"/>
        <v>0</v>
      </c>
      <c r="AV38" s="25">
        <f t="shared" si="3"/>
        <v>0</v>
      </c>
      <c r="AW38" s="19"/>
      <c r="AX38" s="10">
        <f t="shared" si="4"/>
        <v>0</v>
      </c>
      <c r="AY38" s="10">
        <f t="shared" si="5"/>
        <v>0</v>
      </c>
      <c r="AZ38" s="10">
        <f t="shared" si="6"/>
        <v>0</v>
      </c>
      <c r="BA38" s="10">
        <f t="shared" si="7"/>
        <v>0</v>
      </c>
      <c r="BB38" s="40">
        <f t="shared" si="12"/>
        <v>0</v>
      </c>
      <c r="BC38" s="11">
        <f t="shared" si="8"/>
        <v>0</v>
      </c>
      <c r="BD38" s="41"/>
      <c r="BE38" s="19"/>
      <c r="BF38" s="66"/>
      <c r="BG38" s="66"/>
      <c r="BH38" s="66"/>
      <c r="BI38" s="66"/>
      <c r="BJ38" s="26">
        <f t="shared" si="9"/>
        <v>0</v>
      </c>
      <c r="BK38" s="26">
        <f t="shared" si="10"/>
        <v>0</v>
      </c>
      <c r="BL38" s="19"/>
      <c r="BM38" s="42"/>
    </row>
    <row r="39" spans="1:65" s="3" customFormat="1">
      <c r="A39" s="49">
        <f t="shared" si="11"/>
        <v>32</v>
      </c>
      <c r="B39" s="39">
        <v>43647</v>
      </c>
      <c r="C39" s="70"/>
      <c r="D39" s="68"/>
      <c r="E39" s="68"/>
      <c r="F39" s="67"/>
      <c r="G39" s="68"/>
      <c r="H39" s="68"/>
      <c r="I39" s="69"/>
      <c r="J39" s="69"/>
      <c r="K39" s="76"/>
      <c r="L39" s="76"/>
      <c r="M39" s="77"/>
      <c r="N39" s="71"/>
      <c r="O39" s="78"/>
      <c r="P39" s="78"/>
      <c r="Q39" s="78"/>
      <c r="R39" s="78"/>
      <c r="S39" s="77"/>
      <c r="T39" s="78"/>
      <c r="U39" s="77"/>
      <c r="V39" s="77"/>
      <c r="W39" s="78"/>
      <c r="X39" s="79"/>
      <c r="Y39" s="79"/>
      <c r="Z39" s="79"/>
      <c r="AA39" s="79"/>
      <c r="AB39" s="77"/>
      <c r="AC39" s="77"/>
      <c r="AD39" s="77"/>
      <c r="AE39" s="77"/>
      <c r="AF39" s="80"/>
      <c r="AG39" s="81"/>
      <c r="AH39" s="19"/>
      <c r="AI39" s="97"/>
      <c r="AJ39" s="98"/>
      <c r="AK39" s="99"/>
      <c r="AL39" s="100"/>
      <c r="AM39" s="98"/>
      <c r="AN39" s="98"/>
      <c r="AO39" s="97"/>
      <c r="AP39" s="101"/>
      <c r="AQ39" s="82"/>
      <c r="AR39" s="82"/>
      <c r="AS39" s="83"/>
      <c r="AT39" s="19"/>
      <c r="AU39" s="25">
        <f t="shared" si="2"/>
        <v>0</v>
      </c>
      <c r="AV39" s="25">
        <f t="shared" si="3"/>
        <v>0</v>
      </c>
      <c r="AW39" s="19"/>
      <c r="AX39" s="10">
        <f t="shared" si="4"/>
        <v>0</v>
      </c>
      <c r="AY39" s="10">
        <f t="shared" si="5"/>
        <v>0</v>
      </c>
      <c r="AZ39" s="10">
        <f t="shared" si="6"/>
        <v>0</v>
      </c>
      <c r="BA39" s="10">
        <f t="shared" si="7"/>
        <v>0</v>
      </c>
      <c r="BB39" s="40">
        <f t="shared" si="12"/>
        <v>0</v>
      </c>
      <c r="BC39" s="11">
        <f t="shared" si="8"/>
        <v>0</v>
      </c>
      <c r="BD39" s="41"/>
      <c r="BE39" s="19"/>
      <c r="BF39" s="66"/>
      <c r="BG39" s="66"/>
      <c r="BH39" s="66"/>
      <c r="BI39" s="66"/>
      <c r="BJ39" s="26">
        <f t="shared" si="9"/>
        <v>0</v>
      </c>
      <c r="BK39" s="26">
        <f t="shared" si="10"/>
        <v>0</v>
      </c>
      <c r="BL39" s="19"/>
      <c r="BM39" s="42"/>
    </row>
    <row r="40" spans="1:65" s="3" customFormat="1">
      <c r="A40" s="49">
        <f t="shared" si="11"/>
        <v>33</v>
      </c>
      <c r="B40" s="39">
        <v>43647</v>
      </c>
      <c r="C40" s="70"/>
      <c r="D40" s="68"/>
      <c r="E40" s="68"/>
      <c r="F40" s="67"/>
      <c r="G40" s="68"/>
      <c r="H40" s="68"/>
      <c r="I40" s="69"/>
      <c r="J40" s="69"/>
      <c r="K40" s="76"/>
      <c r="L40" s="76"/>
      <c r="M40" s="77"/>
      <c r="N40" s="71"/>
      <c r="O40" s="78"/>
      <c r="P40" s="78"/>
      <c r="Q40" s="78"/>
      <c r="R40" s="78"/>
      <c r="S40" s="77"/>
      <c r="T40" s="78"/>
      <c r="U40" s="77"/>
      <c r="V40" s="77"/>
      <c r="W40" s="78"/>
      <c r="X40" s="79"/>
      <c r="Y40" s="79"/>
      <c r="Z40" s="79"/>
      <c r="AA40" s="79"/>
      <c r="AB40" s="77"/>
      <c r="AC40" s="77"/>
      <c r="AD40" s="77"/>
      <c r="AE40" s="77"/>
      <c r="AF40" s="80"/>
      <c r="AG40" s="81"/>
      <c r="AH40" s="19"/>
      <c r="AI40" s="97"/>
      <c r="AJ40" s="98"/>
      <c r="AK40" s="99"/>
      <c r="AL40" s="100"/>
      <c r="AM40" s="98"/>
      <c r="AN40" s="98"/>
      <c r="AO40" s="97"/>
      <c r="AP40" s="101"/>
      <c r="AQ40" s="82"/>
      <c r="AR40" s="82"/>
      <c r="AS40" s="83"/>
      <c r="AT40" s="19"/>
      <c r="AU40" s="25">
        <f t="shared" ref="AU40:AU71" si="13">IF($I40="加入",ROUND(U40*0.006,0),0)</f>
        <v>0</v>
      </c>
      <c r="AV40" s="25">
        <f t="shared" ref="AV40:AV71" si="14">ROUND(U40*0.003,0)</f>
        <v>0</v>
      </c>
      <c r="AW40" s="19"/>
      <c r="AX40" s="10">
        <f t="shared" ref="AX40:AX71" si="15">IF($J40="加入",AB40,0)</f>
        <v>0</v>
      </c>
      <c r="AY40" s="10">
        <f t="shared" ref="AY40:AY71" si="16">IF($J40="加入",AC40,0)</f>
        <v>0</v>
      </c>
      <c r="AZ40" s="10">
        <f t="shared" ref="AZ40:AZ71" si="17">IF($J40="加入",AD40,0)</f>
        <v>0</v>
      </c>
      <c r="BA40" s="10">
        <f t="shared" ref="BA40:BA71" si="18">IF($J40="加入",ROUND(L40*0.0034,0), 0)</f>
        <v>0</v>
      </c>
      <c r="BB40" s="40">
        <f t="shared" si="12"/>
        <v>0</v>
      </c>
      <c r="BC40" s="11">
        <f t="shared" ref="BC40:BC71" si="19">AB40+AC40+AD40</f>
        <v>0</v>
      </c>
      <c r="BD40" s="41"/>
      <c r="BE40" s="19"/>
      <c r="BF40" s="66"/>
      <c r="BG40" s="66"/>
      <c r="BH40" s="66"/>
      <c r="BI40" s="66"/>
      <c r="BJ40" s="26">
        <f t="shared" ref="BJ40:BJ71" si="20">IF(AG40&lt;&gt;"",1,0)</f>
        <v>0</v>
      </c>
      <c r="BK40" s="26">
        <f t="shared" ref="BK40:BK71" si="21">SUM(O40:T40)+SUM(AU40:BA40)-Y40</f>
        <v>0</v>
      </c>
      <c r="BL40" s="19"/>
      <c r="BM40" s="42"/>
    </row>
    <row r="41" spans="1:65" s="3" customFormat="1">
      <c r="A41" s="49">
        <f t="shared" si="11"/>
        <v>34</v>
      </c>
      <c r="B41" s="39">
        <v>43647</v>
      </c>
      <c r="C41" s="70"/>
      <c r="D41" s="68"/>
      <c r="E41" s="68"/>
      <c r="F41" s="67"/>
      <c r="G41" s="68"/>
      <c r="H41" s="68"/>
      <c r="I41" s="69"/>
      <c r="J41" s="69"/>
      <c r="K41" s="76"/>
      <c r="L41" s="76"/>
      <c r="M41" s="77"/>
      <c r="N41" s="71"/>
      <c r="O41" s="78"/>
      <c r="P41" s="78"/>
      <c r="Q41" s="78"/>
      <c r="R41" s="78"/>
      <c r="S41" s="77"/>
      <c r="T41" s="78"/>
      <c r="U41" s="77"/>
      <c r="V41" s="77"/>
      <c r="W41" s="78"/>
      <c r="X41" s="79"/>
      <c r="Y41" s="79"/>
      <c r="Z41" s="79"/>
      <c r="AA41" s="79"/>
      <c r="AB41" s="77"/>
      <c r="AC41" s="77"/>
      <c r="AD41" s="77"/>
      <c r="AE41" s="77"/>
      <c r="AF41" s="80"/>
      <c r="AG41" s="81"/>
      <c r="AH41" s="19"/>
      <c r="AI41" s="97"/>
      <c r="AJ41" s="98"/>
      <c r="AK41" s="99"/>
      <c r="AL41" s="100"/>
      <c r="AM41" s="98"/>
      <c r="AN41" s="98"/>
      <c r="AO41" s="97"/>
      <c r="AP41" s="101"/>
      <c r="AQ41" s="82"/>
      <c r="AR41" s="82"/>
      <c r="AS41" s="83"/>
      <c r="AT41" s="19"/>
      <c r="AU41" s="25">
        <f t="shared" si="13"/>
        <v>0</v>
      </c>
      <c r="AV41" s="25">
        <f t="shared" si="14"/>
        <v>0</v>
      </c>
      <c r="AW41" s="19"/>
      <c r="AX41" s="10">
        <f t="shared" si="15"/>
        <v>0</v>
      </c>
      <c r="AY41" s="10">
        <f t="shared" si="16"/>
        <v>0</v>
      </c>
      <c r="AZ41" s="10">
        <f t="shared" si="17"/>
        <v>0</v>
      </c>
      <c r="BA41" s="10">
        <f t="shared" si="18"/>
        <v>0</v>
      </c>
      <c r="BB41" s="40">
        <f t="shared" si="12"/>
        <v>0</v>
      </c>
      <c r="BC41" s="11">
        <f t="shared" si="19"/>
        <v>0</v>
      </c>
      <c r="BD41" s="41"/>
      <c r="BE41" s="19"/>
      <c r="BF41" s="66"/>
      <c r="BG41" s="66"/>
      <c r="BH41" s="66"/>
      <c r="BI41" s="66"/>
      <c r="BJ41" s="26">
        <f t="shared" si="20"/>
        <v>0</v>
      </c>
      <c r="BK41" s="26">
        <f t="shared" si="21"/>
        <v>0</v>
      </c>
      <c r="BL41" s="19"/>
      <c r="BM41" s="42"/>
    </row>
    <row r="42" spans="1:65" s="3" customFormat="1">
      <c r="A42" s="49">
        <f t="shared" si="11"/>
        <v>35</v>
      </c>
      <c r="B42" s="39">
        <v>43647</v>
      </c>
      <c r="C42" s="70"/>
      <c r="D42" s="68"/>
      <c r="E42" s="68"/>
      <c r="F42" s="67"/>
      <c r="G42" s="68"/>
      <c r="H42" s="68"/>
      <c r="I42" s="69"/>
      <c r="J42" s="69"/>
      <c r="K42" s="76"/>
      <c r="L42" s="76"/>
      <c r="M42" s="77"/>
      <c r="N42" s="71"/>
      <c r="O42" s="78"/>
      <c r="P42" s="78"/>
      <c r="Q42" s="78"/>
      <c r="R42" s="78"/>
      <c r="S42" s="77"/>
      <c r="T42" s="78"/>
      <c r="U42" s="77"/>
      <c r="V42" s="77"/>
      <c r="W42" s="78"/>
      <c r="X42" s="79"/>
      <c r="Y42" s="79"/>
      <c r="Z42" s="79"/>
      <c r="AA42" s="79"/>
      <c r="AB42" s="77"/>
      <c r="AC42" s="77"/>
      <c r="AD42" s="77"/>
      <c r="AE42" s="77"/>
      <c r="AF42" s="80"/>
      <c r="AG42" s="81"/>
      <c r="AH42" s="19"/>
      <c r="AI42" s="97"/>
      <c r="AJ42" s="98"/>
      <c r="AK42" s="99"/>
      <c r="AL42" s="100"/>
      <c r="AM42" s="98"/>
      <c r="AN42" s="98"/>
      <c r="AO42" s="97"/>
      <c r="AP42" s="101"/>
      <c r="AQ42" s="82"/>
      <c r="AR42" s="82"/>
      <c r="AS42" s="83"/>
      <c r="AT42" s="19"/>
      <c r="AU42" s="25">
        <f t="shared" si="13"/>
        <v>0</v>
      </c>
      <c r="AV42" s="25">
        <f t="shared" si="14"/>
        <v>0</v>
      </c>
      <c r="AW42" s="19"/>
      <c r="AX42" s="10">
        <f t="shared" si="15"/>
        <v>0</v>
      </c>
      <c r="AY42" s="10">
        <f t="shared" si="16"/>
        <v>0</v>
      </c>
      <c r="AZ42" s="10">
        <f t="shared" si="17"/>
        <v>0</v>
      </c>
      <c r="BA42" s="10">
        <f t="shared" si="18"/>
        <v>0</v>
      </c>
      <c r="BB42" s="40">
        <f t="shared" si="12"/>
        <v>0</v>
      </c>
      <c r="BC42" s="11">
        <f t="shared" si="19"/>
        <v>0</v>
      </c>
      <c r="BD42" s="41"/>
      <c r="BE42" s="19"/>
      <c r="BF42" s="66"/>
      <c r="BG42" s="66"/>
      <c r="BH42" s="66"/>
      <c r="BI42" s="66"/>
      <c r="BJ42" s="26">
        <f t="shared" si="20"/>
        <v>0</v>
      </c>
      <c r="BK42" s="26">
        <f t="shared" si="21"/>
        <v>0</v>
      </c>
      <c r="BL42" s="19"/>
      <c r="BM42" s="42"/>
    </row>
    <row r="43" spans="1:65" s="3" customFormat="1">
      <c r="A43" s="49">
        <f t="shared" si="11"/>
        <v>36</v>
      </c>
      <c r="B43" s="39">
        <v>43647</v>
      </c>
      <c r="C43" s="70"/>
      <c r="D43" s="68"/>
      <c r="E43" s="68"/>
      <c r="F43" s="67"/>
      <c r="G43" s="68"/>
      <c r="H43" s="68"/>
      <c r="I43" s="69"/>
      <c r="J43" s="69"/>
      <c r="K43" s="76"/>
      <c r="L43" s="76"/>
      <c r="M43" s="77"/>
      <c r="N43" s="71"/>
      <c r="O43" s="78"/>
      <c r="P43" s="78"/>
      <c r="Q43" s="78"/>
      <c r="R43" s="78"/>
      <c r="S43" s="77"/>
      <c r="T43" s="78"/>
      <c r="U43" s="77"/>
      <c r="V43" s="77"/>
      <c r="W43" s="78"/>
      <c r="X43" s="79"/>
      <c r="Y43" s="79"/>
      <c r="Z43" s="79"/>
      <c r="AA43" s="79"/>
      <c r="AB43" s="77"/>
      <c r="AC43" s="77"/>
      <c r="AD43" s="77"/>
      <c r="AE43" s="77"/>
      <c r="AF43" s="80"/>
      <c r="AG43" s="81"/>
      <c r="AH43" s="19"/>
      <c r="AI43" s="97"/>
      <c r="AJ43" s="98"/>
      <c r="AK43" s="99"/>
      <c r="AL43" s="100"/>
      <c r="AM43" s="98"/>
      <c r="AN43" s="98"/>
      <c r="AO43" s="97"/>
      <c r="AP43" s="101"/>
      <c r="AQ43" s="82"/>
      <c r="AR43" s="82"/>
      <c r="AS43" s="83"/>
      <c r="AT43" s="19"/>
      <c r="AU43" s="25">
        <f t="shared" si="13"/>
        <v>0</v>
      </c>
      <c r="AV43" s="25">
        <f t="shared" si="14"/>
        <v>0</v>
      </c>
      <c r="AW43" s="19"/>
      <c r="AX43" s="10">
        <f t="shared" si="15"/>
        <v>0</v>
      </c>
      <c r="AY43" s="10">
        <f t="shared" si="16"/>
        <v>0</v>
      </c>
      <c r="AZ43" s="10">
        <f t="shared" si="17"/>
        <v>0</v>
      </c>
      <c r="BA43" s="10">
        <f t="shared" si="18"/>
        <v>0</v>
      </c>
      <c r="BB43" s="40">
        <f t="shared" si="12"/>
        <v>0</v>
      </c>
      <c r="BC43" s="11">
        <f t="shared" si="19"/>
        <v>0</v>
      </c>
      <c r="BD43" s="41"/>
      <c r="BE43" s="19"/>
      <c r="BF43" s="66"/>
      <c r="BG43" s="66"/>
      <c r="BH43" s="66"/>
      <c r="BI43" s="66"/>
      <c r="BJ43" s="26">
        <f t="shared" si="20"/>
        <v>0</v>
      </c>
      <c r="BK43" s="26">
        <f t="shared" si="21"/>
        <v>0</v>
      </c>
      <c r="BL43" s="19"/>
      <c r="BM43" s="42"/>
    </row>
    <row r="44" spans="1:65" s="3" customFormat="1">
      <c r="A44" s="49">
        <f t="shared" si="11"/>
        <v>37</v>
      </c>
      <c r="B44" s="39">
        <v>43647</v>
      </c>
      <c r="C44" s="70"/>
      <c r="D44" s="68"/>
      <c r="E44" s="68"/>
      <c r="F44" s="67"/>
      <c r="G44" s="68"/>
      <c r="H44" s="68"/>
      <c r="I44" s="69"/>
      <c r="J44" s="69"/>
      <c r="K44" s="76"/>
      <c r="L44" s="76"/>
      <c r="M44" s="77"/>
      <c r="N44" s="71"/>
      <c r="O44" s="78"/>
      <c r="P44" s="78"/>
      <c r="Q44" s="78"/>
      <c r="R44" s="78"/>
      <c r="S44" s="77"/>
      <c r="T44" s="78"/>
      <c r="U44" s="77"/>
      <c r="V44" s="77"/>
      <c r="W44" s="78"/>
      <c r="X44" s="79"/>
      <c r="Y44" s="79"/>
      <c r="Z44" s="79"/>
      <c r="AA44" s="79"/>
      <c r="AB44" s="77"/>
      <c r="AC44" s="77"/>
      <c r="AD44" s="77"/>
      <c r="AE44" s="77"/>
      <c r="AF44" s="80"/>
      <c r="AG44" s="81"/>
      <c r="AH44" s="19"/>
      <c r="AI44" s="97"/>
      <c r="AJ44" s="98"/>
      <c r="AK44" s="99"/>
      <c r="AL44" s="100"/>
      <c r="AM44" s="98"/>
      <c r="AN44" s="98"/>
      <c r="AO44" s="97"/>
      <c r="AP44" s="101"/>
      <c r="AQ44" s="82"/>
      <c r="AR44" s="82"/>
      <c r="AS44" s="83"/>
      <c r="AT44" s="19"/>
      <c r="AU44" s="25">
        <f t="shared" si="13"/>
        <v>0</v>
      </c>
      <c r="AV44" s="25">
        <f t="shared" si="14"/>
        <v>0</v>
      </c>
      <c r="AW44" s="19"/>
      <c r="AX44" s="10">
        <f t="shared" si="15"/>
        <v>0</v>
      </c>
      <c r="AY44" s="10">
        <f t="shared" si="16"/>
        <v>0</v>
      </c>
      <c r="AZ44" s="10">
        <f t="shared" si="17"/>
        <v>0</v>
      </c>
      <c r="BA44" s="10">
        <f t="shared" si="18"/>
        <v>0</v>
      </c>
      <c r="BB44" s="40">
        <f t="shared" si="12"/>
        <v>0</v>
      </c>
      <c r="BC44" s="11">
        <f t="shared" si="19"/>
        <v>0</v>
      </c>
      <c r="BD44" s="41"/>
      <c r="BE44" s="19"/>
      <c r="BF44" s="66"/>
      <c r="BG44" s="66"/>
      <c r="BH44" s="66"/>
      <c r="BI44" s="66"/>
      <c r="BJ44" s="26">
        <f t="shared" si="20"/>
        <v>0</v>
      </c>
      <c r="BK44" s="26">
        <f t="shared" si="21"/>
        <v>0</v>
      </c>
      <c r="BL44" s="19"/>
      <c r="BM44" s="42"/>
    </row>
    <row r="45" spans="1:65" s="3" customFormat="1">
      <c r="A45" s="49">
        <f t="shared" si="11"/>
        <v>38</v>
      </c>
      <c r="B45" s="39">
        <v>43647</v>
      </c>
      <c r="C45" s="70"/>
      <c r="D45" s="68"/>
      <c r="E45" s="68"/>
      <c r="F45" s="67"/>
      <c r="G45" s="68"/>
      <c r="H45" s="68"/>
      <c r="I45" s="69"/>
      <c r="J45" s="69"/>
      <c r="K45" s="76"/>
      <c r="L45" s="76"/>
      <c r="M45" s="77"/>
      <c r="N45" s="71"/>
      <c r="O45" s="78"/>
      <c r="P45" s="78"/>
      <c r="Q45" s="78"/>
      <c r="R45" s="78"/>
      <c r="S45" s="77"/>
      <c r="T45" s="78"/>
      <c r="U45" s="77"/>
      <c r="V45" s="77"/>
      <c r="W45" s="78"/>
      <c r="X45" s="79"/>
      <c r="Y45" s="79"/>
      <c r="Z45" s="79"/>
      <c r="AA45" s="79"/>
      <c r="AB45" s="77"/>
      <c r="AC45" s="77"/>
      <c r="AD45" s="77"/>
      <c r="AE45" s="77"/>
      <c r="AF45" s="80"/>
      <c r="AG45" s="81"/>
      <c r="AH45" s="19"/>
      <c r="AI45" s="97"/>
      <c r="AJ45" s="98"/>
      <c r="AK45" s="99"/>
      <c r="AL45" s="100"/>
      <c r="AM45" s="98"/>
      <c r="AN45" s="98"/>
      <c r="AO45" s="97"/>
      <c r="AP45" s="101"/>
      <c r="AQ45" s="82"/>
      <c r="AR45" s="82"/>
      <c r="AS45" s="83"/>
      <c r="AT45" s="19"/>
      <c r="AU45" s="25">
        <f t="shared" si="13"/>
        <v>0</v>
      </c>
      <c r="AV45" s="25">
        <f t="shared" si="14"/>
        <v>0</v>
      </c>
      <c r="AW45" s="19"/>
      <c r="AX45" s="10">
        <f t="shared" si="15"/>
        <v>0</v>
      </c>
      <c r="AY45" s="10">
        <f t="shared" si="16"/>
        <v>0</v>
      </c>
      <c r="AZ45" s="10">
        <f t="shared" si="17"/>
        <v>0</v>
      </c>
      <c r="BA45" s="10">
        <f t="shared" si="18"/>
        <v>0</v>
      </c>
      <c r="BB45" s="40">
        <f t="shared" si="12"/>
        <v>0</v>
      </c>
      <c r="BC45" s="11">
        <f t="shared" si="19"/>
        <v>0</v>
      </c>
      <c r="BD45" s="41"/>
      <c r="BE45" s="19"/>
      <c r="BF45" s="66"/>
      <c r="BG45" s="66"/>
      <c r="BH45" s="66"/>
      <c r="BI45" s="66"/>
      <c r="BJ45" s="26">
        <f t="shared" si="20"/>
        <v>0</v>
      </c>
      <c r="BK45" s="26">
        <f t="shared" si="21"/>
        <v>0</v>
      </c>
      <c r="BL45" s="19"/>
      <c r="BM45" s="42"/>
    </row>
    <row r="46" spans="1:65" s="3" customFormat="1">
      <c r="A46" s="49">
        <f t="shared" si="11"/>
        <v>39</v>
      </c>
      <c r="B46" s="39">
        <v>43647</v>
      </c>
      <c r="C46" s="70"/>
      <c r="D46" s="68"/>
      <c r="E46" s="68"/>
      <c r="F46" s="67"/>
      <c r="G46" s="68"/>
      <c r="H46" s="68"/>
      <c r="I46" s="69"/>
      <c r="J46" s="69"/>
      <c r="K46" s="76"/>
      <c r="L46" s="76"/>
      <c r="M46" s="77"/>
      <c r="N46" s="71"/>
      <c r="O46" s="78"/>
      <c r="P46" s="78"/>
      <c r="Q46" s="78"/>
      <c r="R46" s="78"/>
      <c r="S46" s="77"/>
      <c r="T46" s="78"/>
      <c r="U46" s="77"/>
      <c r="V46" s="77"/>
      <c r="W46" s="78"/>
      <c r="X46" s="79"/>
      <c r="Y46" s="79"/>
      <c r="Z46" s="79"/>
      <c r="AA46" s="79"/>
      <c r="AB46" s="77"/>
      <c r="AC46" s="77"/>
      <c r="AD46" s="77"/>
      <c r="AE46" s="77"/>
      <c r="AF46" s="80"/>
      <c r="AG46" s="81"/>
      <c r="AH46" s="19"/>
      <c r="AI46" s="97"/>
      <c r="AJ46" s="98"/>
      <c r="AK46" s="99"/>
      <c r="AL46" s="100"/>
      <c r="AM46" s="98"/>
      <c r="AN46" s="98"/>
      <c r="AO46" s="97"/>
      <c r="AP46" s="101"/>
      <c r="AQ46" s="82"/>
      <c r="AR46" s="82"/>
      <c r="AS46" s="83"/>
      <c r="AT46" s="19"/>
      <c r="AU46" s="25">
        <f t="shared" si="13"/>
        <v>0</v>
      </c>
      <c r="AV46" s="25">
        <f t="shared" si="14"/>
        <v>0</v>
      </c>
      <c r="AW46" s="19"/>
      <c r="AX46" s="10">
        <f t="shared" si="15"/>
        <v>0</v>
      </c>
      <c r="AY46" s="10">
        <f t="shared" si="16"/>
        <v>0</v>
      </c>
      <c r="AZ46" s="10">
        <f t="shared" si="17"/>
        <v>0</v>
      </c>
      <c r="BA46" s="10">
        <f t="shared" si="18"/>
        <v>0</v>
      </c>
      <c r="BB46" s="40">
        <f t="shared" si="12"/>
        <v>0</v>
      </c>
      <c r="BC46" s="11">
        <f t="shared" si="19"/>
        <v>0</v>
      </c>
      <c r="BD46" s="41"/>
      <c r="BE46" s="19"/>
      <c r="BF46" s="66"/>
      <c r="BG46" s="66"/>
      <c r="BH46" s="66"/>
      <c r="BI46" s="66"/>
      <c r="BJ46" s="26">
        <f t="shared" si="20"/>
        <v>0</v>
      </c>
      <c r="BK46" s="26">
        <f t="shared" si="21"/>
        <v>0</v>
      </c>
      <c r="BL46" s="19"/>
      <c r="BM46" s="42"/>
    </row>
    <row r="47" spans="1:65" s="3" customFormat="1">
      <c r="A47" s="49">
        <f t="shared" si="11"/>
        <v>40</v>
      </c>
      <c r="B47" s="39">
        <v>43647</v>
      </c>
      <c r="C47" s="70"/>
      <c r="D47" s="68"/>
      <c r="E47" s="68"/>
      <c r="F47" s="67"/>
      <c r="G47" s="68"/>
      <c r="H47" s="68"/>
      <c r="I47" s="69"/>
      <c r="J47" s="69"/>
      <c r="K47" s="76"/>
      <c r="L47" s="76"/>
      <c r="M47" s="77"/>
      <c r="N47" s="71"/>
      <c r="O47" s="78"/>
      <c r="P47" s="78"/>
      <c r="Q47" s="78"/>
      <c r="R47" s="78"/>
      <c r="S47" s="77"/>
      <c r="T47" s="78"/>
      <c r="U47" s="77"/>
      <c r="V47" s="77"/>
      <c r="W47" s="78"/>
      <c r="X47" s="79"/>
      <c r="Y47" s="79"/>
      <c r="Z47" s="79"/>
      <c r="AA47" s="79"/>
      <c r="AB47" s="77"/>
      <c r="AC47" s="77"/>
      <c r="AD47" s="77"/>
      <c r="AE47" s="77"/>
      <c r="AF47" s="80"/>
      <c r="AG47" s="81"/>
      <c r="AH47" s="19"/>
      <c r="AI47" s="97"/>
      <c r="AJ47" s="98"/>
      <c r="AK47" s="99"/>
      <c r="AL47" s="100"/>
      <c r="AM47" s="98"/>
      <c r="AN47" s="98"/>
      <c r="AO47" s="97"/>
      <c r="AP47" s="101"/>
      <c r="AQ47" s="82"/>
      <c r="AR47" s="82"/>
      <c r="AS47" s="83"/>
      <c r="AT47" s="19"/>
      <c r="AU47" s="25">
        <f t="shared" si="13"/>
        <v>0</v>
      </c>
      <c r="AV47" s="25">
        <f t="shared" si="14"/>
        <v>0</v>
      </c>
      <c r="AW47" s="19"/>
      <c r="AX47" s="10">
        <f t="shared" si="15"/>
        <v>0</v>
      </c>
      <c r="AY47" s="10">
        <f t="shared" si="16"/>
        <v>0</v>
      </c>
      <c r="AZ47" s="10">
        <f t="shared" si="17"/>
        <v>0</v>
      </c>
      <c r="BA47" s="10">
        <f t="shared" si="18"/>
        <v>0</v>
      </c>
      <c r="BB47" s="40">
        <f t="shared" si="12"/>
        <v>0</v>
      </c>
      <c r="BC47" s="11">
        <f t="shared" si="19"/>
        <v>0</v>
      </c>
      <c r="BD47" s="41"/>
      <c r="BE47" s="19"/>
      <c r="BF47" s="66"/>
      <c r="BG47" s="66"/>
      <c r="BH47" s="66"/>
      <c r="BI47" s="66"/>
      <c r="BJ47" s="26">
        <f t="shared" si="20"/>
        <v>0</v>
      </c>
      <c r="BK47" s="26">
        <f t="shared" si="21"/>
        <v>0</v>
      </c>
      <c r="BL47" s="19"/>
      <c r="BM47" s="42"/>
    </row>
    <row r="48" spans="1:65" s="3" customFormat="1">
      <c r="A48" s="49">
        <f t="shared" si="11"/>
        <v>41</v>
      </c>
      <c r="B48" s="39">
        <v>43647</v>
      </c>
      <c r="C48" s="70"/>
      <c r="D48" s="68"/>
      <c r="E48" s="68"/>
      <c r="F48" s="67"/>
      <c r="G48" s="68"/>
      <c r="H48" s="68"/>
      <c r="I48" s="69"/>
      <c r="J48" s="69"/>
      <c r="K48" s="76"/>
      <c r="L48" s="76"/>
      <c r="M48" s="77"/>
      <c r="N48" s="71"/>
      <c r="O48" s="78"/>
      <c r="P48" s="78"/>
      <c r="Q48" s="78"/>
      <c r="R48" s="78"/>
      <c r="S48" s="77"/>
      <c r="T48" s="78"/>
      <c r="U48" s="77"/>
      <c r="V48" s="77"/>
      <c r="W48" s="78"/>
      <c r="X48" s="79"/>
      <c r="Y48" s="79"/>
      <c r="Z48" s="79"/>
      <c r="AA48" s="79"/>
      <c r="AB48" s="77"/>
      <c r="AC48" s="77"/>
      <c r="AD48" s="77"/>
      <c r="AE48" s="77"/>
      <c r="AF48" s="80"/>
      <c r="AG48" s="81"/>
      <c r="AH48" s="19"/>
      <c r="AI48" s="97"/>
      <c r="AJ48" s="98"/>
      <c r="AK48" s="99"/>
      <c r="AL48" s="100"/>
      <c r="AM48" s="98"/>
      <c r="AN48" s="98"/>
      <c r="AO48" s="97"/>
      <c r="AP48" s="101"/>
      <c r="AQ48" s="82"/>
      <c r="AR48" s="82"/>
      <c r="AS48" s="83"/>
      <c r="AT48" s="19"/>
      <c r="AU48" s="25">
        <f t="shared" si="13"/>
        <v>0</v>
      </c>
      <c r="AV48" s="25">
        <f t="shared" si="14"/>
        <v>0</v>
      </c>
      <c r="AW48" s="19"/>
      <c r="AX48" s="10">
        <f t="shared" si="15"/>
        <v>0</v>
      </c>
      <c r="AY48" s="10">
        <f t="shared" si="16"/>
        <v>0</v>
      </c>
      <c r="AZ48" s="10">
        <f t="shared" si="17"/>
        <v>0</v>
      </c>
      <c r="BA48" s="10">
        <f t="shared" si="18"/>
        <v>0</v>
      </c>
      <c r="BB48" s="40">
        <f t="shared" si="12"/>
        <v>0</v>
      </c>
      <c r="BC48" s="11">
        <f t="shared" si="19"/>
        <v>0</v>
      </c>
      <c r="BD48" s="41"/>
      <c r="BE48" s="19"/>
      <c r="BF48" s="66"/>
      <c r="BG48" s="66"/>
      <c r="BH48" s="66"/>
      <c r="BI48" s="66"/>
      <c r="BJ48" s="26">
        <f t="shared" si="20"/>
        <v>0</v>
      </c>
      <c r="BK48" s="26">
        <f t="shared" si="21"/>
        <v>0</v>
      </c>
      <c r="BL48" s="19"/>
      <c r="BM48" s="42"/>
    </row>
    <row r="49" spans="1:65" s="3" customFormat="1">
      <c r="A49" s="49">
        <f t="shared" si="11"/>
        <v>42</v>
      </c>
      <c r="B49" s="39">
        <v>43647</v>
      </c>
      <c r="C49" s="70"/>
      <c r="D49" s="68"/>
      <c r="E49" s="68"/>
      <c r="F49" s="67"/>
      <c r="G49" s="68"/>
      <c r="H49" s="68"/>
      <c r="I49" s="69"/>
      <c r="J49" s="69"/>
      <c r="K49" s="76"/>
      <c r="L49" s="76"/>
      <c r="M49" s="77"/>
      <c r="N49" s="71"/>
      <c r="O49" s="78"/>
      <c r="P49" s="78"/>
      <c r="Q49" s="78"/>
      <c r="R49" s="78"/>
      <c r="S49" s="77"/>
      <c r="T49" s="78"/>
      <c r="U49" s="77"/>
      <c r="V49" s="77"/>
      <c r="W49" s="78"/>
      <c r="X49" s="79"/>
      <c r="Y49" s="79"/>
      <c r="Z49" s="79"/>
      <c r="AA49" s="79"/>
      <c r="AB49" s="77"/>
      <c r="AC49" s="77"/>
      <c r="AD49" s="77"/>
      <c r="AE49" s="77"/>
      <c r="AF49" s="80"/>
      <c r="AG49" s="81"/>
      <c r="AH49" s="19"/>
      <c r="AI49" s="97"/>
      <c r="AJ49" s="98"/>
      <c r="AK49" s="99"/>
      <c r="AL49" s="100"/>
      <c r="AM49" s="98"/>
      <c r="AN49" s="98"/>
      <c r="AO49" s="97"/>
      <c r="AP49" s="101"/>
      <c r="AQ49" s="82"/>
      <c r="AR49" s="82"/>
      <c r="AS49" s="83"/>
      <c r="AT49" s="19"/>
      <c r="AU49" s="25">
        <f t="shared" si="13"/>
        <v>0</v>
      </c>
      <c r="AV49" s="25">
        <f t="shared" si="14"/>
        <v>0</v>
      </c>
      <c r="AW49" s="19"/>
      <c r="AX49" s="10">
        <f t="shared" si="15"/>
        <v>0</v>
      </c>
      <c r="AY49" s="10">
        <f t="shared" si="16"/>
        <v>0</v>
      </c>
      <c r="AZ49" s="10">
        <f t="shared" si="17"/>
        <v>0</v>
      </c>
      <c r="BA49" s="10">
        <f t="shared" si="18"/>
        <v>0</v>
      </c>
      <c r="BB49" s="40">
        <f t="shared" si="12"/>
        <v>0</v>
      </c>
      <c r="BC49" s="11">
        <f t="shared" si="19"/>
        <v>0</v>
      </c>
      <c r="BD49" s="41"/>
      <c r="BE49" s="19"/>
      <c r="BF49" s="66"/>
      <c r="BG49" s="66"/>
      <c r="BH49" s="66"/>
      <c r="BI49" s="66"/>
      <c r="BJ49" s="26">
        <f t="shared" si="20"/>
        <v>0</v>
      </c>
      <c r="BK49" s="26">
        <f t="shared" si="21"/>
        <v>0</v>
      </c>
      <c r="BL49" s="19"/>
      <c r="BM49" s="42"/>
    </row>
    <row r="50" spans="1:65" s="3" customFormat="1">
      <c r="A50" s="49">
        <f t="shared" si="11"/>
        <v>43</v>
      </c>
      <c r="B50" s="39">
        <v>43647</v>
      </c>
      <c r="C50" s="70"/>
      <c r="D50" s="68"/>
      <c r="E50" s="68"/>
      <c r="F50" s="67"/>
      <c r="G50" s="68"/>
      <c r="H50" s="68"/>
      <c r="I50" s="69"/>
      <c r="J50" s="69"/>
      <c r="K50" s="76"/>
      <c r="L50" s="76"/>
      <c r="M50" s="77"/>
      <c r="N50" s="71"/>
      <c r="O50" s="78"/>
      <c r="P50" s="78"/>
      <c r="Q50" s="78"/>
      <c r="R50" s="78"/>
      <c r="S50" s="77"/>
      <c r="T50" s="78"/>
      <c r="U50" s="77"/>
      <c r="V50" s="77"/>
      <c r="W50" s="78"/>
      <c r="X50" s="79"/>
      <c r="Y50" s="79"/>
      <c r="Z50" s="79"/>
      <c r="AA50" s="79"/>
      <c r="AB50" s="77"/>
      <c r="AC50" s="77"/>
      <c r="AD50" s="77"/>
      <c r="AE50" s="77"/>
      <c r="AF50" s="80"/>
      <c r="AG50" s="81"/>
      <c r="AH50" s="19"/>
      <c r="AI50" s="97"/>
      <c r="AJ50" s="98"/>
      <c r="AK50" s="99"/>
      <c r="AL50" s="100"/>
      <c r="AM50" s="98"/>
      <c r="AN50" s="98"/>
      <c r="AO50" s="97"/>
      <c r="AP50" s="101"/>
      <c r="AQ50" s="82"/>
      <c r="AR50" s="82"/>
      <c r="AS50" s="83"/>
      <c r="AT50" s="19"/>
      <c r="AU50" s="25">
        <f t="shared" si="13"/>
        <v>0</v>
      </c>
      <c r="AV50" s="25">
        <f t="shared" si="14"/>
        <v>0</v>
      </c>
      <c r="AW50" s="19"/>
      <c r="AX50" s="10">
        <f t="shared" si="15"/>
        <v>0</v>
      </c>
      <c r="AY50" s="10">
        <f t="shared" si="16"/>
        <v>0</v>
      </c>
      <c r="AZ50" s="10">
        <f t="shared" si="17"/>
        <v>0</v>
      </c>
      <c r="BA50" s="10">
        <f t="shared" si="18"/>
        <v>0</v>
      </c>
      <c r="BB50" s="40">
        <f t="shared" si="12"/>
        <v>0</v>
      </c>
      <c r="BC50" s="11">
        <f t="shared" si="19"/>
        <v>0</v>
      </c>
      <c r="BD50" s="41"/>
      <c r="BE50" s="19"/>
      <c r="BF50" s="66"/>
      <c r="BG50" s="66"/>
      <c r="BH50" s="66"/>
      <c r="BI50" s="66"/>
      <c r="BJ50" s="26">
        <f t="shared" si="20"/>
        <v>0</v>
      </c>
      <c r="BK50" s="26">
        <f t="shared" si="21"/>
        <v>0</v>
      </c>
      <c r="BL50" s="19"/>
      <c r="BM50" s="42"/>
    </row>
    <row r="51" spans="1:65" s="3" customFormat="1">
      <c r="A51" s="49">
        <f t="shared" si="11"/>
        <v>44</v>
      </c>
      <c r="B51" s="39">
        <v>43647</v>
      </c>
      <c r="C51" s="70"/>
      <c r="D51" s="68"/>
      <c r="E51" s="68"/>
      <c r="F51" s="67"/>
      <c r="G51" s="68"/>
      <c r="H51" s="68"/>
      <c r="I51" s="69"/>
      <c r="J51" s="69"/>
      <c r="K51" s="76"/>
      <c r="L51" s="76"/>
      <c r="M51" s="77"/>
      <c r="N51" s="71"/>
      <c r="O51" s="78"/>
      <c r="P51" s="78"/>
      <c r="Q51" s="78"/>
      <c r="R51" s="78"/>
      <c r="S51" s="77"/>
      <c r="T51" s="78"/>
      <c r="U51" s="77"/>
      <c r="V51" s="77"/>
      <c r="W51" s="78"/>
      <c r="X51" s="79"/>
      <c r="Y51" s="79"/>
      <c r="Z51" s="79"/>
      <c r="AA51" s="79"/>
      <c r="AB51" s="77"/>
      <c r="AC51" s="77"/>
      <c r="AD51" s="77"/>
      <c r="AE51" s="77"/>
      <c r="AF51" s="80"/>
      <c r="AG51" s="81"/>
      <c r="AH51" s="19"/>
      <c r="AI51" s="97"/>
      <c r="AJ51" s="98"/>
      <c r="AK51" s="99"/>
      <c r="AL51" s="100"/>
      <c r="AM51" s="98"/>
      <c r="AN51" s="98"/>
      <c r="AO51" s="97"/>
      <c r="AP51" s="101"/>
      <c r="AQ51" s="82"/>
      <c r="AR51" s="82"/>
      <c r="AS51" s="83"/>
      <c r="AT51" s="19"/>
      <c r="AU51" s="25">
        <f t="shared" si="13"/>
        <v>0</v>
      </c>
      <c r="AV51" s="25">
        <f t="shared" si="14"/>
        <v>0</v>
      </c>
      <c r="AW51" s="19"/>
      <c r="AX51" s="10">
        <f t="shared" si="15"/>
        <v>0</v>
      </c>
      <c r="AY51" s="10">
        <f t="shared" si="16"/>
        <v>0</v>
      </c>
      <c r="AZ51" s="10">
        <f t="shared" si="17"/>
        <v>0</v>
      </c>
      <c r="BA51" s="10">
        <f t="shared" si="18"/>
        <v>0</v>
      </c>
      <c r="BB51" s="40">
        <f t="shared" si="12"/>
        <v>0</v>
      </c>
      <c r="BC51" s="11">
        <f t="shared" si="19"/>
        <v>0</v>
      </c>
      <c r="BD51" s="41"/>
      <c r="BE51" s="19"/>
      <c r="BF51" s="66"/>
      <c r="BG51" s="66"/>
      <c r="BH51" s="66"/>
      <c r="BI51" s="66"/>
      <c r="BJ51" s="26">
        <f t="shared" si="20"/>
        <v>0</v>
      </c>
      <c r="BK51" s="26">
        <f t="shared" si="21"/>
        <v>0</v>
      </c>
      <c r="BL51" s="19"/>
      <c r="BM51" s="42"/>
    </row>
    <row r="52" spans="1:65" s="3" customFormat="1">
      <c r="A52" s="49">
        <f t="shared" si="11"/>
        <v>45</v>
      </c>
      <c r="B52" s="39">
        <v>43647</v>
      </c>
      <c r="C52" s="70"/>
      <c r="D52" s="68"/>
      <c r="E52" s="68"/>
      <c r="F52" s="67"/>
      <c r="G52" s="68"/>
      <c r="H52" s="68"/>
      <c r="I52" s="69"/>
      <c r="J52" s="69"/>
      <c r="K52" s="76"/>
      <c r="L52" s="76"/>
      <c r="M52" s="77"/>
      <c r="N52" s="71"/>
      <c r="O52" s="78"/>
      <c r="P52" s="78"/>
      <c r="Q52" s="78"/>
      <c r="R52" s="78"/>
      <c r="S52" s="77"/>
      <c r="T52" s="78"/>
      <c r="U52" s="77"/>
      <c r="V52" s="77"/>
      <c r="W52" s="78"/>
      <c r="X52" s="79"/>
      <c r="Y52" s="79"/>
      <c r="Z52" s="79"/>
      <c r="AA52" s="79"/>
      <c r="AB52" s="77"/>
      <c r="AC52" s="77"/>
      <c r="AD52" s="77"/>
      <c r="AE52" s="77"/>
      <c r="AF52" s="80"/>
      <c r="AG52" s="81"/>
      <c r="AH52" s="19"/>
      <c r="AI52" s="97"/>
      <c r="AJ52" s="98"/>
      <c r="AK52" s="99"/>
      <c r="AL52" s="100"/>
      <c r="AM52" s="98"/>
      <c r="AN52" s="98"/>
      <c r="AO52" s="97"/>
      <c r="AP52" s="101"/>
      <c r="AQ52" s="82"/>
      <c r="AR52" s="82"/>
      <c r="AS52" s="83"/>
      <c r="AT52" s="19"/>
      <c r="AU52" s="25">
        <f t="shared" si="13"/>
        <v>0</v>
      </c>
      <c r="AV52" s="25">
        <f t="shared" si="14"/>
        <v>0</v>
      </c>
      <c r="AW52" s="19"/>
      <c r="AX52" s="10">
        <f t="shared" si="15"/>
        <v>0</v>
      </c>
      <c r="AY52" s="10">
        <f t="shared" si="16"/>
        <v>0</v>
      </c>
      <c r="AZ52" s="10">
        <f t="shared" si="17"/>
        <v>0</v>
      </c>
      <c r="BA52" s="10">
        <f t="shared" si="18"/>
        <v>0</v>
      </c>
      <c r="BB52" s="40">
        <f t="shared" si="12"/>
        <v>0</v>
      </c>
      <c r="BC52" s="11">
        <f t="shared" si="19"/>
        <v>0</v>
      </c>
      <c r="BD52" s="41"/>
      <c r="BE52" s="19"/>
      <c r="BF52" s="66"/>
      <c r="BG52" s="66"/>
      <c r="BH52" s="66"/>
      <c r="BI52" s="66"/>
      <c r="BJ52" s="26">
        <f t="shared" si="20"/>
        <v>0</v>
      </c>
      <c r="BK52" s="26">
        <f t="shared" si="21"/>
        <v>0</v>
      </c>
      <c r="BL52" s="19"/>
      <c r="BM52" s="42"/>
    </row>
    <row r="53" spans="1:65" s="3" customFormat="1">
      <c r="A53" s="49">
        <f t="shared" si="11"/>
        <v>46</v>
      </c>
      <c r="B53" s="39">
        <v>43647</v>
      </c>
      <c r="C53" s="70"/>
      <c r="D53" s="68"/>
      <c r="E53" s="68"/>
      <c r="F53" s="67"/>
      <c r="G53" s="68"/>
      <c r="H53" s="68"/>
      <c r="I53" s="69"/>
      <c r="J53" s="69"/>
      <c r="K53" s="76"/>
      <c r="L53" s="76"/>
      <c r="M53" s="77"/>
      <c r="N53" s="71"/>
      <c r="O53" s="78"/>
      <c r="P53" s="78"/>
      <c r="Q53" s="78"/>
      <c r="R53" s="78"/>
      <c r="S53" s="77"/>
      <c r="T53" s="78"/>
      <c r="U53" s="77"/>
      <c r="V53" s="77"/>
      <c r="W53" s="78"/>
      <c r="X53" s="79"/>
      <c r="Y53" s="79"/>
      <c r="Z53" s="79"/>
      <c r="AA53" s="79"/>
      <c r="AB53" s="77"/>
      <c r="AC53" s="77"/>
      <c r="AD53" s="77"/>
      <c r="AE53" s="77"/>
      <c r="AF53" s="80"/>
      <c r="AG53" s="81"/>
      <c r="AH53" s="19"/>
      <c r="AI53" s="97"/>
      <c r="AJ53" s="98"/>
      <c r="AK53" s="99"/>
      <c r="AL53" s="100"/>
      <c r="AM53" s="98"/>
      <c r="AN53" s="98"/>
      <c r="AO53" s="97"/>
      <c r="AP53" s="101"/>
      <c r="AQ53" s="82"/>
      <c r="AR53" s="82"/>
      <c r="AS53" s="83"/>
      <c r="AT53" s="19"/>
      <c r="AU53" s="25">
        <f t="shared" si="13"/>
        <v>0</v>
      </c>
      <c r="AV53" s="25">
        <f t="shared" si="14"/>
        <v>0</v>
      </c>
      <c r="AW53" s="19"/>
      <c r="AX53" s="10">
        <f t="shared" si="15"/>
        <v>0</v>
      </c>
      <c r="AY53" s="10">
        <f t="shared" si="16"/>
        <v>0</v>
      </c>
      <c r="AZ53" s="10">
        <f t="shared" si="17"/>
        <v>0</v>
      </c>
      <c r="BA53" s="10">
        <f t="shared" si="18"/>
        <v>0</v>
      </c>
      <c r="BB53" s="40">
        <f t="shared" si="12"/>
        <v>0</v>
      </c>
      <c r="BC53" s="11">
        <f t="shared" si="19"/>
        <v>0</v>
      </c>
      <c r="BD53" s="41"/>
      <c r="BE53" s="19"/>
      <c r="BF53" s="66"/>
      <c r="BG53" s="66"/>
      <c r="BH53" s="66"/>
      <c r="BI53" s="66"/>
      <c r="BJ53" s="26">
        <f t="shared" si="20"/>
        <v>0</v>
      </c>
      <c r="BK53" s="26">
        <f t="shared" si="21"/>
        <v>0</v>
      </c>
      <c r="BL53" s="19"/>
      <c r="BM53" s="42"/>
    </row>
    <row r="54" spans="1:65" s="3" customFormat="1">
      <c r="A54" s="49">
        <f t="shared" si="11"/>
        <v>47</v>
      </c>
      <c r="B54" s="39">
        <v>43647</v>
      </c>
      <c r="C54" s="70"/>
      <c r="D54" s="68"/>
      <c r="E54" s="68"/>
      <c r="F54" s="67"/>
      <c r="G54" s="68"/>
      <c r="H54" s="68"/>
      <c r="I54" s="69"/>
      <c r="J54" s="69"/>
      <c r="K54" s="76"/>
      <c r="L54" s="76"/>
      <c r="M54" s="77"/>
      <c r="N54" s="71"/>
      <c r="O54" s="78"/>
      <c r="P54" s="78"/>
      <c r="Q54" s="78"/>
      <c r="R54" s="78"/>
      <c r="S54" s="77"/>
      <c r="T54" s="78"/>
      <c r="U54" s="77"/>
      <c r="V54" s="77"/>
      <c r="W54" s="78"/>
      <c r="X54" s="79"/>
      <c r="Y54" s="79"/>
      <c r="Z54" s="79"/>
      <c r="AA54" s="79"/>
      <c r="AB54" s="77"/>
      <c r="AC54" s="77"/>
      <c r="AD54" s="77"/>
      <c r="AE54" s="77"/>
      <c r="AF54" s="80"/>
      <c r="AG54" s="81"/>
      <c r="AH54" s="19"/>
      <c r="AI54" s="97"/>
      <c r="AJ54" s="98"/>
      <c r="AK54" s="99"/>
      <c r="AL54" s="100"/>
      <c r="AM54" s="98"/>
      <c r="AN54" s="98"/>
      <c r="AO54" s="97"/>
      <c r="AP54" s="101"/>
      <c r="AQ54" s="82"/>
      <c r="AR54" s="82"/>
      <c r="AS54" s="83"/>
      <c r="AT54" s="19"/>
      <c r="AU54" s="25">
        <f t="shared" si="13"/>
        <v>0</v>
      </c>
      <c r="AV54" s="25">
        <f t="shared" si="14"/>
        <v>0</v>
      </c>
      <c r="AW54" s="19"/>
      <c r="AX54" s="10">
        <f t="shared" si="15"/>
        <v>0</v>
      </c>
      <c r="AY54" s="10">
        <f t="shared" si="16"/>
        <v>0</v>
      </c>
      <c r="AZ54" s="10">
        <f t="shared" si="17"/>
        <v>0</v>
      </c>
      <c r="BA54" s="10">
        <f t="shared" si="18"/>
        <v>0</v>
      </c>
      <c r="BB54" s="40">
        <f t="shared" si="12"/>
        <v>0</v>
      </c>
      <c r="BC54" s="11">
        <f t="shared" si="19"/>
        <v>0</v>
      </c>
      <c r="BD54" s="41"/>
      <c r="BE54" s="19"/>
      <c r="BF54" s="66"/>
      <c r="BG54" s="66"/>
      <c r="BH54" s="66"/>
      <c r="BI54" s="66"/>
      <c r="BJ54" s="26">
        <f t="shared" si="20"/>
        <v>0</v>
      </c>
      <c r="BK54" s="26">
        <f t="shared" si="21"/>
        <v>0</v>
      </c>
      <c r="BL54" s="19"/>
      <c r="BM54" s="42"/>
    </row>
    <row r="55" spans="1:65" s="3" customFormat="1">
      <c r="A55" s="49">
        <f t="shared" si="11"/>
        <v>48</v>
      </c>
      <c r="B55" s="39">
        <v>43647</v>
      </c>
      <c r="C55" s="70"/>
      <c r="D55" s="68"/>
      <c r="E55" s="68"/>
      <c r="F55" s="67"/>
      <c r="G55" s="68"/>
      <c r="H55" s="68"/>
      <c r="I55" s="69"/>
      <c r="J55" s="69"/>
      <c r="K55" s="76"/>
      <c r="L55" s="76"/>
      <c r="M55" s="77"/>
      <c r="N55" s="71"/>
      <c r="O55" s="78"/>
      <c r="P55" s="78"/>
      <c r="Q55" s="78"/>
      <c r="R55" s="78"/>
      <c r="S55" s="77"/>
      <c r="T55" s="78"/>
      <c r="U55" s="77"/>
      <c r="V55" s="77"/>
      <c r="W55" s="78"/>
      <c r="X55" s="79"/>
      <c r="Y55" s="79"/>
      <c r="Z55" s="79"/>
      <c r="AA55" s="79"/>
      <c r="AB55" s="77"/>
      <c r="AC55" s="77"/>
      <c r="AD55" s="77"/>
      <c r="AE55" s="77"/>
      <c r="AF55" s="80"/>
      <c r="AG55" s="81"/>
      <c r="AH55" s="19"/>
      <c r="AI55" s="97"/>
      <c r="AJ55" s="98"/>
      <c r="AK55" s="99"/>
      <c r="AL55" s="100"/>
      <c r="AM55" s="98"/>
      <c r="AN55" s="98"/>
      <c r="AO55" s="97"/>
      <c r="AP55" s="101"/>
      <c r="AQ55" s="82"/>
      <c r="AR55" s="82"/>
      <c r="AS55" s="83"/>
      <c r="AT55" s="19"/>
      <c r="AU55" s="25">
        <f t="shared" si="13"/>
        <v>0</v>
      </c>
      <c r="AV55" s="25">
        <f t="shared" si="14"/>
        <v>0</v>
      </c>
      <c r="AW55" s="19"/>
      <c r="AX55" s="10">
        <f t="shared" si="15"/>
        <v>0</v>
      </c>
      <c r="AY55" s="10">
        <f t="shared" si="16"/>
        <v>0</v>
      </c>
      <c r="AZ55" s="10">
        <f t="shared" si="17"/>
        <v>0</v>
      </c>
      <c r="BA55" s="10">
        <f t="shared" si="18"/>
        <v>0</v>
      </c>
      <c r="BB55" s="40">
        <f t="shared" si="12"/>
        <v>0</v>
      </c>
      <c r="BC55" s="11">
        <f t="shared" si="19"/>
        <v>0</v>
      </c>
      <c r="BD55" s="41"/>
      <c r="BE55" s="19"/>
      <c r="BF55" s="66"/>
      <c r="BG55" s="66"/>
      <c r="BH55" s="66"/>
      <c r="BI55" s="66"/>
      <c r="BJ55" s="26">
        <f t="shared" si="20"/>
        <v>0</v>
      </c>
      <c r="BK55" s="26">
        <f t="shared" si="21"/>
        <v>0</v>
      </c>
      <c r="BL55" s="19"/>
      <c r="BM55" s="42"/>
    </row>
    <row r="56" spans="1:65" s="3" customFormat="1">
      <c r="A56" s="49">
        <f t="shared" si="11"/>
        <v>49</v>
      </c>
      <c r="B56" s="39">
        <v>43647</v>
      </c>
      <c r="C56" s="70"/>
      <c r="D56" s="68"/>
      <c r="E56" s="68"/>
      <c r="F56" s="67"/>
      <c r="G56" s="68"/>
      <c r="H56" s="68"/>
      <c r="I56" s="69"/>
      <c r="J56" s="69"/>
      <c r="K56" s="76"/>
      <c r="L56" s="76"/>
      <c r="M56" s="77"/>
      <c r="N56" s="71"/>
      <c r="O56" s="78"/>
      <c r="P56" s="78"/>
      <c r="Q56" s="78"/>
      <c r="R56" s="78"/>
      <c r="S56" s="77"/>
      <c r="T56" s="78"/>
      <c r="U56" s="77"/>
      <c r="V56" s="77"/>
      <c r="W56" s="78"/>
      <c r="X56" s="79"/>
      <c r="Y56" s="79"/>
      <c r="Z56" s="79"/>
      <c r="AA56" s="79"/>
      <c r="AB56" s="77"/>
      <c r="AC56" s="77"/>
      <c r="AD56" s="77"/>
      <c r="AE56" s="77"/>
      <c r="AF56" s="80"/>
      <c r="AG56" s="81"/>
      <c r="AH56" s="19"/>
      <c r="AI56" s="97"/>
      <c r="AJ56" s="98"/>
      <c r="AK56" s="99"/>
      <c r="AL56" s="100"/>
      <c r="AM56" s="98"/>
      <c r="AN56" s="98"/>
      <c r="AO56" s="97"/>
      <c r="AP56" s="101"/>
      <c r="AQ56" s="82"/>
      <c r="AR56" s="82"/>
      <c r="AS56" s="83"/>
      <c r="AT56" s="19"/>
      <c r="AU56" s="25">
        <f t="shared" si="13"/>
        <v>0</v>
      </c>
      <c r="AV56" s="25">
        <f t="shared" si="14"/>
        <v>0</v>
      </c>
      <c r="AW56" s="19"/>
      <c r="AX56" s="10">
        <f t="shared" si="15"/>
        <v>0</v>
      </c>
      <c r="AY56" s="10">
        <f t="shared" si="16"/>
        <v>0</v>
      </c>
      <c r="AZ56" s="10">
        <f t="shared" si="17"/>
        <v>0</v>
      </c>
      <c r="BA56" s="10">
        <f t="shared" si="18"/>
        <v>0</v>
      </c>
      <c r="BB56" s="40">
        <f t="shared" si="12"/>
        <v>0</v>
      </c>
      <c r="BC56" s="11">
        <f t="shared" si="19"/>
        <v>0</v>
      </c>
      <c r="BD56" s="41"/>
      <c r="BE56" s="19"/>
      <c r="BF56" s="66"/>
      <c r="BG56" s="66"/>
      <c r="BH56" s="66"/>
      <c r="BI56" s="66"/>
      <c r="BJ56" s="26">
        <f t="shared" si="20"/>
        <v>0</v>
      </c>
      <c r="BK56" s="26">
        <f t="shared" si="21"/>
        <v>0</v>
      </c>
      <c r="BL56" s="19"/>
      <c r="BM56" s="42"/>
    </row>
    <row r="57" spans="1:65" s="3" customFormat="1">
      <c r="A57" s="49">
        <f t="shared" si="11"/>
        <v>50</v>
      </c>
      <c r="B57" s="39">
        <v>43647</v>
      </c>
      <c r="C57" s="70"/>
      <c r="D57" s="68"/>
      <c r="E57" s="68"/>
      <c r="F57" s="67"/>
      <c r="G57" s="68"/>
      <c r="H57" s="68"/>
      <c r="I57" s="69"/>
      <c r="J57" s="69"/>
      <c r="K57" s="76"/>
      <c r="L57" s="76"/>
      <c r="M57" s="77"/>
      <c r="N57" s="71"/>
      <c r="O57" s="78"/>
      <c r="P57" s="78"/>
      <c r="Q57" s="78"/>
      <c r="R57" s="78"/>
      <c r="S57" s="77"/>
      <c r="T57" s="78"/>
      <c r="U57" s="77"/>
      <c r="V57" s="77"/>
      <c r="W57" s="78"/>
      <c r="X57" s="79"/>
      <c r="Y57" s="79"/>
      <c r="Z57" s="79"/>
      <c r="AA57" s="79"/>
      <c r="AB57" s="77"/>
      <c r="AC57" s="77"/>
      <c r="AD57" s="77"/>
      <c r="AE57" s="77"/>
      <c r="AF57" s="80"/>
      <c r="AG57" s="81"/>
      <c r="AH57" s="19"/>
      <c r="AI57" s="97"/>
      <c r="AJ57" s="98"/>
      <c r="AK57" s="99"/>
      <c r="AL57" s="100"/>
      <c r="AM57" s="98"/>
      <c r="AN57" s="98"/>
      <c r="AO57" s="97"/>
      <c r="AP57" s="101"/>
      <c r="AQ57" s="82"/>
      <c r="AR57" s="82"/>
      <c r="AS57" s="83"/>
      <c r="AT57" s="19"/>
      <c r="AU57" s="25">
        <f t="shared" si="13"/>
        <v>0</v>
      </c>
      <c r="AV57" s="25">
        <f t="shared" si="14"/>
        <v>0</v>
      </c>
      <c r="AW57" s="19"/>
      <c r="AX57" s="10">
        <f t="shared" si="15"/>
        <v>0</v>
      </c>
      <c r="AY57" s="10">
        <f t="shared" si="16"/>
        <v>0</v>
      </c>
      <c r="AZ57" s="10">
        <f t="shared" si="17"/>
        <v>0</v>
      </c>
      <c r="BA57" s="10">
        <f t="shared" si="18"/>
        <v>0</v>
      </c>
      <c r="BB57" s="40">
        <f t="shared" si="12"/>
        <v>0</v>
      </c>
      <c r="BC57" s="11">
        <f t="shared" si="19"/>
        <v>0</v>
      </c>
      <c r="BD57" s="41"/>
      <c r="BE57" s="19"/>
      <c r="BF57" s="66"/>
      <c r="BG57" s="66"/>
      <c r="BH57" s="66"/>
      <c r="BI57" s="66"/>
      <c r="BJ57" s="26">
        <f t="shared" si="20"/>
        <v>0</v>
      </c>
      <c r="BK57" s="26">
        <f t="shared" si="21"/>
        <v>0</v>
      </c>
      <c r="BL57" s="19"/>
      <c r="BM57" s="42"/>
    </row>
    <row r="58" spans="1:65" s="3" customFormat="1">
      <c r="A58" s="49">
        <f t="shared" si="11"/>
        <v>51</v>
      </c>
      <c r="B58" s="39">
        <v>43647</v>
      </c>
      <c r="C58" s="70"/>
      <c r="D58" s="68"/>
      <c r="E58" s="68"/>
      <c r="F58" s="67"/>
      <c r="G58" s="68"/>
      <c r="H58" s="68"/>
      <c r="I58" s="69"/>
      <c r="J58" s="69"/>
      <c r="K58" s="76"/>
      <c r="L58" s="76"/>
      <c r="M58" s="77"/>
      <c r="N58" s="71"/>
      <c r="O58" s="78"/>
      <c r="P58" s="78"/>
      <c r="Q58" s="78"/>
      <c r="R58" s="78"/>
      <c r="S58" s="77"/>
      <c r="T58" s="78"/>
      <c r="U58" s="77"/>
      <c r="V58" s="77"/>
      <c r="W58" s="78"/>
      <c r="X58" s="79"/>
      <c r="Y58" s="79"/>
      <c r="Z58" s="79"/>
      <c r="AA58" s="79"/>
      <c r="AB58" s="77"/>
      <c r="AC58" s="77"/>
      <c r="AD58" s="77"/>
      <c r="AE58" s="77"/>
      <c r="AF58" s="80"/>
      <c r="AG58" s="81"/>
      <c r="AH58" s="19"/>
      <c r="AI58" s="97"/>
      <c r="AJ58" s="98"/>
      <c r="AK58" s="99"/>
      <c r="AL58" s="100"/>
      <c r="AM58" s="98"/>
      <c r="AN58" s="98"/>
      <c r="AO58" s="97"/>
      <c r="AP58" s="101"/>
      <c r="AQ58" s="82"/>
      <c r="AR58" s="82"/>
      <c r="AS58" s="83"/>
      <c r="AT58" s="19"/>
      <c r="AU58" s="25">
        <f t="shared" si="13"/>
        <v>0</v>
      </c>
      <c r="AV58" s="25">
        <f t="shared" si="14"/>
        <v>0</v>
      </c>
      <c r="AW58" s="19"/>
      <c r="AX58" s="10">
        <f t="shared" si="15"/>
        <v>0</v>
      </c>
      <c r="AY58" s="10">
        <f t="shared" si="16"/>
        <v>0</v>
      </c>
      <c r="AZ58" s="10">
        <f t="shared" si="17"/>
        <v>0</v>
      </c>
      <c r="BA58" s="10">
        <f t="shared" si="18"/>
        <v>0</v>
      </c>
      <c r="BB58" s="40">
        <f t="shared" si="12"/>
        <v>0</v>
      </c>
      <c r="BC58" s="11">
        <f t="shared" si="19"/>
        <v>0</v>
      </c>
      <c r="BD58" s="41"/>
      <c r="BE58" s="19"/>
      <c r="BF58" s="66"/>
      <c r="BG58" s="66"/>
      <c r="BH58" s="66"/>
      <c r="BI58" s="66"/>
      <c r="BJ58" s="26">
        <f t="shared" si="20"/>
        <v>0</v>
      </c>
      <c r="BK58" s="26">
        <f t="shared" si="21"/>
        <v>0</v>
      </c>
      <c r="BL58" s="19"/>
      <c r="BM58" s="42"/>
    </row>
    <row r="59" spans="1:65" s="3" customFormat="1">
      <c r="A59" s="49">
        <f t="shared" si="11"/>
        <v>52</v>
      </c>
      <c r="B59" s="39">
        <v>43647</v>
      </c>
      <c r="C59" s="70"/>
      <c r="D59" s="68"/>
      <c r="E59" s="68"/>
      <c r="F59" s="67"/>
      <c r="G59" s="68"/>
      <c r="H59" s="68"/>
      <c r="I59" s="69"/>
      <c r="J59" s="69"/>
      <c r="K59" s="76"/>
      <c r="L59" s="76"/>
      <c r="M59" s="77"/>
      <c r="N59" s="71"/>
      <c r="O59" s="78"/>
      <c r="P59" s="78"/>
      <c r="Q59" s="78"/>
      <c r="R59" s="78"/>
      <c r="S59" s="77"/>
      <c r="T59" s="78"/>
      <c r="U59" s="77"/>
      <c r="V59" s="77"/>
      <c r="W59" s="78"/>
      <c r="X59" s="79"/>
      <c r="Y59" s="79"/>
      <c r="Z59" s="79"/>
      <c r="AA59" s="79"/>
      <c r="AB59" s="77"/>
      <c r="AC59" s="77"/>
      <c r="AD59" s="77"/>
      <c r="AE59" s="77"/>
      <c r="AF59" s="80"/>
      <c r="AG59" s="81"/>
      <c r="AH59" s="19"/>
      <c r="AI59" s="97"/>
      <c r="AJ59" s="98"/>
      <c r="AK59" s="99"/>
      <c r="AL59" s="100"/>
      <c r="AM59" s="98"/>
      <c r="AN59" s="98"/>
      <c r="AO59" s="97"/>
      <c r="AP59" s="101"/>
      <c r="AQ59" s="82"/>
      <c r="AR59" s="82"/>
      <c r="AS59" s="83"/>
      <c r="AT59" s="19"/>
      <c r="AU59" s="25">
        <f t="shared" si="13"/>
        <v>0</v>
      </c>
      <c r="AV59" s="25">
        <f t="shared" si="14"/>
        <v>0</v>
      </c>
      <c r="AW59" s="19"/>
      <c r="AX59" s="10">
        <f t="shared" si="15"/>
        <v>0</v>
      </c>
      <c r="AY59" s="10">
        <f t="shared" si="16"/>
        <v>0</v>
      </c>
      <c r="AZ59" s="10">
        <f t="shared" si="17"/>
        <v>0</v>
      </c>
      <c r="BA59" s="10">
        <f t="shared" si="18"/>
        <v>0</v>
      </c>
      <c r="BB59" s="40">
        <f t="shared" si="12"/>
        <v>0</v>
      </c>
      <c r="BC59" s="11">
        <f t="shared" si="19"/>
        <v>0</v>
      </c>
      <c r="BD59" s="41"/>
      <c r="BE59" s="19"/>
      <c r="BF59" s="66"/>
      <c r="BG59" s="66"/>
      <c r="BH59" s="66"/>
      <c r="BI59" s="66"/>
      <c r="BJ59" s="26">
        <f t="shared" si="20"/>
        <v>0</v>
      </c>
      <c r="BK59" s="26">
        <f t="shared" si="21"/>
        <v>0</v>
      </c>
      <c r="BL59" s="19"/>
      <c r="BM59" s="42"/>
    </row>
    <row r="60" spans="1:65" s="3" customFormat="1">
      <c r="A60" s="49">
        <f t="shared" si="11"/>
        <v>53</v>
      </c>
      <c r="B60" s="39">
        <v>43647</v>
      </c>
      <c r="C60" s="70"/>
      <c r="D60" s="68"/>
      <c r="E60" s="68"/>
      <c r="F60" s="67"/>
      <c r="G60" s="68"/>
      <c r="H60" s="68"/>
      <c r="I60" s="69"/>
      <c r="J60" s="69"/>
      <c r="K60" s="76"/>
      <c r="L60" s="76"/>
      <c r="M60" s="77"/>
      <c r="N60" s="71"/>
      <c r="O60" s="78"/>
      <c r="P60" s="78"/>
      <c r="Q60" s="78"/>
      <c r="R60" s="78"/>
      <c r="S60" s="77"/>
      <c r="T60" s="78"/>
      <c r="U60" s="77"/>
      <c r="V60" s="77"/>
      <c r="W60" s="78"/>
      <c r="X60" s="79"/>
      <c r="Y60" s="79"/>
      <c r="Z60" s="79"/>
      <c r="AA60" s="79"/>
      <c r="AB60" s="77"/>
      <c r="AC60" s="77"/>
      <c r="AD60" s="77"/>
      <c r="AE60" s="77"/>
      <c r="AF60" s="80"/>
      <c r="AG60" s="81"/>
      <c r="AH60" s="19"/>
      <c r="AI60" s="97"/>
      <c r="AJ60" s="98"/>
      <c r="AK60" s="99"/>
      <c r="AL60" s="100"/>
      <c r="AM60" s="98"/>
      <c r="AN60" s="98"/>
      <c r="AO60" s="97"/>
      <c r="AP60" s="101"/>
      <c r="AQ60" s="82"/>
      <c r="AR60" s="82"/>
      <c r="AS60" s="83"/>
      <c r="AT60" s="19"/>
      <c r="AU60" s="25">
        <f t="shared" si="13"/>
        <v>0</v>
      </c>
      <c r="AV60" s="25">
        <f t="shared" si="14"/>
        <v>0</v>
      </c>
      <c r="AW60" s="19"/>
      <c r="AX60" s="10">
        <f t="shared" si="15"/>
        <v>0</v>
      </c>
      <c r="AY60" s="10">
        <f t="shared" si="16"/>
        <v>0</v>
      </c>
      <c r="AZ60" s="10">
        <f t="shared" si="17"/>
        <v>0</v>
      </c>
      <c r="BA60" s="10">
        <f t="shared" si="18"/>
        <v>0</v>
      </c>
      <c r="BB60" s="40">
        <f t="shared" si="12"/>
        <v>0</v>
      </c>
      <c r="BC60" s="11">
        <f t="shared" si="19"/>
        <v>0</v>
      </c>
      <c r="BD60" s="41"/>
      <c r="BE60" s="19"/>
      <c r="BF60" s="66"/>
      <c r="BG60" s="66"/>
      <c r="BH60" s="66"/>
      <c r="BI60" s="66"/>
      <c r="BJ60" s="26">
        <f t="shared" si="20"/>
        <v>0</v>
      </c>
      <c r="BK60" s="26">
        <f t="shared" si="21"/>
        <v>0</v>
      </c>
      <c r="BL60" s="19"/>
      <c r="BM60" s="42"/>
    </row>
    <row r="61" spans="1:65" s="3" customFormat="1">
      <c r="A61" s="49">
        <f t="shared" si="11"/>
        <v>54</v>
      </c>
      <c r="B61" s="39">
        <v>43647</v>
      </c>
      <c r="C61" s="70"/>
      <c r="D61" s="68"/>
      <c r="E61" s="68"/>
      <c r="F61" s="67"/>
      <c r="G61" s="68"/>
      <c r="H61" s="68"/>
      <c r="I61" s="69"/>
      <c r="J61" s="69"/>
      <c r="K61" s="76"/>
      <c r="L61" s="76"/>
      <c r="M61" s="77"/>
      <c r="N61" s="71"/>
      <c r="O61" s="78"/>
      <c r="P61" s="78"/>
      <c r="Q61" s="78"/>
      <c r="R61" s="78"/>
      <c r="S61" s="77"/>
      <c r="T61" s="78"/>
      <c r="U61" s="77"/>
      <c r="V61" s="77"/>
      <c r="W61" s="78"/>
      <c r="X61" s="79"/>
      <c r="Y61" s="79"/>
      <c r="Z61" s="79"/>
      <c r="AA61" s="79"/>
      <c r="AB61" s="77"/>
      <c r="AC61" s="77"/>
      <c r="AD61" s="77"/>
      <c r="AE61" s="77"/>
      <c r="AF61" s="80"/>
      <c r="AG61" s="81"/>
      <c r="AH61" s="19"/>
      <c r="AI61" s="97"/>
      <c r="AJ61" s="98"/>
      <c r="AK61" s="99"/>
      <c r="AL61" s="100"/>
      <c r="AM61" s="98"/>
      <c r="AN61" s="98"/>
      <c r="AO61" s="97"/>
      <c r="AP61" s="101"/>
      <c r="AQ61" s="82"/>
      <c r="AR61" s="82"/>
      <c r="AS61" s="83"/>
      <c r="AT61" s="19"/>
      <c r="AU61" s="25">
        <f t="shared" si="13"/>
        <v>0</v>
      </c>
      <c r="AV61" s="25">
        <f t="shared" si="14"/>
        <v>0</v>
      </c>
      <c r="AW61" s="19"/>
      <c r="AX61" s="10">
        <f t="shared" si="15"/>
        <v>0</v>
      </c>
      <c r="AY61" s="10">
        <f t="shared" si="16"/>
        <v>0</v>
      </c>
      <c r="AZ61" s="10">
        <f t="shared" si="17"/>
        <v>0</v>
      </c>
      <c r="BA61" s="10">
        <f t="shared" si="18"/>
        <v>0</v>
      </c>
      <c r="BB61" s="40">
        <f t="shared" si="12"/>
        <v>0</v>
      </c>
      <c r="BC61" s="11">
        <f t="shared" si="19"/>
        <v>0</v>
      </c>
      <c r="BD61" s="41"/>
      <c r="BE61" s="19"/>
      <c r="BF61" s="66"/>
      <c r="BG61" s="66"/>
      <c r="BH61" s="66"/>
      <c r="BI61" s="66"/>
      <c r="BJ61" s="26">
        <f t="shared" si="20"/>
        <v>0</v>
      </c>
      <c r="BK61" s="26">
        <f t="shared" si="21"/>
        <v>0</v>
      </c>
      <c r="BL61" s="19"/>
      <c r="BM61" s="42"/>
    </row>
    <row r="62" spans="1:65" s="3" customFormat="1">
      <c r="A62" s="49">
        <f t="shared" si="11"/>
        <v>55</v>
      </c>
      <c r="B62" s="39">
        <v>43647</v>
      </c>
      <c r="C62" s="70"/>
      <c r="D62" s="68"/>
      <c r="E62" s="68"/>
      <c r="F62" s="67"/>
      <c r="G62" s="68"/>
      <c r="H62" s="68"/>
      <c r="I62" s="69"/>
      <c r="J62" s="69"/>
      <c r="K62" s="76"/>
      <c r="L62" s="76"/>
      <c r="M62" s="77"/>
      <c r="N62" s="71"/>
      <c r="O62" s="78"/>
      <c r="P62" s="78"/>
      <c r="Q62" s="78"/>
      <c r="R62" s="78"/>
      <c r="S62" s="77"/>
      <c r="T62" s="78"/>
      <c r="U62" s="77"/>
      <c r="V62" s="77"/>
      <c r="W62" s="78"/>
      <c r="X62" s="79"/>
      <c r="Y62" s="79"/>
      <c r="Z62" s="79"/>
      <c r="AA62" s="79"/>
      <c r="AB62" s="77"/>
      <c r="AC62" s="77"/>
      <c r="AD62" s="77"/>
      <c r="AE62" s="77"/>
      <c r="AF62" s="80"/>
      <c r="AG62" s="81"/>
      <c r="AH62" s="19"/>
      <c r="AI62" s="97"/>
      <c r="AJ62" s="98"/>
      <c r="AK62" s="99"/>
      <c r="AL62" s="100"/>
      <c r="AM62" s="98"/>
      <c r="AN62" s="98"/>
      <c r="AO62" s="97"/>
      <c r="AP62" s="101"/>
      <c r="AQ62" s="82"/>
      <c r="AR62" s="82"/>
      <c r="AS62" s="83"/>
      <c r="AT62" s="19"/>
      <c r="AU62" s="25">
        <f t="shared" si="13"/>
        <v>0</v>
      </c>
      <c r="AV62" s="25">
        <f t="shared" si="14"/>
        <v>0</v>
      </c>
      <c r="AW62" s="19"/>
      <c r="AX62" s="10">
        <f t="shared" si="15"/>
        <v>0</v>
      </c>
      <c r="AY62" s="10">
        <f t="shared" si="16"/>
        <v>0</v>
      </c>
      <c r="AZ62" s="10">
        <f t="shared" si="17"/>
        <v>0</v>
      </c>
      <c r="BA62" s="10">
        <f t="shared" si="18"/>
        <v>0</v>
      </c>
      <c r="BB62" s="40">
        <f t="shared" si="12"/>
        <v>0</v>
      </c>
      <c r="BC62" s="11">
        <f t="shared" si="19"/>
        <v>0</v>
      </c>
      <c r="BD62" s="41"/>
      <c r="BE62" s="19"/>
      <c r="BF62" s="66"/>
      <c r="BG62" s="66"/>
      <c r="BH62" s="66"/>
      <c r="BI62" s="66"/>
      <c r="BJ62" s="26">
        <f t="shared" si="20"/>
        <v>0</v>
      </c>
      <c r="BK62" s="26">
        <f t="shared" si="21"/>
        <v>0</v>
      </c>
      <c r="BL62" s="19"/>
      <c r="BM62" s="42"/>
    </row>
    <row r="63" spans="1:65" s="3" customFormat="1">
      <c r="A63" s="49">
        <f t="shared" si="11"/>
        <v>56</v>
      </c>
      <c r="B63" s="39">
        <v>43647</v>
      </c>
      <c r="C63" s="70"/>
      <c r="D63" s="68"/>
      <c r="E63" s="68"/>
      <c r="F63" s="67"/>
      <c r="G63" s="68"/>
      <c r="H63" s="68"/>
      <c r="I63" s="69"/>
      <c r="J63" s="69"/>
      <c r="K63" s="76"/>
      <c r="L63" s="76"/>
      <c r="M63" s="77"/>
      <c r="N63" s="71"/>
      <c r="O63" s="78"/>
      <c r="P63" s="78"/>
      <c r="Q63" s="78"/>
      <c r="R63" s="78"/>
      <c r="S63" s="77"/>
      <c r="T63" s="78"/>
      <c r="U63" s="77"/>
      <c r="V63" s="77"/>
      <c r="W63" s="78"/>
      <c r="X63" s="79"/>
      <c r="Y63" s="79"/>
      <c r="Z63" s="79"/>
      <c r="AA63" s="79"/>
      <c r="AB63" s="77"/>
      <c r="AC63" s="77"/>
      <c r="AD63" s="77"/>
      <c r="AE63" s="77"/>
      <c r="AF63" s="80"/>
      <c r="AG63" s="81"/>
      <c r="AH63" s="19"/>
      <c r="AI63" s="97"/>
      <c r="AJ63" s="98"/>
      <c r="AK63" s="99"/>
      <c r="AL63" s="100"/>
      <c r="AM63" s="98"/>
      <c r="AN63" s="98"/>
      <c r="AO63" s="97"/>
      <c r="AP63" s="101"/>
      <c r="AQ63" s="82"/>
      <c r="AR63" s="82"/>
      <c r="AS63" s="83"/>
      <c r="AT63" s="19"/>
      <c r="AU63" s="25">
        <f t="shared" si="13"/>
        <v>0</v>
      </c>
      <c r="AV63" s="25">
        <f t="shared" si="14"/>
        <v>0</v>
      </c>
      <c r="AW63" s="19"/>
      <c r="AX63" s="10">
        <f t="shared" si="15"/>
        <v>0</v>
      </c>
      <c r="AY63" s="10">
        <f t="shared" si="16"/>
        <v>0</v>
      </c>
      <c r="AZ63" s="10">
        <f t="shared" si="17"/>
        <v>0</v>
      </c>
      <c r="BA63" s="10">
        <f t="shared" si="18"/>
        <v>0</v>
      </c>
      <c r="BB63" s="40">
        <f t="shared" si="12"/>
        <v>0</v>
      </c>
      <c r="BC63" s="11">
        <f t="shared" si="19"/>
        <v>0</v>
      </c>
      <c r="BD63" s="41"/>
      <c r="BE63" s="19"/>
      <c r="BF63" s="66"/>
      <c r="BG63" s="66"/>
      <c r="BH63" s="66"/>
      <c r="BI63" s="66"/>
      <c r="BJ63" s="26">
        <f t="shared" si="20"/>
        <v>0</v>
      </c>
      <c r="BK63" s="26">
        <f t="shared" si="21"/>
        <v>0</v>
      </c>
      <c r="BL63" s="19"/>
      <c r="BM63" s="42"/>
    </row>
    <row r="64" spans="1:65" s="3" customFormat="1">
      <c r="A64" s="49">
        <f t="shared" si="11"/>
        <v>57</v>
      </c>
      <c r="B64" s="39">
        <v>43647</v>
      </c>
      <c r="C64" s="70"/>
      <c r="D64" s="68"/>
      <c r="E64" s="68"/>
      <c r="F64" s="67"/>
      <c r="G64" s="68"/>
      <c r="H64" s="68"/>
      <c r="I64" s="69"/>
      <c r="J64" s="69"/>
      <c r="K64" s="76"/>
      <c r="L64" s="76"/>
      <c r="M64" s="77"/>
      <c r="N64" s="71"/>
      <c r="O64" s="78"/>
      <c r="P64" s="78"/>
      <c r="Q64" s="78"/>
      <c r="R64" s="78"/>
      <c r="S64" s="77"/>
      <c r="T64" s="78"/>
      <c r="U64" s="77"/>
      <c r="V64" s="77"/>
      <c r="W64" s="78"/>
      <c r="X64" s="79"/>
      <c r="Y64" s="79"/>
      <c r="Z64" s="79"/>
      <c r="AA64" s="79"/>
      <c r="AB64" s="77"/>
      <c r="AC64" s="77"/>
      <c r="AD64" s="77"/>
      <c r="AE64" s="77"/>
      <c r="AF64" s="80"/>
      <c r="AG64" s="81"/>
      <c r="AH64" s="19"/>
      <c r="AI64" s="97"/>
      <c r="AJ64" s="98"/>
      <c r="AK64" s="99"/>
      <c r="AL64" s="100"/>
      <c r="AM64" s="98"/>
      <c r="AN64" s="98"/>
      <c r="AO64" s="97"/>
      <c r="AP64" s="101"/>
      <c r="AQ64" s="82"/>
      <c r="AR64" s="82"/>
      <c r="AS64" s="83"/>
      <c r="AT64" s="19"/>
      <c r="AU64" s="25">
        <f t="shared" si="13"/>
        <v>0</v>
      </c>
      <c r="AV64" s="25">
        <f t="shared" si="14"/>
        <v>0</v>
      </c>
      <c r="AW64" s="19"/>
      <c r="AX64" s="10">
        <f t="shared" si="15"/>
        <v>0</v>
      </c>
      <c r="AY64" s="10">
        <f t="shared" si="16"/>
        <v>0</v>
      </c>
      <c r="AZ64" s="10">
        <f t="shared" si="17"/>
        <v>0</v>
      </c>
      <c r="BA64" s="10">
        <f t="shared" si="18"/>
        <v>0</v>
      </c>
      <c r="BB64" s="40">
        <f t="shared" si="12"/>
        <v>0</v>
      </c>
      <c r="BC64" s="11">
        <f t="shared" si="19"/>
        <v>0</v>
      </c>
      <c r="BD64" s="41"/>
      <c r="BE64" s="19"/>
      <c r="BF64" s="66"/>
      <c r="BG64" s="66"/>
      <c r="BH64" s="66"/>
      <c r="BI64" s="66"/>
      <c r="BJ64" s="26">
        <f t="shared" si="20"/>
        <v>0</v>
      </c>
      <c r="BK64" s="26">
        <f t="shared" si="21"/>
        <v>0</v>
      </c>
      <c r="BL64" s="19"/>
      <c r="BM64" s="42"/>
    </row>
    <row r="65" spans="1:65" s="3" customFormat="1">
      <c r="A65" s="49">
        <f t="shared" si="11"/>
        <v>58</v>
      </c>
      <c r="B65" s="39">
        <v>43647</v>
      </c>
      <c r="C65" s="70"/>
      <c r="D65" s="68"/>
      <c r="E65" s="68"/>
      <c r="F65" s="67"/>
      <c r="G65" s="68"/>
      <c r="H65" s="68"/>
      <c r="I65" s="69"/>
      <c r="J65" s="69"/>
      <c r="K65" s="76"/>
      <c r="L65" s="76"/>
      <c r="M65" s="77"/>
      <c r="N65" s="71"/>
      <c r="O65" s="78"/>
      <c r="P65" s="78"/>
      <c r="Q65" s="78"/>
      <c r="R65" s="78"/>
      <c r="S65" s="77"/>
      <c r="T65" s="78"/>
      <c r="U65" s="77"/>
      <c r="V65" s="77"/>
      <c r="W65" s="78"/>
      <c r="X65" s="79"/>
      <c r="Y65" s="79"/>
      <c r="Z65" s="79"/>
      <c r="AA65" s="79"/>
      <c r="AB65" s="77"/>
      <c r="AC65" s="77"/>
      <c r="AD65" s="77"/>
      <c r="AE65" s="77"/>
      <c r="AF65" s="80"/>
      <c r="AG65" s="81"/>
      <c r="AH65" s="19"/>
      <c r="AI65" s="97"/>
      <c r="AJ65" s="98"/>
      <c r="AK65" s="99"/>
      <c r="AL65" s="100"/>
      <c r="AM65" s="98"/>
      <c r="AN65" s="98"/>
      <c r="AO65" s="97"/>
      <c r="AP65" s="101"/>
      <c r="AQ65" s="82"/>
      <c r="AR65" s="82"/>
      <c r="AS65" s="83"/>
      <c r="AT65" s="19"/>
      <c r="AU65" s="25">
        <f t="shared" si="13"/>
        <v>0</v>
      </c>
      <c r="AV65" s="25">
        <f t="shared" si="14"/>
        <v>0</v>
      </c>
      <c r="AW65" s="19"/>
      <c r="AX65" s="10">
        <f t="shared" si="15"/>
        <v>0</v>
      </c>
      <c r="AY65" s="10">
        <f t="shared" si="16"/>
        <v>0</v>
      </c>
      <c r="AZ65" s="10">
        <f t="shared" si="17"/>
        <v>0</v>
      </c>
      <c r="BA65" s="10">
        <f t="shared" si="18"/>
        <v>0</v>
      </c>
      <c r="BB65" s="40">
        <f t="shared" si="12"/>
        <v>0</v>
      </c>
      <c r="BC65" s="11">
        <f t="shared" si="19"/>
        <v>0</v>
      </c>
      <c r="BD65" s="41"/>
      <c r="BE65" s="19"/>
      <c r="BF65" s="66"/>
      <c r="BG65" s="66"/>
      <c r="BH65" s="66"/>
      <c r="BI65" s="66"/>
      <c r="BJ65" s="26">
        <f t="shared" si="20"/>
        <v>0</v>
      </c>
      <c r="BK65" s="26">
        <f t="shared" si="21"/>
        <v>0</v>
      </c>
      <c r="BL65" s="19"/>
      <c r="BM65" s="42"/>
    </row>
    <row r="66" spans="1:65" s="3" customFormat="1">
      <c r="A66" s="49">
        <f t="shared" si="11"/>
        <v>59</v>
      </c>
      <c r="B66" s="39">
        <v>43647</v>
      </c>
      <c r="C66" s="70"/>
      <c r="D66" s="68"/>
      <c r="E66" s="68"/>
      <c r="F66" s="67"/>
      <c r="G66" s="68"/>
      <c r="H66" s="68"/>
      <c r="I66" s="69"/>
      <c r="J66" s="69"/>
      <c r="K66" s="76"/>
      <c r="L66" s="76"/>
      <c r="M66" s="77"/>
      <c r="N66" s="71"/>
      <c r="O66" s="78"/>
      <c r="P66" s="78"/>
      <c r="Q66" s="78"/>
      <c r="R66" s="78"/>
      <c r="S66" s="77"/>
      <c r="T66" s="78"/>
      <c r="U66" s="77"/>
      <c r="V66" s="77"/>
      <c r="W66" s="78"/>
      <c r="X66" s="79"/>
      <c r="Y66" s="79"/>
      <c r="Z66" s="79"/>
      <c r="AA66" s="79"/>
      <c r="AB66" s="77"/>
      <c r="AC66" s="77"/>
      <c r="AD66" s="77"/>
      <c r="AE66" s="77"/>
      <c r="AF66" s="80"/>
      <c r="AG66" s="81"/>
      <c r="AH66" s="19"/>
      <c r="AI66" s="97"/>
      <c r="AJ66" s="98"/>
      <c r="AK66" s="99"/>
      <c r="AL66" s="100"/>
      <c r="AM66" s="98"/>
      <c r="AN66" s="98"/>
      <c r="AO66" s="97"/>
      <c r="AP66" s="101"/>
      <c r="AQ66" s="82"/>
      <c r="AR66" s="82"/>
      <c r="AS66" s="83"/>
      <c r="AT66" s="19"/>
      <c r="AU66" s="25">
        <f t="shared" si="13"/>
        <v>0</v>
      </c>
      <c r="AV66" s="25">
        <f t="shared" si="14"/>
        <v>0</v>
      </c>
      <c r="AW66" s="19"/>
      <c r="AX66" s="10">
        <f t="shared" si="15"/>
        <v>0</v>
      </c>
      <c r="AY66" s="10">
        <f t="shared" si="16"/>
        <v>0</v>
      </c>
      <c r="AZ66" s="10">
        <f t="shared" si="17"/>
        <v>0</v>
      </c>
      <c r="BA66" s="10">
        <f t="shared" si="18"/>
        <v>0</v>
      </c>
      <c r="BB66" s="40">
        <f t="shared" si="12"/>
        <v>0</v>
      </c>
      <c r="BC66" s="11">
        <f t="shared" si="19"/>
        <v>0</v>
      </c>
      <c r="BD66" s="41"/>
      <c r="BE66" s="19"/>
      <c r="BF66" s="66"/>
      <c r="BG66" s="66"/>
      <c r="BH66" s="66"/>
      <c r="BI66" s="66"/>
      <c r="BJ66" s="26">
        <f t="shared" si="20"/>
        <v>0</v>
      </c>
      <c r="BK66" s="26">
        <f t="shared" si="21"/>
        <v>0</v>
      </c>
      <c r="BL66" s="19"/>
      <c r="BM66" s="42"/>
    </row>
    <row r="67" spans="1:65" s="3" customFormat="1">
      <c r="A67" s="49">
        <f t="shared" si="11"/>
        <v>60</v>
      </c>
      <c r="B67" s="39">
        <v>43647</v>
      </c>
      <c r="C67" s="70"/>
      <c r="D67" s="68"/>
      <c r="E67" s="68"/>
      <c r="F67" s="67"/>
      <c r="G67" s="68"/>
      <c r="H67" s="68"/>
      <c r="I67" s="69"/>
      <c r="J67" s="69"/>
      <c r="K67" s="76"/>
      <c r="L67" s="76"/>
      <c r="M67" s="77"/>
      <c r="N67" s="71"/>
      <c r="O67" s="78"/>
      <c r="P67" s="78"/>
      <c r="Q67" s="78"/>
      <c r="R67" s="78"/>
      <c r="S67" s="77"/>
      <c r="T67" s="78"/>
      <c r="U67" s="77"/>
      <c r="V67" s="77"/>
      <c r="W67" s="78"/>
      <c r="X67" s="79"/>
      <c r="Y67" s="79"/>
      <c r="Z67" s="79"/>
      <c r="AA67" s="79"/>
      <c r="AB67" s="77"/>
      <c r="AC67" s="77"/>
      <c r="AD67" s="77"/>
      <c r="AE67" s="77"/>
      <c r="AF67" s="80"/>
      <c r="AG67" s="81"/>
      <c r="AH67" s="19"/>
      <c r="AI67" s="97"/>
      <c r="AJ67" s="98"/>
      <c r="AK67" s="99"/>
      <c r="AL67" s="100"/>
      <c r="AM67" s="98"/>
      <c r="AN67" s="98"/>
      <c r="AO67" s="97"/>
      <c r="AP67" s="101"/>
      <c r="AQ67" s="82"/>
      <c r="AR67" s="82"/>
      <c r="AS67" s="83"/>
      <c r="AT67" s="19"/>
      <c r="AU67" s="25">
        <f t="shared" si="13"/>
        <v>0</v>
      </c>
      <c r="AV67" s="25">
        <f t="shared" si="14"/>
        <v>0</v>
      </c>
      <c r="AW67" s="19"/>
      <c r="AX67" s="10">
        <f t="shared" si="15"/>
        <v>0</v>
      </c>
      <c r="AY67" s="10">
        <f t="shared" si="16"/>
        <v>0</v>
      </c>
      <c r="AZ67" s="10">
        <f t="shared" si="17"/>
        <v>0</v>
      </c>
      <c r="BA67" s="10">
        <f t="shared" si="18"/>
        <v>0</v>
      </c>
      <c r="BB67" s="40">
        <f t="shared" si="12"/>
        <v>0</v>
      </c>
      <c r="BC67" s="11">
        <f t="shared" si="19"/>
        <v>0</v>
      </c>
      <c r="BD67" s="41"/>
      <c r="BE67" s="19"/>
      <c r="BF67" s="66"/>
      <c r="BG67" s="66"/>
      <c r="BH67" s="66"/>
      <c r="BI67" s="66"/>
      <c r="BJ67" s="26">
        <f t="shared" si="20"/>
        <v>0</v>
      </c>
      <c r="BK67" s="26">
        <f t="shared" si="21"/>
        <v>0</v>
      </c>
      <c r="BL67" s="19"/>
      <c r="BM67" s="42"/>
    </row>
    <row r="68" spans="1:65" s="3" customFormat="1">
      <c r="A68" s="49">
        <f t="shared" si="11"/>
        <v>61</v>
      </c>
      <c r="B68" s="39">
        <v>43647</v>
      </c>
      <c r="C68" s="70"/>
      <c r="D68" s="68"/>
      <c r="E68" s="68"/>
      <c r="F68" s="67"/>
      <c r="G68" s="68"/>
      <c r="H68" s="68"/>
      <c r="I68" s="69"/>
      <c r="J68" s="69"/>
      <c r="K68" s="76"/>
      <c r="L68" s="76"/>
      <c r="M68" s="77"/>
      <c r="N68" s="71"/>
      <c r="O68" s="78"/>
      <c r="P68" s="78"/>
      <c r="Q68" s="78"/>
      <c r="R68" s="78"/>
      <c r="S68" s="77"/>
      <c r="T68" s="78"/>
      <c r="U68" s="77"/>
      <c r="V68" s="77"/>
      <c r="W68" s="78"/>
      <c r="X68" s="79"/>
      <c r="Y68" s="79"/>
      <c r="Z68" s="79"/>
      <c r="AA68" s="79"/>
      <c r="AB68" s="77"/>
      <c r="AC68" s="77"/>
      <c r="AD68" s="77"/>
      <c r="AE68" s="77"/>
      <c r="AF68" s="80"/>
      <c r="AG68" s="81"/>
      <c r="AH68" s="19"/>
      <c r="AI68" s="97"/>
      <c r="AJ68" s="98"/>
      <c r="AK68" s="99"/>
      <c r="AL68" s="100"/>
      <c r="AM68" s="98"/>
      <c r="AN68" s="98"/>
      <c r="AO68" s="97"/>
      <c r="AP68" s="101"/>
      <c r="AQ68" s="82"/>
      <c r="AR68" s="82"/>
      <c r="AS68" s="83"/>
      <c r="AT68" s="19"/>
      <c r="AU68" s="25">
        <f t="shared" si="13"/>
        <v>0</v>
      </c>
      <c r="AV68" s="25">
        <f t="shared" si="14"/>
        <v>0</v>
      </c>
      <c r="AW68" s="19"/>
      <c r="AX68" s="10">
        <f t="shared" si="15"/>
        <v>0</v>
      </c>
      <c r="AY68" s="10">
        <f t="shared" si="16"/>
        <v>0</v>
      </c>
      <c r="AZ68" s="10">
        <f t="shared" si="17"/>
        <v>0</v>
      </c>
      <c r="BA68" s="10">
        <f t="shared" si="18"/>
        <v>0</v>
      </c>
      <c r="BB68" s="40">
        <f t="shared" si="12"/>
        <v>0</v>
      </c>
      <c r="BC68" s="11">
        <f t="shared" si="19"/>
        <v>0</v>
      </c>
      <c r="BD68" s="41"/>
      <c r="BE68" s="19"/>
      <c r="BF68" s="66"/>
      <c r="BG68" s="66"/>
      <c r="BH68" s="66"/>
      <c r="BI68" s="66"/>
      <c r="BJ68" s="26">
        <f t="shared" si="20"/>
        <v>0</v>
      </c>
      <c r="BK68" s="26">
        <f t="shared" si="21"/>
        <v>0</v>
      </c>
      <c r="BL68" s="19"/>
      <c r="BM68" s="42"/>
    </row>
    <row r="69" spans="1:65" s="3" customFormat="1">
      <c r="A69" s="49">
        <f t="shared" si="11"/>
        <v>62</v>
      </c>
      <c r="B69" s="39">
        <v>43647</v>
      </c>
      <c r="C69" s="70"/>
      <c r="D69" s="68"/>
      <c r="E69" s="68"/>
      <c r="F69" s="67"/>
      <c r="G69" s="68"/>
      <c r="H69" s="68"/>
      <c r="I69" s="69"/>
      <c r="J69" s="69"/>
      <c r="K69" s="76"/>
      <c r="L69" s="76"/>
      <c r="M69" s="77"/>
      <c r="N69" s="71"/>
      <c r="O69" s="78"/>
      <c r="P69" s="78"/>
      <c r="Q69" s="78"/>
      <c r="R69" s="78"/>
      <c r="S69" s="77"/>
      <c r="T69" s="78"/>
      <c r="U69" s="77"/>
      <c r="V69" s="77"/>
      <c r="W69" s="78"/>
      <c r="X69" s="79"/>
      <c r="Y69" s="79"/>
      <c r="Z69" s="79"/>
      <c r="AA69" s="79"/>
      <c r="AB69" s="77"/>
      <c r="AC69" s="77"/>
      <c r="AD69" s="77"/>
      <c r="AE69" s="77"/>
      <c r="AF69" s="80"/>
      <c r="AG69" s="81"/>
      <c r="AH69" s="19"/>
      <c r="AI69" s="97"/>
      <c r="AJ69" s="98"/>
      <c r="AK69" s="99"/>
      <c r="AL69" s="100"/>
      <c r="AM69" s="98"/>
      <c r="AN69" s="98"/>
      <c r="AO69" s="97"/>
      <c r="AP69" s="101"/>
      <c r="AQ69" s="82"/>
      <c r="AR69" s="82"/>
      <c r="AS69" s="83"/>
      <c r="AT69" s="19"/>
      <c r="AU69" s="25">
        <f t="shared" si="13"/>
        <v>0</v>
      </c>
      <c r="AV69" s="25">
        <f t="shared" si="14"/>
        <v>0</v>
      </c>
      <c r="AW69" s="19"/>
      <c r="AX69" s="10">
        <f t="shared" si="15"/>
        <v>0</v>
      </c>
      <c r="AY69" s="10">
        <f t="shared" si="16"/>
        <v>0</v>
      </c>
      <c r="AZ69" s="10">
        <f t="shared" si="17"/>
        <v>0</v>
      </c>
      <c r="BA69" s="10">
        <f t="shared" si="18"/>
        <v>0</v>
      </c>
      <c r="BB69" s="40">
        <f t="shared" si="12"/>
        <v>0</v>
      </c>
      <c r="BC69" s="11">
        <f t="shared" si="19"/>
        <v>0</v>
      </c>
      <c r="BD69" s="41"/>
      <c r="BE69" s="19"/>
      <c r="BF69" s="66"/>
      <c r="BG69" s="66"/>
      <c r="BH69" s="66"/>
      <c r="BI69" s="66"/>
      <c r="BJ69" s="26">
        <f t="shared" si="20"/>
        <v>0</v>
      </c>
      <c r="BK69" s="26">
        <f t="shared" si="21"/>
        <v>0</v>
      </c>
      <c r="BL69" s="19"/>
      <c r="BM69" s="42"/>
    </row>
    <row r="70" spans="1:65" s="3" customFormat="1">
      <c r="A70" s="49">
        <f t="shared" si="11"/>
        <v>63</v>
      </c>
      <c r="B70" s="39">
        <v>43647</v>
      </c>
      <c r="C70" s="70"/>
      <c r="D70" s="68"/>
      <c r="E70" s="68"/>
      <c r="F70" s="67"/>
      <c r="G70" s="68"/>
      <c r="H70" s="68"/>
      <c r="I70" s="69"/>
      <c r="J70" s="69"/>
      <c r="K70" s="76"/>
      <c r="L70" s="76"/>
      <c r="M70" s="77"/>
      <c r="N70" s="71"/>
      <c r="O70" s="78"/>
      <c r="P70" s="78"/>
      <c r="Q70" s="78"/>
      <c r="R70" s="78"/>
      <c r="S70" s="77"/>
      <c r="T70" s="78"/>
      <c r="U70" s="77"/>
      <c r="V70" s="77"/>
      <c r="W70" s="78"/>
      <c r="X70" s="79"/>
      <c r="Y70" s="79"/>
      <c r="Z70" s="79"/>
      <c r="AA70" s="79"/>
      <c r="AB70" s="77"/>
      <c r="AC70" s="77"/>
      <c r="AD70" s="77"/>
      <c r="AE70" s="77"/>
      <c r="AF70" s="80"/>
      <c r="AG70" s="81"/>
      <c r="AH70" s="19"/>
      <c r="AI70" s="97"/>
      <c r="AJ70" s="98"/>
      <c r="AK70" s="99"/>
      <c r="AL70" s="100"/>
      <c r="AM70" s="98"/>
      <c r="AN70" s="98"/>
      <c r="AO70" s="97"/>
      <c r="AP70" s="101"/>
      <c r="AQ70" s="82"/>
      <c r="AR70" s="82"/>
      <c r="AS70" s="83"/>
      <c r="AT70" s="19"/>
      <c r="AU70" s="25">
        <f t="shared" si="13"/>
        <v>0</v>
      </c>
      <c r="AV70" s="25">
        <f t="shared" si="14"/>
        <v>0</v>
      </c>
      <c r="AW70" s="19"/>
      <c r="AX70" s="10">
        <f t="shared" si="15"/>
        <v>0</v>
      </c>
      <c r="AY70" s="10">
        <f t="shared" si="16"/>
        <v>0</v>
      </c>
      <c r="AZ70" s="10">
        <f t="shared" si="17"/>
        <v>0</v>
      </c>
      <c r="BA70" s="10">
        <f t="shared" si="18"/>
        <v>0</v>
      </c>
      <c r="BB70" s="40">
        <f t="shared" si="12"/>
        <v>0</v>
      </c>
      <c r="BC70" s="11">
        <f t="shared" si="19"/>
        <v>0</v>
      </c>
      <c r="BD70" s="41"/>
      <c r="BE70" s="19"/>
      <c r="BF70" s="66"/>
      <c r="BG70" s="66"/>
      <c r="BH70" s="66"/>
      <c r="BI70" s="66"/>
      <c r="BJ70" s="26">
        <f t="shared" si="20"/>
        <v>0</v>
      </c>
      <c r="BK70" s="26">
        <f t="shared" si="21"/>
        <v>0</v>
      </c>
      <c r="BL70" s="19"/>
      <c r="BM70" s="42"/>
    </row>
    <row r="71" spans="1:65" s="3" customFormat="1">
      <c r="A71" s="49">
        <f t="shared" si="11"/>
        <v>64</v>
      </c>
      <c r="B71" s="39">
        <v>43647</v>
      </c>
      <c r="C71" s="70"/>
      <c r="D71" s="68"/>
      <c r="E71" s="68"/>
      <c r="F71" s="67"/>
      <c r="G71" s="68"/>
      <c r="H71" s="68"/>
      <c r="I71" s="69"/>
      <c r="J71" s="69"/>
      <c r="K71" s="76"/>
      <c r="L71" s="76"/>
      <c r="M71" s="77"/>
      <c r="N71" s="71"/>
      <c r="O71" s="78"/>
      <c r="P71" s="78"/>
      <c r="Q71" s="78"/>
      <c r="R71" s="78"/>
      <c r="S71" s="77"/>
      <c r="T71" s="78"/>
      <c r="U71" s="77"/>
      <c r="V71" s="77"/>
      <c r="W71" s="78"/>
      <c r="X71" s="79"/>
      <c r="Y71" s="79"/>
      <c r="Z71" s="79"/>
      <c r="AA71" s="79"/>
      <c r="AB71" s="77"/>
      <c r="AC71" s="77"/>
      <c r="AD71" s="77"/>
      <c r="AE71" s="77"/>
      <c r="AF71" s="80"/>
      <c r="AG71" s="81"/>
      <c r="AH71" s="19"/>
      <c r="AI71" s="97"/>
      <c r="AJ71" s="98"/>
      <c r="AK71" s="99"/>
      <c r="AL71" s="100"/>
      <c r="AM71" s="98"/>
      <c r="AN71" s="98"/>
      <c r="AO71" s="97"/>
      <c r="AP71" s="101"/>
      <c r="AQ71" s="82"/>
      <c r="AR71" s="82"/>
      <c r="AS71" s="83"/>
      <c r="AT71" s="19"/>
      <c r="AU71" s="25">
        <f t="shared" si="13"/>
        <v>0</v>
      </c>
      <c r="AV71" s="25">
        <f t="shared" si="14"/>
        <v>0</v>
      </c>
      <c r="AW71" s="19"/>
      <c r="AX71" s="10">
        <f t="shared" si="15"/>
        <v>0</v>
      </c>
      <c r="AY71" s="10">
        <f t="shared" si="16"/>
        <v>0</v>
      </c>
      <c r="AZ71" s="10">
        <f t="shared" si="17"/>
        <v>0</v>
      </c>
      <c r="BA71" s="10">
        <f t="shared" si="18"/>
        <v>0</v>
      </c>
      <c r="BB71" s="40">
        <f t="shared" si="12"/>
        <v>0</v>
      </c>
      <c r="BC71" s="11">
        <f t="shared" si="19"/>
        <v>0</v>
      </c>
      <c r="BD71" s="41"/>
      <c r="BE71" s="19"/>
      <c r="BF71" s="66"/>
      <c r="BG71" s="66"/>
      <c r="BH71" s="66"/>
      <c r="BI71" s="66"/>
      <c r="BJ71" s="26">
        <f t="shared" si="20"/>
        <v>0</v>
      </c>
      <c r="BK71" s="26">
        <f t="shared" si="21"/>
        <v>0</v>
      </c>
      <c r="BL71" s="19"/>
      <c r="BM71" s="42"/>
    </row>
    <row r="72" spans="1:65" s="3" customFormat="1">
      <c r="A72" s="49">
        <f t="shared" si="11"/>
        <v>65</v>
      </c>
      <c r="B72" s="39"/>
      <c r="C72" s="70"/>
      <c r="D72" s="68"/>
      <c r="E72" s="68"/>
      <c r="F72" s="67"/>
      <c r="G72" s="68"/>
      <c r="H72" s="68"/>
      <c r="I72" s="69"/>
      <c r="J72" s="69"/>
      <c r="K72" s="76"/>
      <c r="L72" s="76"/>
      <c r="M72" s="77"/>
      <c r="N72" s="71"/>
      <c r="O72" s="78"/>
      <c r="P72" s="78"/>
      <c r="Q72" s="78"/>
      <c r="R72" s="78"/>
      <c r="S72" s="77"/>
      <c r="T72" s="78"/>
      <c r="U72" s="77"/>
      <c r="V72" s="77"/>
      <c r="W72" s="78"/>
      <c r="X72" s="79"/>
      <c r="Y72" s="79"/>
      <c r="Z72" s="79"/>
      <c r="AA72" s="79"/>
      <c r="AB72" s="77"/>
      <c r="AC72" s="77"/>
      <c r="AD72" s="77"/>
      <c r="AE72" s="77"/>
      <c r="AF72" s="80"/>
      <c r="AG72" s="81"/>
      <c r="AH72" s="19"/>
      <c r="AI72" s="97"/>
      <c r="AJ72" s="98"/>
      <c r="AK72" s="99"/>
      <c r="AL72" s="100"/>
      <c r="AM72" s="98"/>
      <c r="AN72" s="98"/>
      <c r="AO72" s="97"/>
      <c r="AP72" s="101"/>
      <c r="AQ72" s="82"/>
      <c r="AR72" s="82"/>
      <c r="AS72" s="83"/>
      <c r="AT72" s="19"/>
      <c r="AU72" s="25">
        <f t="shared" ref="AU72:AU92" si="22">IF($I72="加入",ROUND(U72*0.006,0),0)</f>
        <v>0</v>
      </c>
      <c r="AV72" s="25">
        <f t="shared" ref="AV72:AV92" si="23">ROUND(U72*0.003,0)</f>
        <v>0</v>
      </c>
      <c r="AW72" s="19"/>
      <c r="AX72" s="10">
        <f t="shared" ref="AX72:AX92" si="24">IF($J72="加入",AB72,0)</f>
        <v>0</v>
      </c>
      <c r="AY72" s="10">
        <f t="shared" ref="AY72:AY92" si="25">IF($J72="加入",AC72,0)</f>
        <v>0</v>
      </c>
      <c r="AZ72" s="10">
        <f t="shared" ref="AZ72:AZ92" si="26">IF($J72="加入",AD72,0)</f>
        <v>0</v>
      </c>
      <c r="BA72" s="10">
        <f t="shared" ref="BA72:BA92" si="27">IF($J72="加入",ROUND(L72*0.0034,0), 0)</f>
        <v>0</v>
      </c>
      <c r="BB72" s="40">
        <f t="shared" si="12"/>
        <v>0</v>
      </c>
      <c r="BC72" s="11">
        <f t="shared" ref="BC72:BC92" si="28">AB72+AC72+AD72</f>
        <v>0</v>
      </c>
      <c r="BD72" s="41"/>
      <c r="BE72" s="19"/>
      <c r="BF72" s="66"/>
      <c r="BG72" s="66"/>
      <c r="BH72" s="66"/>
      <c r="BI72" s="66"/>
      <c r="BJ72" s="26">
        <f t="shared" ref="BJ72:BJ92" si="29">IF(AG72&lt;&gt;"",1,0)</f>
        <v>0</v>
      </c>
      <c r="BK72" s="26">
        <f t="shared" ref="BK72:BK92" si="30">SUM(O72:T72)+SUM(AU72:BA72)-Y72</f>
        <v>0</v>
      </c>
      <c r="BL72" s="19"/>
      <c r="BM72" s="42"/>
    </row>
    <row r="73" spans="1:65" s="3" customFormat="1">
      <c r="A73" s="49">
        <f t="shared" ref="A73:A92" si="31">ROW()-7</f>
        <v>66</v>
      </c>
      <c r="B73" s="39"/>
      <c r="C73" s="70"/>
      <c r="D73" s="68"/>
      <c r="E73" s="68"/>
      <c r="F73" s="67"/>
      <c r="G73" s="68"/>
      <c r="H73" s="68"/>
      <c r="I73" s="69"/>
      <c r="J73" s="69"/>
      <c r="K73" s="76"/>
      <c r="L73" s="76"/>
      <c r="M73" s="77"/>
      <c r="N73" s="71"/>
      <c r="O73" s="78"/>
      <c r="P73" s="78"/>
      <c r="Q73" s="78"/>
      <c r="R73" s="78"/>
      <c r="S73" s="77"/>
      <c r="T73" s="78"/>
      <c r="U73" s="77"/>
      <c r="V73" s="77"/>
      <c r="W73" s="78"/>
      <c r="X73" s="79"/>
      <c r="Y73" s="79"/>
      <c r="Z73" s="79"/>
      <c r="AA73" s="79"/>
      <c r="AB73" s="77"/>
      <c r="AC73" s="77"/>
      <c r="AD73" s="77"/>
      <c r="AE73" s="77"/>
      <c r="AF73" s="80"/>
      <c r="AG73" s="81"/>
      <c r="AH73" s="19"/>
      <c r="AI73" s="97"/>
      <c r="AJ73" s="98"/>
      <c r="AK73" s="99"/>
      <c r="AL73" s="100"/>
      <c r="AM73" s="98"/>
      <c r="AN73" s="98"/>
      <c r="AO73" s="97"/>
      <c r="AP73" s="101"/>
      <c r="AQ73" s="82"/>
      <c r="AR73" s="82"/>
      <c r="AS73" s="83"/>
      <c r="AT73" s="19"/>
      <c r="AU73" s="25">
        <f t="shared" si="22"/>
        <v>0</v>
      </c>
      <c r="AV73" s="25">
        <f t="shared" si="23"/>
        <v>0</v>
      </c>
      <c r="AW73" s="19"/>
      <c r="AX73" s="10">
        <f t="shared" si="24"/>
        <v>0</v>
      </c>
      <c r="AY73" s="10">
        <f t="shared" si="25"/>
        <v>0</v>
      </c>
      <c r="AZ73" s="10">
        <f t="shared" si="26"/>
        <v>0</v>
      </c>
      <c r="BA73" s="10">
        <f t="shared" si="27"/>
        <v>0</v>
      </c>
      <c r="BB73" s="40">
        <f t="shared" ref="BB73:BB91" si="32">AX73+AY73+AZ73+BA73</f>
        <v>0</v>
      </c>
      <c r="BC73" s="11">
        <f t="shared" si="28"/>
        <v>0</v>
      </c>
      <c r="BD73" s="41"/>
      <c r="BE73" s="19"/>
      <c r="BF73" s="66"/>
      <c r="BG73" s="66"/>
      <c r="BH73" s="66"/>
      <c r="BI73" s="66"/>
      <c r="BJ73" s="26">
        <f t="shared" si="29"/>
        <v>0</v>
      </c>
      <c r="BK73" s="26">
        <f t="shared" si="30"/>
        <v>0</v>
      </c>
      <c r="BL73" s="19"/>
      <c r="BM73" s="42"/>
    </row>
    <row r="74" spans="1:65" s="3" customFormat="1">
      <c r="A74" s="49">
        <f t="shared" si="31"/>
        <v>67</v>
      </c>
      <c r="B74" s="39"/>
      <c r="C74" s="70"/>
      <c r="D74" s="68"/>
      <c r="E74" s="68"/>
      <c r="F74" s="67"/>
      <c r="G74" s="68"/>
      <c r="H74" s="68"/>
      <c r="I74" s="69"/>
      <c r="J74" s="69"/>
      <c r="K74" s="76"/>
      <c r="L74" s="76"/>
      <c r="M74" s="77"/>
      <c r="N74" s="71"/>
      <c r="O74" s="78"/>
      <c r="P74" s="78"/>
      <c r="Q74" s="78"/>
      <c r="R74" s="78"/>
      <c r="S74" s="77"/>
      <c r="T74" s="78"/>
      <c r="U74" s="77"/>
      <c r="V74" s="77"/>
      <c r="W74" s="78"/>
      <c r="X74" s="79"/>
      <c r="Y74" s="79"/>
      <c r="Z74" s="79"/>
      <c r="AA74" s="79"/>
      <c r="AB74" s="77"/>
      <c r="AC74" s="77"/>
      <c r="AD74" s="77"/>
      <c r="AE74" s="77"/>
      <c r="AF74" s="80"/>
      <c r="AG74" s="81"/>
      <c r="AH74" s="19"/>
      <c r="AI74" s="97"/>
      <c r="AJ74" s="98"/>
      <c r="AK74" s="99"/>
      <c r="AL74" s="100"/>
      <c r="AM74" s="98"/>
      <c r="AN74" s="98"/>
      <c r="AO74" s="97"/>
      <c r="AP74" s="101"/>
      <c r="AQ74" s="82"/>
      <c r="AR74" s="82"/>
      <c r="AS74" s="83"/>
      <c r="AT74" s="19"/>
      <c r="AU74" s="25">
        <f t="shared" si="22"/>
        <v>0</v>
      </c>
      <c r="AV74" s="25">
        <f t="shared" si="23"/>
        <v>0</v>
      </c>
      <c r="AW74" s="19"/>
      <c r="AX74" s="10">
        <f t="shared" si="24"/>
        <v>0</v>
      </c>
      <c r="AY74" s="10">
        <f t="shared" si="25"/>
        <v>0</v>
      </c>
      <c r="AZ74" s="10">
        <f t="shared" si="26"/>
        <v>0</v>
      </c>
      <c r="BA74" s="10">
        <f t="shared" si="27"/>
        <v>0</v>
      </c>
      <c r="BB74" s="40">
        <f t="shared" si="32"/>
        <v>0</v>
      </c>
      <c r="BC74" s="11">
        <f t="shared" si="28"/>
        <v>0</v>
      </c>
      <c r="BD74" s="41"/>
      <c r="BE74" s="19"/>
      <c r="BF74" s="66"/>
      <c r="BG74" s="66"/>
      <c r="BH74" s="66"/>
      <c r="BI74" s="66"/>
      <c r="BJ74" s="26">
        <f t="shared" si="29"/>
        <v>0</v>
      </c>
      <c r="BK74" s="26">
        <f t="shared" si="30"/>
        <v>0</v>
      </c>
      <c r="BL74" s="19"/>
      <c r="BM74" s="42"/>
    </row>
    <row r="75" spans="1:65" s="3" customFormat="1">
      <c r="A75" s="49">
        <f t="shared" si="31"/>
        <v>68</v>
      </c>
      <c r="B75" s="39"/>
      <c r="C75" s="70"/>
      <c r="D75" s="68"/>
      <c r="E75" s="68"/>
      <c r="F75" s="67"/>
      <c r="G75" s="68"/>
      <c r="H75" s="68"/>
      <c r="I75" s="69"/>
      <c r="J75" s="69"/>
      <c r="K75" s="76"/>
      <c r="L75" s="76"/>
      <c r="M75" s="77"/>
      <c r="N75" s="71"/>
      <c r="O75" s="78"/>
      <c r="P75" s="78"/>
      <c r="Q75" s="78"/>
      <c r="R75" s="78"/>
      <c r="S75" s="77"/>
      <c r="T75" s="78"/>
      <c r="U75" s="77"/>
      <c r="V75" s="77"/>
      <c r="W75" s="78"/>
      <c r="X75" s="79"/>
      <c r="Y75" s="79"/>
      <c r="Z75" s="79"/>
      <c r="AA75" s="79"/>
      <c r="AB75" s="77"/>
      <c r="AC75" s="77"/>
      <c r="AD75" s="77"/>
      <c r="AE75" s="77"/>
      <c r="AF75" s="80"/>
      <c r="AG75" s="81"/>
      <c r="AH75" s="19"/>
      <c r="AI75" s="97"/>
      <c r="AJ75" s="98"/>
      <c r="AK75" s="99"/>
      <c r="AL75" s="100"/>
      <c r="AM75" s="98"/>
      <c r="AN75" s="98"/>
      <c r="AO75" s="97"/>
      <c r="AP75" s="101"/>
      <c r="AQ75" s="82"/>
      <c r="AR75" s="82"/>
      <c r="AS75" s="83"/>
      <c r="AT75" s="19"/>
      <c r="AU75" s="25">
        <f t="shared" si="22"/>
        <v>0</v>
      </c>
      <c r="AV75" s="25">
        <f t="shared" si="23"/>
        <v>0</v>
      </c>
      <c r="AW75" s="19"/>
      <c r="AX75" s="10">
        <f t="shared" si="24"/>
        <v>0</v>
      </c>
      <c r="AY75" s="10">
        <f t="shared" si="25"/>
        <v>0</v>
      </c>
      <c r="AZ75" s="10">
        <f t="shared" si="26"/>
        <v>0</v>
      </c>
      <c r="BA75" s="10">
        <f t="shared" si="27"/>
        <v>0</v>
      </c>
      <c r="BB75" s="40">
        <f t="shared" si="32"/>
        <v>0</v>
      </c>
      <c r="BC75" s="11">
        <f t="shared" si="28"/>
        <v>0</v>
      </c>
      <c r="BD75" s="41"/>
      <c r="BE75" s="19"/>
      <c r="BF75" s="66"/>
      <c r="BG75" s="66"/>
      <c r="BH75" s="66"/>
      <c r="BI75" s="66"/>
      <c r="BJ75" s="26">
        <f t="shared" si="29"/>
        <v>0</v>
      </c>
      <c r="BK75" s="26">
        <f t="shared" si="30"/>
        <v>0</v>
      </c>
      <c r="BL75" s="19"/>
      <c r="BM75" s="42"/>
    </row>
    <row r="76" spans="1:65" s="3" customFormat="1">
      <c r="A76" s="49">
        <f t="shared" si="31"/>
        <v>69</v>
      </c>
      <c r="B76" s="39"/>
      <c r="C76" s="70"/>
      <c r="D76" s="68"/>
      <c r="E76" s="68"/>
      <c r="F76" s="67"/>
      <c r="G76" s="68"/>
      <c r="H76" s="68"/>
      <c r="I76" s="69"/>
      <c r="J76" s="69"/>
      <c r="K76" s="76"/>
      <c r="L76" s="76"/>
      <c r="M76" s="77"/>
      <c r="N76" s="71"/>
      <c r="O76" s="78"/>
      <c r="P76" s="78"/>
      <c r="Q76" s="78"/>
      <c r="R76" s="78"/>
      <c r="S76" s="77"/>
      <c r="T76" s="78"/>
      <c r="U76" s="77"/>
      <c r="V76" s="77"/>
      <c r="W76" s="78"/>
      <c r="X76" s="79"/>
      <c r="Y76" s="79"/>
      <c r="Z76" s="79"/>
      <c r="AA76" s="79"/>
      <c r="AB76" s="77"/>
      <c r="AC76" s="77"/>
      <c r="AD76" s="77"/>
      <c r="AE76" s="77"/>
      <c r="AF76" s="80"/>
      <c r="AG76" s="81"/>
      <c r="AH76" s="19"/>
      <c r="AI76" s="97"/>
      <c r="AJ76" s="98"/>
      <c r="AK76" s="99"/>
      <c r="AL76" s="100"/>
      <c r="AM76" s="98"/>
      <c r="AN76" s="98"/>
      <c r="AO76" s="97"/>
      <c r="AP76" s="101"/>
      <c r="AQ76" s="82"/>
      <c r="AR76" s="82"/>
      <c r="AS76" s="83"/>
      <c r="AT76" s="19"/>
      <c r="AU76" s="25">
        <f t="shared" si="22"/>
        <v>0</v>
      </c>
      <c r="AV76" s="25">
        <f t="shared" si="23"/>
        <v>0</v>
      </c>
      <c r="AW76" s="19"/>
      <c r="AX76" s="10">
        <f t="shared" si="24"/>
        <v>0</v>
      </c>
      <c r="AY76" s="10">
        <f t="shared" si="25"/>
        <v>0</v>
      </c>
      <c r="AZ76" s="10">
        <f t="shared" si="26"/>
        <v>0</v>
      </c>
      <c r="BA76" s="10">
        <f t="shared" si="27"/>
        <v>0</v>
      </c>
      <c r="BB76" s="40">
        <f t="shared" si="32"/>
        <v>0</v>
      </c>
      <c r="BC76" s="11">
        <f t="shared" si="28"/>
        <v>0</v>
      </c>
      <c r="BD76" s="41"/>
      <c r="BE76" s="19"/>
      <c r="BF76" s="66"/>
      <c r="BG76" s="66"/>
      <c r="BH76" s="66"/>
      <c r="BI76" s="66"/>
      <c r="BJ76" s="26">
        <f t="shared" si="29"/>
        <v>0</v>
      </c>
      <c r="BK76" s="26">
        <f t="shared" si="30"/>
        <v>0</v>
      </c>
      <c r="BL76" s="19"/>
      <c r="BM76" s="42"/>
    </row>
    <row r="77" spans="1:65" s="3" customFormat="1">
      <c r="A77" s="49">
        <f t="shared" si="31"/>
        <v>70</v>
      </c>
      <c r="B77" s="39"/>
      <c r="C77" s="70"/>
      <c r="D77" s="68"/>
      <c r="E77" s="68"/>
      <c r="F77" s="67"/>
      <c r="G77" s="68"/>
      <c r="H77" s="68"/>
      <c r="I77" s="69"/>
      <c r="J77" s="69"/>
      <c r="K77" s="76"/>
      <c r="L77" s="76"/>
      <c r="M77" s="77"/>
      <c r="N77" s="71"/>
      <c r="O77" s="78"/>
      <c r="P77" s="78"/>
      <c r="Q77" s="78"/>
      <c r="R77" s="78"/>
      <c r="S77" s="77"/>
      <c r="T77" s="78"/>
      <c r="U77" s="77"/>
      <c r="V77" s="77"/>
      <c r="W77" s="78"/>
      <c r="X77" s="79"/>
      <c r="Y77" s="79"/>
      <c r="Z77" s="79"/>
      <c r="AA77" s="79"/>
      <c r="AB77" s="77"/>
      <c r="AC77" s="77"/>
      <c r="AD77" s="77"/>
      <c r="AE77" s="77"/>
      <c r="AF77" s="80"/>
      <c r="AG77" s="81"/>
      <c r="AH77" s="19"/>
      <c r="AI77" s="97"/>
      <c r="AJ77" s="98"/>
      <c r="AK77" s="99"/>
      <c r="AL77" s="100"/>
      <c r="AM77" s="98"/>
      <c r="AN77" s="98"/>
      <c r="AO77" s="97"/>
      <c r="AP77" s="101"/>
      <c r="AQ77" s="82"/>
      <c r="AR77" s="82"/>
      <c r="AS77" s="83"/>
      <c r="AT77" s="19"/>
      <c r="AU77" s="25">
        <f t="shared" si="22"/>
        <v>0</v>
      </c>
      <c r="AV77" s="25">
        <f t="shared" si="23"/>
        <v>0</v>
      </c>
      <c r="AW77" s="19"/>
      <c r="AX77" s="10">
        <f t="shared" si="24"/>
        <v>0</v>
      </c>
      <c r="AY77" s="10">
        <f t="shared" si="25"/>
        <v>0</v>
      </c>
      <c r="AZ77" s="10">
        <f t="shared" si="26"/>
        <v>0</v>
      </c>
      <c r="BA77" s="10">
        <f t="shared" si="27"/>
        <v>0</v>
      </c>
      <c r="BB77" s="40">
        <f t="shared" si="32"/>
        <v>0</v>
      </c>
      <c r="BC77" s="11">
        <f t="shared" si="28"/>
        <v>0</v>
      </c>
      <c r="BD77" s="41"/>
      <c r="BE77" s="19"/>
      <c r="BF77" s="66"/>
      <c r="BG77" s="66"/>
      <c r="BH77" s="66"/>
      <c r="BI77" s="66"/>
      <c r="BJ77" s="26">
        <f t="shared" si="29"/>
        <v>0</v>
      </c>
      <c r="BK77" s="26">
        <f t="shared" si="30"/>
        <v>0</v>
      </c>
      <c r="BL77" s="19"/>
      <c r="BM77" s="42"/>
    </row>
    <row r="78" spans="1:65" s="3" customFormat="1">
      <c r="A78" s="49">
        <f t="shared" si="31"/>
        <v>71</v>
      </c>
      <c r="B78" s="39"/>
      <c r="C78" s="70"/>
      <c r="D78" s="68"/>
      <c r="E78" s="68"/>
      <c r="F78" s="67"/>
      <c r="G78" s="68"/>
      <c r="H78" s="68"/>
      <c r="I78" s="69"/>
      <c r="J78" s="69"/>
      <c r="K78" s="76"/>
      <c r="L78" s="76"/>
      <c r="M78" s="77"/>
      <c r="N78" s="71"/>
      <c r="O78" s="78"/>
      <c r="P78" s="78"/>
      <c r="Q78" s="78"/>
      <c r="R78" s="78"/>
      <c r="S78" s="77"/>
      <c r="T78" s="78"/>
      <c r="U78" s="77"/>
      <c r="V78" s="77"/>
      <c r="W78" s="78"/>
      <c r="X78" s="79"/>
      <c r="Y78" s="79"/>
      <c r="Z78" s="79"/>
      <c r="AA78" s="79"/>
      <c r="AB78" s="77"/>
      <c r="AC78" s="77"/>
      <c r="AD78" s="77"/>
      <c r="AE78" s="77"/>
      <c r="AF78" s="80"/>
      <c r="AG78" s="81"/>
      <c r="AH78" s="19"/>
      <c r="AI78" s="97"/>
      <c r="AJ78" s="98"/>
      <c r="AK78" s="99"/>
      <c r="AL78" s="100"/>
      <c r="AM78" s="98"/>
      <c r="AN78" s="98"/>
      <c r="AO78" s="97"/>
      <c r="AP78" s="101"/>
      <c r="AQ78" s="82"/>
      <c r="AR78" s="82"/>
      <c r="AS78" s="83"/>
      <c r="AT78" s="19"/>
      <c r="AU78" s="25">
        <f t="shared" si="22"/>
        <v>0</v>
      </c>
      <c r="AV78" s="25">
        <f t="shared" si="23"/>
        <v>0</v>
      </c>
      <c r="AW78" s="19"/>
      <c r="AX78" s="10">
        <f t="shared" si="24"/>
        <v>0</v>
      </c>
      <c r="AY78" s="10">
        <f t="shared" si="25"/>
        <v>0</v>
      </c>
      <c r="AZ78" s="10">
        <f t="shared" si="26"/>
        <v>0</v>
      </c>
      <c r="BA78" s="10">
        <f t="shared" si="27"/>
        <v>0</v>
      </c>
      <c r="BB78" s="40">
        <f t="shared" si="32"/>
        <v>0</v>
      </c>
      <c r="BC78" s="11">
        <f t="shared" si="28"/>
        <v>0</v>
      </c>
      <c r="BD78" s="41"/>
      <c r="BE78" s="19"/>
      <c r="BF78" s="66"/>
      <c r="BG78" s="66"/>
      <c r="BH78" s="66"/>
      <c r="BI78" s="66"/>
      <c r="BJ78" s="26">
        <f t="shared" si="29"/>
        <v>0</v>
      </c>
      <c r="BK78" s="26">
        <f t="shared" si="30"/>
        <v>0</v>
      </c>
      <c r="BL78" s="19"/>
      <c r="BM78" s="42"/>
    </row>
    <row r="79" spans="1:65" s="3" customFormat="1">
      <c r="A79" s="49">
        <f t="shared" si="31"/>
        <v>72</v>
      </c>
      <c r="B79" s="39"/>
      <c r="C79" s="70"/>
      <c r="D79" s="68"/>
      <c r="E79" s="68"/>
      <c r="F79" s="67"/>
      <c r="G79" s="68"/>
      <c r="H79" s="68"/>
      <c r="I79" s="69"/>
      <c r="J79" s="69"/>
      <c r="K79" s="76"/>
      <c r="L79" s="76"/>
      <c r="M79" s="77"/>
      <c r="N79" s="71"/>
      <c r="O79" s="78"/>
      <c r="P79" s="78"/>
      <c r="Q79" s="78"/>
      <c r="R79" s="78"/>
      <c r="S79" s="77"/>
      <c r="T79" s="78"/>
      <c r="U79" s="77"/>
      <c r="V79" s="77"/>
      <c r="W79" s="78"/>
      <c r="X79" s="79"/>
      <c r="Y79" s="79"/>
      <c r="Z79" s="79"/>
      <c r="AA79" s="79"/>
      <c r="AB79" s="77"/>
      <c r="AC79" s="77"/>
      <c r="AD79" s="77"/>
      <c r="AE79" s="77"/>
      <c r="AF79" s="80"/>
      <c r="AG79" s="81"/>
      <c r="AH79" s="19"/>
      <c r="AI79" s="97"/>
      <c r="AJ79" s="98"/>
      <c r="AK79" s="99"/>
      <c r="AL79" s="100"/>
      <c r="AM79" s="98"/>
      <c r="AN79" s="98"/>
      <c r="AO79" s="97"/>
      <c r="AP79" s="101"/>
      <c r="AQ79" s="82"/>
      <c r="AR79" s="82"/>
      <c r="AS79" s="83"/>
      <c r="AT79" s="19"/>
      <c r="AU79" s="25">
        <f t="shared" si="22"/>
        <v>0</v>
      </c>
      <c r="AV79" s="25">
        <f t="shared" si="23"/>
        <v>0</v>
      </c>
      <c r="AW79" s="19"/>
      <c r="AX79" s="10">
        <f t="shared" si="24"/>
        <v>0</v>
      </c>
      <c r="AY79" s="10">
        <f t="shared" si="25"/>
        <v>0</v>
      </c>
      <c r="AZ79" s="10">
        <f t="shared" si="26"/>
        <v>0</v>
      </c>
      <c r="BA79" s="10">
        <f t="shared" si="27"/>
        <v>0</v>
      </c>
      <c r="BB79" s="40">
        <f t="shared" si="32"/>
        <v>0</v>
      </c>
      <c r="BC79" s="11">
        <f t="shared" si="28"/>
        <v>0</v>
      </c>
      <c r="BD79" s="41"/>
      <c r="BE79" s="19"/>
      <c r="BF79" s="66"/>
      <c r="BG79" s="66"/>
      <c r="BH79" s="66"/>
      <c r="BI79" s="66"/>
      <c r="BJ79" s="26">
        <f t="shared" si="29"/>
        <v>0</v>
      </c>
      <c r="BK79" s="26">
        <f t="shared" si="30"/>
        <v>0</v>
      </c>
      <c r="BL79" s="19"/>
      <c r="BM79" s="42"/>
    </row>
    <row r="80" spans="1:65" s="3" customFormat="1">
      <c r="A80" s="49">
        <f t="shared" si="31"/>
        <v>73</v>
      </c>
      <c r="B80" s="39"/>
      <c r="C80" s="70"/>
      <c r="D80" s="68"/>
      <c r="E80" s="68"/>
      <c r="F80" s="67"/>
      <c r="G80" s="68"/>
      <c r="H80" s="68"/>
      <c r="I80" s="69"/>
      <c r="J80" s="69"/>
      <c r="K80" s="76"/>
      <c r="L80" s="76"/>
      <c r="M80" s="77"/>
      <c r="N80" s="71"/>
      <c r="O80" s="78"/>
      <c r="P80" s="78"/>
      <c r="Q80" s="78"/>
      <c r="R80" s="78"/>
      <c r="S80" s="77"/>
      <c r="T80" s="78"/>
      <c r="U80" s="77"/>
      <c r="V80" s="77"/>
      <c r="W80" s="78"/>
      <c r="X80" s="79"/>
      <c r="Y80" s="79"/>
      <c r="Z80" s="79"/>
      <c r="AA80" s="79"/>
      <c r="AB80" s="77"/>
      <c r="AC80" s="77"/>
      <c r="AD80" s="77"/>
      <c r="AE80" s="77"/>
      <c r="AF80" s="80"/>
      <c r="AG80" s="81"/>
      <c r="AH80" s="19"/>
      <c r="AI80" s="97"/>
      <c r="AJ80" s="98"/>
      <c r="AK80" s="99"/>
      <c r="AL80" s="100"/>
      <c r="AM80" s="98"/>
      <c r="AN80" s="98"/>
      <c r="AO80" s="97"/>
      <c r="AP80" s="101"/>
      <c r="AQ80" s="82"/>
      <c r="AR80" s="82"/>
      <c r="AS80" s="83"/>
      <c r="AT80" s="19"/>
      <c r="AU80" s="25">
        <f t="shared" si="22"/>
        <v>0</v>
      </c>
      <c r="AV80" s="25">
        <f t="shared" si="23"/>
        <v>0</v>
      </c>
      <c r="AW80" s="19"/>
      <c r="AX80" s="10">
        <f t="shared" si="24"/>
        <v>0</v>
      </c>
      <c r="AY80" s="10">
        <f t="shared" si="25"/>
        <v>0</v>
      </c>
      <c r="AZ80" s="10">
        <f t="shared" si="26"/>
        <v>0</v>
      </c>
      <c r="BA80" s="10">
        <f t="shared" si="27"/>
        <v>0</v>
      </c>
      <c r="BB80" s="40">
        <f t="shared" si="32"/>
        <v>0</v>
      </c>
      <c r="BC80" s="11">
        <f t="shared" si="28"/>
        <v>0</v>
      </c>
      <c r="BD80" s="41"/>
      <c r="BE80" s="19"/>
      <c r="BF80" s="66"/>
      <c r="BG80" s="66"/>
      <c r="BH80" s="66"/>
      <c r="BI80" s="66"/>
      <c r="BJ80" s="26">
        <f t="shared" si="29"/>
        <v>0</v>
      </c>
      <c r="BK80" s="26">
        <f t="shared" si="30"/>
        <v>0</v>
      </c>
      <c r="BL80" s="19"/>
      <c r="BM80" s="42"/>
    </row>
    <row r="81" spans="1:65" s="3" customFormat="1">
      <c r="A81" s="49">
        <f t="shared" si="31"/>
        <v>74</v>
      </c>
      <c r="B81" s="39"/>
      <c r="C81" s="70"/>
      <c r="D81" s="68"/>
      <c r="E81" s="68"/>
      <c r="F81" s="67"/>
      <c r="G81" s="68"/>
      <c r="H81" s="68"/>
      <c r="I81" s="69"/>
      <c r="J81" s="69"/>
      <c r="K81" s="76"/>
      <c r="L81" s="76"/>
      <c r="M81" s="77"/>
      <c r="N81" s="71"/>
      <c r="O81" s="78"/>
      <c r="P81" s="78"/>
      <c r="Q81" s="78"/>
      <c r="R81" s="78"/>
      <c r="S81" s="77"/>
      <c r="T81" s="78"/>
      <c r="U81" s="77"/>
      <c r="V81" s="77"/>
      <c r="W81" s="78"/>
      <c r="X81" s="79"/>
      <c r="Y81" s="79"/>
      <c r="Z81" s="79"/>
      <c r="AA81" s="79"/>
      <c r="AB81" s="77"/>
      <c r="AC81" s="77"/>
      <c r="AD81" s="77"/>
      <c r="AE81" s="77"/>
      <c r="AF81" s="80"/>
      <c r="AG81" s="81"/>
      <c r="AH81" s="19"/>
      <c r="AI81" s="97"/>
      <c r="AJ81" s="98"/>
      <c r="AK81" s="99"/>
      <c r="AL81" s="100"/>
      <c r="AM81" s="98"/>
      <c r="AN81" s="98"/>
      <c r="AO81" s="97"/>
      <c r="AP81" s="101"/>
      <c r="AQ81" s="82"/>
      <c r="AR81" s="82"/>
      <c r="AS81" s="83"/>
      <c r="AT81" s="19"/>
      <c r="AU81" s="25">
        <f t="shared" si="22"/>
        <v>0</v>
      </c>
      <c r="AV81" s="25">
        <f t="shared" si="23"/>
        <v>0</v>
      </c>
      <c r="AW81" s="19"/>
      <c r="AX81" s="10">
        <f t="shared" si="24"/>
        <v>0</v>
      </c>
      <c r="AY81" s="10">
        <f t="shared" si="25"/>
        <v>0</v>
      </c>
      <c r="AZ81" s="10">
        <f t="shared" si="26"/>
        <v>0</v>
      </c>
      <c r="BA81" s="10">
        <f t="shared" si="27"/>
        <v>0</v>
      </c>
      <c r="BB81" s="40">
        <f t="shared" si="32"/>
        <v>0</v>
      </c>
      <c r="BC81" s="11">
        <f t="shared" si="28"/>
        <v>0</v>
      </c>
      <c r="BD81" s="41"/>
      <c r="BE81" s="19"/>
      <c r="BF81" s="66"/>
      <c r="BG81" s="66"/>
      <c r="BH81" s="66"/>
      <c r="BI81" s="66"/>
      <c r="BJ81" s="26">
        <f t="shared" si="29"/>
        <v>0</v>
      </c>
      <c r="BK81" s="26">
        <f t="shared" si="30"/>
        <v>0</v>
      </c>
      <c r="BL81" s="19"/>
      <c r="BM81" s="42"/>
    </row>
    <row r="82" spans="1:65" s="3" customFormat="1">
      <c r="A82" s="49">
        <f t="shared" si="31"/>
        <v>75</v>
      </c>
      <c r="B82" s="39"/>
      <c r="C82" s="70"/>
      <c r="D82" s="68"/>
      <c r="E82" s="68"/>
      <c r="F82" s="67"/>
      <c r="G82" s="68"/>
      <c r="H82" s="68"/>
      <c r="I82" s="69"/>
      <c r="J82" s="69"/>
      <c r="K82" s="76"/>
      <c r="L82" s="76"/>
      <c r="M82" s="77"/>
      <c r="N82" s="71"/>
      <c r="O82" s="78"/>
      <c r="P82" s="78"/>
      <c r="Q82" s="78"/>
      <c r="R82" s="78"/>
      <c r="S82" s="77"/>
      <c r="T82" s="78"/>
      <c r="U82" s="77"/>
      <c r="V82" s="77"/>
      <c r="W82" s="78"/>
      <c r="X82" s="79"/>
      <c r="Y82" s="79"/>
      <c r="Z82" s="79"/>
      <c r="AA82" s="79"/>
      <c r="AB82" s="77"/>
      <c r="AC82" s="77"/>
      <c r="AD82" s="77"/>
      <c r="AE82" s="77"/>
      <c r="AF82" s="80"/>
      <c r="AG82" s="81"/>
      <c r="AH82" s="19"/>
      <c r="AI82" s="97"/>
      <c r="AJ82" s="98"/>
      <c r="AK82" s="99"/>
      <c r="AL82" s="100"/>
      <c r="AM82" s="98"/>
      <c r="AN82" s="98"/>
      <c r="AO82" s="97"/>
      <c r="AP82" s="101"/>
      <c r="AQ82" s="82"/>
      <c r="AR82" s="82"/>
      <c r="AS82" s="83"/>
      <c r="AT82" s="19"/>
      <c r="AU82" s="25">
        <f t="shared" si="22"/>
        <v>0</v>
      </c>
      <c r="AV82" s="25">
        <f t="shared" si="23"/>
        <v>0</v>
      </c>
      <c r="AW82" s="19"/>
      <c r="AX82" s="10">
        <f t="shared" si="24"/>
        <v>0</v>
      </c>
      <c r="AY82" s="10">
        <f t="shared" si="25"/>
        <v>0</v>
      </c>
      <c r="AZ82" s="10">
        <f t="shared" si="26"/>
        <v>0</v>
      </c>
      <c r="BA82" s="10">
        <f t="shared" si="27"/>
        <v>0</v>
      </c>
      <c r="BB82" s="40">
        <f t="shared" si="32"/>
        <v>0</v>
      </c>
      <c r="BC82" s="11">
        <f t="shared" si="28"/>
        <v>0</v>
      </c>
      <c r="BD82" s="41"/>
      <c r="BE82" s="19"/>
      <c r="BF82" s="66"/>
      <c r="BG82" s="66"/>
      <c r="BH82" s="66"/>
      <c r="BI82" s="66"/>
      <c r="BJ82" s="26">
        <f t="shared" si="29"/>
        <v>0</v>
      </c>
      <c r="BK82" s="26">
        <f t="shared" si="30"/>
        <v>0</v>
      </c>
      <c r="BL82" s="19"/>
      <c r="BM82" s="42"/>
    </row>
    <row r="83" spans="1:65" s="3" customFormat="1">
      <c r="A83" s="49">
        <f t="shared" si="31"/>
        <v>76</v>
      </c>
      <c r="B83" s="39"/>
      <c r="C83" s="70"/>
      <c r="D83" s="68"/>
      <c r="E83" s="68"/>
      <c r="F83" s="67"/>
      <c r="G83" s="68"/>
      <c r="H83" s="68"/>
      <c r="I83" s="69"/>
      <c r="J83" s="69"/>
      <c r="K83" s="76"/>
      <c r="L83" s="76"/>
      <c r="M83" s="77"/>
      <c r="N83" s="71"/>
      <c r="O83" s="78"/>
      <c r="P83" s="78"/>
      <c r="Q83" s="78"/>
      <c r="R83" s="78"/>
      <c r="S83" s="77"/>
      <c r="T83" s="78"/>
      <c r="U83" s="77"/>
      <c r="V83" s="77"/>
      <c r="W83" s="78"/>
      <c r="X83" s="79"/>
      <c r="Y83" s="79"/>
      <c r="Z83" s="79"/>
      <c r="AA83" s="79"/>
      <c r="AB83" s="77"/>
      <c r="AC83" s="77"/>
      <c r="AD83" s="77"/>
      <c r="AE83" s="77"/>
      <c r="AF83" s="80"/>
      <c r="AG83" s="81"/>
      <c r="AH83" s="19"/>
      <c r="AI83" s="97"/>
      <c r="AJ83" s="98"/>
      <c r="AK83" s="99"/>
      <c r="AL83" s="100"/>
      <c r="AM83" s="98"/>
      <c r="AN83" s="98"/>
      <c r="AO83" s="97"/>
      <c r="AP83" s="101"/>
      <c r="AQ83" s="82"/>
      <c r="AR83" s="82"/>
      <c r="AS83" s="83"/>
      <c r="AT83" s="19"/>
      <c r="AU83" s="25">
        <f t="shared" si="22"/>
        <v>0</v>
      </c>
      <c r="AV83" s="25">
        <f t="shared" si="23"/>
        <v>0</v>
      </c>
      <c r="AW83" s="19"/>
      <c r="AX83" s="10">
        <f t="shared" si="24"/>
        <v>0</v>
      </c>
      <c r="AY83" s="10">
        <f t="shared" si="25"/>
        <v>0</v>
      </c>
      <c r="AZ83" s="10">
        <f t="shared" si="26"/>
        <v>0</v>
      </c>
      <c r="BA83" s="10">
        <f t="shared" si="27"/>
        <v>0</v>
      </c>
      <c r="BB83" s="40">
        <f t="shared" si="32"/>
        <v>0</v>
      </c>
      <c r="BC83" s="11">
        <f t="shared" si="28"/>
        <v>0</v>
      </c>
      <c r="BD83" s="41"/>
      <c r="BE83" s="19"/>
      <c r="BF83" s="66"/>
      <c r="BG83" s="66"/>
      <c r="BH83" s="66"/>
      <c r="BI83" s="66"/>
      <c r="BJ83" s="26">
        <f t="shared" si="29"/>
        <v>0</v>
      </c>
      <c r="BK83" s="26">
        <f t="shared" si="30"/>
        <v>0</v>
      </c>
      <c r="BL83" s="19"/>
      <c r="BM83" s="42"/>
    </row>
    <row r="84" spans="1:65" s="3" customFormat="1">
      <c r="A84" s="49">
        <f t="shared" si="31"/>
        <v>77</v>
      </c>
      <c r="B84" s="39"/>
      <c r="C84" s="70"/>
      <c r="D84" s="68"/>
      <c r="E84" s="68"/>
      <c r="F84" s="67"/>
      <c r="G84" s="68"/>
      <c r="H84" s="68"/>
      <c r="I84" s="69"/>
      <c r="J84" s="69"/>
      <c r="K84" s="76"/>
      <c r="L84" s="76"/>
      <c r="M84" s="77"/>
      <c r="N84" s="71"/>
      <c r="O84" s="78"/>
      <c r="P84" s="78"/>
      <c r="Q84" s="78"/>
      <c r="R84" s="78"/>
      <c r="S84" s="77"/>
      <c r="T84" s="78"/>
      <c r="U84" s="77"/>
      <c r="V84" s="77"/>
      <c r="W84" s="78"/>
      <c r="X84" s="79"/>
      <c r="Y84" s="79"/>
      <c r="Z84" s="79"/>
      <c r="AA84" s="79"/>
      <c r="AB84" s="77"/>
      <c r="AC84" s="77"/>
      <c r="AD84" s="77"/>
      <c r="AE84" s="77"/>
      <c r="AF84" s="80"/>
      <c r="AG84" s="81"/>
      <c r="AH84" s="19"/>
      <c r="AI84" s="97"/>
      <c r="AJ84" s="98"/>
      <c r="AK84" s="99"/>
      <c r="AL84" s="100"/>
      <c r="AM84" s="98"/>
      <c r="AN84" s="98"/>
      <c r="AO84" s="97"/>
      <c r="AP84" s="101"/>
      <c r="AQ84" s="82"/>
      <c r="AR84" s="82"/>
      <c r="AS84" s="83"/>
      <c r="AT84" s="19"/>
      <c r="AU84" s="25">
        <f t="shared" si="22"/>
        <v>0</v>
      </c>
      <c r="AV84" s="25">
        <f t="shared" si="23"/>
        <v>0</v>
      </c>
      <c r="AW84" s="19"/>
      <c r="AX84" s="10">
        <f t="shared" si="24"/>
        <v>0</v>
      </c>
      <c r="AY84" s="10">
        <f t="shared" si="25"/>
        <v>0</v>
      </c>
      <c r="AZ84" s="10">
        <f t="shared" si="26"/>
        <v>0</v>
      </c>
      <c r="BA84" s="10">
        <f t="shared" si="27"/>
        <v>0</v>
      </c>
      <c r="BB84" s="40">
        <f t="shared" si="32"/>
        <v>0</v>
      </c>
      <c r="BC84" s="11">
        <f t="shared" si="28"/>
        <v>0</v>
      </c>
      <c r="BD84" s="41"/>
      <c r="BE84" s="19"/>
      <c r="BF84" s="66"/>
      <c r="BG84" s="66"/>
      <c r="BH84" s="66"/>
      <c r="BI84" s="66"/>
      <c r="BJ84" s="26">
        <f t="shared" si="29"/>
        <v>0</v>
      </c>
      <c r="BK84" s="26">
        <f t="shared" si="30"/>
        <v>0</v>
      </c>
      <c r="BL84" s="19"/>
      <c r="BM84" s="42"/>
    </row>
    <row r="85" spans="1:65" s="3" customFormat="1">
      <c r="A85" s="49">
        <f t="shared" si="31"/>
        <v>78</v>
      </c>
      <c r="B85" s="39"/>
      <c r="C85" s="70"/>
      <c r="D85" s="68"/>
      <c r="E85" s="68"/>
      <c r="F85" s="67"/>
      <c r="G85" s="68"/>
      <c r="H85" s="68"/>
      <c r="I85" s="69"/>
      <c r="J85" s="69"/>
      <c r="K85" s="76"/>
      <c r="L85" s="76"/>
      <c r="M85" s="77"/>
      <c r="N85" s="71"/>
      <c r="O85" s="78"/>
      <c r="P85" s="78"/>
      <c r="Q85" s="78"/>
      <c r="R85" s="78"/>
      <c r="S85" s="77"/>
      <c r="T85" s="78"/>
      <c r="U85" s="77"/>
      <c r="V85" s="77"/>
      <c r="W85" s="78"/>
      <c r="X85" s="79"/>
      <c r="Y85" s="79"/>
      <c r="Z85" s="79"/>
      <c r="AA85" s="79"/>
      <c r="AB85" s="77"/>
      <c r="AC85" s="77"/>
      <c r="AD85" s="77"/>
      <c r="AE85" s="77"/>
      <c r="AF85" s="80"/>
      <c r="AG85" s="81"/>
      <c r="AH85" s="19"/>
      <c r="AI85" s="97"/>
      <c r="AJ85" s="98"/>
      <c r="AK85" s="99"/>
      <c r="AL85" s="100"/>
      <c r="AM85" s="98"/>
      <c r="AN85" s="98"/>
      <c r="AO85" s="97"/>
      <c r="AP85" s="101"/>
      <c r="AQ85" s="82"/>
      <c r="AR85" s="82"/>
      <c r="AS85" s="83"/>
      <c r="AT85" s="19"/>
      <c r="AU85" s="25">
        <f t="shared" si="22"/>
        <v>0</v>
      </c>
      <c r="AV85" s="25">
        <f t="shared" si="23"/>
        <v>0</v>
      </c>
      <c r="AW85" s="19"/>
      <c r="AX85" s="10">
        <f t="shared" si="24"/>
        <v>0</v>
      </c>
      <c r="AY85" s="10">
        <f t="shared" si="25"/>
        <v>0</v>
      </c>
      <c r="AZ85" s="10">
        <f t="shared" si="26"/>
        <v>0</v>
      </c>
      <c r="BA85" s="10">
        <f t="shared" si="27"/>
        <v>0</v>
      </c>
      <c r="BB85" s="40">
        <f t="shared" si="32"/>
        <v>0</v>
      </c>
      <c r="BC85" s="11">
        <f t="shared" si="28"/>
        <v>0</v>
      </c>
      <c r="BD85" s="41"/>
      <c r="BE85" s="19"/>
      <c r="BF85" s="66"/>
      <c r="BG85" s="66"/>
      <c r="BH85" s="66"/>
      <c r="BI85" s="66"/>
      <c r="BJ85" s="26">
        <f t="shared" si="29"/>
        <v>0</v>
      </c>
      <c r="BK85" s="26">
        <f t="shared" si="30"/>
        <v>0</v>
      </c>
      <c r="BL85" s="19"/>
      <c r="BM85" s="42"/>
    </row>
    <row r="86" spans="1:65" s="3" customFormat="1">
      <c r="A86" s="49">
        <f t="shared" si="31"/>
        <v>79</v>
      </c>
      <c r="B86" s="39"/>
      <c r="C86" s="70"/>
      <c r="D86" s="68"/>
      <c r="E86" s="68"/>
      <c r="F86" s="67"/>
      <c r="G86" s="68"/>
      <c r="H86" s="68"/>
      <c r="I86" s="69"/>
      <c r="J86" s="69"/>
      <c r="K86" s="76"/>
      <c r="L86" s="76"/>
      <c r="M86" s="77"/>
      <c r="N86" s="71"/>
      <c r="O86" s="78"/>
      <c r="P86" s="78"/>
      <c r="Q86" s="78"/>
      <c r="R86" s="78"/>
      <c r="S86" s="77"/>
      <c r="T86" s="78"/>
      <c r="U86" s="77"/>
      <c r="V86" s="77"/>
      <c r="W86" s="78"/>
      <c r="X86" s="79"/>
      <c r="Y86" s="79"/>
      <c r="Z86" s="79"/>
      <c r="AA86" s="79"/>
      <c r="AB86" s="77"/>
      <c r="AC86" s="77"/>
      <c r="AD86" s="77"/>
      <c r="AE86" s="77"/>
      <c r="AF86" s="80"/>
      <c r="AG86" s="81"/>
      <c r="AH86" s="19"/>
      <c r="AI86" s="97"/>
      <c r="AJ86" s="98"/>
      <c r="AK86" s="99"/>
      <c r="AL86" s="100"/>
      <c r="AM86" s="98"/>
      <c r="AN86" s="98"/>
      <c r="AO86" s="97"/>
      <c r="AP86" s="101"/>
      <c r="AQ86" s="82"/>
      <c r="AR86" s="82"/>
      <c r="AS86" s="83"/>
      <c r="AT86" s="19"/>
      <c r="AU86" s="25">
        <f t="shared" si="22"/>
        <v>0</v>
      </c>
      <c r="AV86" s="25">
        <f t="shared" si="23"/>
        <v>0</v>
      </c>
      <c r="AW86" s="19"/>
      <c r="AX86" s="10">
        <f t="shared" si="24"/>
        <v>0</v>
      </c>
      <c r="AY86" s="10">
        <f t="shared" si="25"/>
        <v>0</v>
      </c>
      <c r="AZ86" s="10">
        <f t="shared" si="26"/>
        <v>0</v>
      </c>
      <c r="BA86" s="10">
        <f t="shared" si="27"/>
        <v>0</v>
      </c>
      <c r="BB86" s="40">
        <f t="shared" si="32"/>
        <v>0</v>
      </c>
      <c r="BC86" s="11">
        <f t="shared" si="28"/>
        <v>0</v>
      </c>
      <c r="BD86" s="41"/>
      <c r="BE86" s="19"/>
      <c r="BF86" s="66"/>
      <c r="BG86" s="66"/>
      <c r="BH86" s="66"/>
      <c r="BI86" s="66"/>
      <c r="BJ86" s="26">
        <f t="shared" si="29"/>
        <v>0</v>
      </c>
      <c r="BK86" s="26">
        <f t="shared" si="30"/>
        <v>0</v>
      </c>
      <c r="BL86" s="19"/>
      <c r="BM86" s="42"/>
    </row>
    <row r="87" spans="1:65" s="3" customFormat="1">
      <c r="A87" s="49">
        <f t="shared" si="31"/>
        <v>80</v>
      </c>
      <c r="B87" s="39"/>
      <c r="C87" s="70"/>
      <c r="D87" s="68"/>
      <c r="E87" s="68"/>
      <c r="F87" s="67"/>
      <c r="G87" s="68"/>
      <c r="H87" s="68"/>
      <c r="I87" s="69"/>
      <c r="J87" s="69"/>
      <c r="K87" s="76"/>
      <c r="L87" s="76"/>
      <c r="M87" s="77"/>
      <c r="N87" s="71"/>
      <c r="O87" s="78"/>
      <c r="P87" s="78"/>
      <c r="Q87" s="78"/>
      <c r="R87" s="78"/>
      <c r="S87" s="77"/>
      <c r="T87" s="78"/>
      <c r="U87" s="77"/>
      <c r="V87" s="77"/>
      <c r="W87" s="78"/>
      <c r="X87" s="79"/>
      <c r="Y87" s="79"/>
      <c r="Z87" s="79"/>
      <c r="AA87" s="79"/>
      <c r="AB87" s="77"/>
      <c r="AC87" s="77"/>
      <c r="AD87" s="77"/>
      <c r="AE87" s="77"/>
      <c r="AF87" s="80"/>
      <c r="AG87" s="81"/>
      <c r="AH87" s="19"/>
      <c r="AI87" s="97"/>
      <c r="AJ87" s="98"/>
      <c r="AK87" s="99"/>
      <c r="AL87" s="100"/>
      <c r="AM87" s="98"/>
      <c r="AN87" s="98"/>
      <c r="AO87" s="97"/>
      <c r="AP87" s="101"/>
      <c r="AQ87" s="82"/>
      <c r="AR87" s="82"/>
      <c r="AS87" s="83"/>
      <c r="AT87" s="19"/>
      <c r="AU87" s="25">
        <f t="shared" si="22"/>
        <v>0</v>
      </c>
      <c r="AV87" s="25">
        <f t="shared" si="23"/>
        <v>0</v>
      </c>
      <c r="AW87" s="19"/>
      <c r="AX87" s="10">
        <f t="shared" si="24"/>
        <v>0</v>
      </c>
      <c r="AY87" s="10">
        <f t="shared" si="25"/>
        <v>0</v>
      </c>
      <c r="AZ87" s="10">
        <f t="shared" si="26"/>
        <v>0</v>
      </c>
      <c r="BA87" s="10">
        <f t="shared" si="27"/>
        <v>0</v>
      </c>
      <c r="BB87" s="40">
        <f t="shared" si="32"/>
        <v>0</v>
      </c>
      <c r="BC87" s="11">
        <f t="shared" si="28"/>
        <v>0</v>
      </c>
      <c r="BD87" s="41"/>
      <c r="BE87" s="19"/>
      <c r="BF87" s="66"/>
      <c r="BG87" s="66"/>
      <c r="BH87" s="66"/>
      <c r="BI87" s="66"/>
      <c r="BJ87" s="26">
        <f t="shared" si="29"/>
        <v>0</v>
      </c>
      <c r="BK87" s="26">
        <f t="shared" si="30"/>
        <v>0</v>
      </c>
      <c r="BL87" s="19"/>
      <c r="BM87" s="42"/>
    </row>
    <row r="88" spans="1:65" s="3" customFormat="1">
      <c r="A88" s="49">
        <f t="shared" si="31"/>
        <v>81</v>
      </c>
      <c r="B88" s="39"/>
      <c r="C88" s="70"/>
      <c r="D88" s="68"/>
      <c r="E88" s="68"/>
      <c r="F88" s="67"/>
      <c r="G88" s="68"/>
      <c r="H88" s="68"/>
      <c r="I88" s="69"/>
      <c r="J88" s="69"/>
      <c r="K88" s="76"/>
      <c r="L88" s="76"/>
      <c r="M88" s="77"/>
      <c r="N88" s="71"/>
      <c r="O88" s="78"/>
      <c r="P88" s="78"/>
      <c r="Q88" s="78"/>
      <c r="R88" s="78"/>
      <c r="S88" s="77"/>
      <c r="T88" s="78"/>
      <c r="U88" s="77"/>
      <c r="V88" s="77"/>
      <c r="W88" s="78"/>
      <c r="X88" s="79"/>
      <c r="Y88" s="79"/>
      <c r="Z88" s="79"/>
      <c r="AA88" s="79"/>
      <c r="AB88" s="77"/>
      <c r="AC88" s="77"/>
      <c r="AD88" s="77"/>
      <c r="AE88" s="77"/>
      <c r="AF88" s="80"/>
      <c r="AG88" s="81"/>
      <c r="AH88" s="19"/>
      <c r="AI88" s="97"/>
      <c r="AJ88" s="98"/>
      <c r="AK88" s="99"/>
      <c r="AL88" s="100"/>
      <c r="AM88" s="98"/>
      <c r="AN88" s="98"/>
      <c r="AO88" s="97"/>
      <c r="AP88" s="101"/>
      <c r="AQ88" s="82"/>
      <c r="AR88" s="82"/>
      <c r="AS88" s="83"/>
      <c r="AT88" s="19"/>
      <c r="AU88" s="25">
        <f t="shared" si="22"/>
        <v>0</v>
      </c>
      <c r="AV88" s="25">
        <f t="shared" si="23"/>
        <v>0</v>
      </c>
      <c r="AW88" s="19"/>
      <c r="AX88" s="10">
        <f t="shared" si="24"/>
        <v>0</v>
      </c>
      <c r="AY88" s="10">
        <f t="shared" si="25"/>
        <v>0</v>
      </c>
      <c r="AZ88" s="10">
        <f t="shared" si="26"/>
        <v>0</v>
      </c>
      <c r="BA88" s="10">
        <f t="shared" si="27"/>
        <v>0</v>
      </c>
      <c r="BB88" s="40">
        <f t="shared" si="32"/>
        <v>0</v>
      </c>
      <c r="BC88" s="11">
        <f t="shared" si="28"/>
        <v>0</v>
      </c>
      <c r="BD88" s="41"/>
      <c r="BE88" s="19"/>
      <c r="BF88" s="66"/>
      <c r="BG88" s="66"/>
      <c r="BH88" s="66"/>
      <c r="BI88" s="66"/>
      <c r="BJ88" s="26">
        <f t="shared" si="29"/>
        <v>0</v>
      </c>
      <c r="BK88" s="26">
        <f t="shared" si="30"/>
        <v>0</v>
      </c>
      <c r="BL88" s="19"/>
      <c r="BM88" s="42"/>
    </row>
    <row r="89" spans="1:65" s="3" customFormat="1">
      <c r="A89" s="49">
        <f t="shared" si="31"/>
        <v>82</v>
      </c>
      <c r="B89" s="39"/>
      <c r="C89" s="70"/>
      <c r="D89" s="68"/>
      <c r="E89" s="68"/>
      <c r="F89" s="67"/>
      <c r="G89" s="68"/>
      <c r="H89" s="68"/>
      <c r="I89" s="69"/>
      <c r="J89" s="69"/>
      <c r="K89" s="76"/>
      <c r="L89" s="76"/>
      <c r="M89" s="77"/>
      <c r="N89" s="71"/>
      <c r="O89" s="78"/>
      <c r="P89" s="78"/>
      <c r="Q89" s="78"/>
      <c r="R89" s="78"/>
      <c r="S89" s="77"/>
      <c r="T89" s="78"/>
      <c r="U89" s="77"/>
      <c r="V89" s="77"/>
      <c r="W89" s="78"/>
      <c r="X89" s="79"/>
      <c r="Y89" s="79"/>
      <c r="Z89" s="79"/>
      <c r="AA89" s="79"/>
      <c r="AB89" s="77"/>
      <c r="AC89" s="77"/>
      <c r="AD89" s="77"/>
      <c r="AE89" s="77"/>
      <c r="AF89" s="80"/>
      <c r="AG89" s="81"/>
      <c r="AH89" s="19"/>
      <c r="AI89" s="97"/>
      <c r="AJ89" s="98"/>
      <c r="AK89" s="99"/>
      <c r="AL89" s="100"/>
      <c r="AM89" s="98"/>
      <c r="AN89" s="98"/>
      <c r="AO89" s="97"/>
      <c r="AP89" s="101"/>
      <c r="AQ89" s="82"/>
      <c r="AR89" s="82"/>
      <c r="AS89" s="83"/>
      <c r="AT89" s="19"/>
      <c r="AU89" s="25">
        <f t="shared" si="22"/>
        <v>0</v>
      </c>
      <c r="AV89" s="25">
        <f t="shared" si="23"/>
        <v>0</v>
      </c>
      <c r="AW89" s="19"/>
      <c r="AX89" s="10">
        <f t="shared" si="24"/>
        <v>0</v>
      </c>
      <c r="AY89" s="10">
        <f t="shared" si="25"/>
        <v>0</v>
      </c>
      <c r="AZ89" s="10">
        <f t="shared" si="26"/>
        <v>0</v>
      </c>
      <c r="BA89" s="10">
        <f t="shared" si="27"/>
        <v>0</v>
      </c>
      <c r="BB89" s="40">
        <f t="shared" si="32"/>
        <v>0</v>
      </c>
      <c r="BC89" s="11">
        <f t="shared" si="28"/>
        <v>0</v>
      </c>
      <c r="BD89" s="41"/>
      <c r="BE89" s="19"/>
      <c r="BF89" s="66"/>
      <c r="BG89" s="66"/>
      <c r="BH89" s="66"/>
      <c r="BI89" s="66"/>
      <c r="BJ89" s="26">
        <f t="shared" si="29"/>
        <v>0</v>
      </c>
      <c r="BK89" s="26">
        <f t="shared" si="30"/>
        <v>0</v>
      </c>
      <c r="BL89" s="19"/>
      <c r="BM89" s="42"/>
    </row>
    <row r="90" spans="1:65" s="3" customFormat="1">
      <c r="A90" s="49">
        <f t="shared" si="31"/>
        <v>83</v>
      </c>
      <c r="B90" s="39"/>
      <c r="C90" s="70"/>
      <c r="D90" s="68"/>
      <c r="E90" s="68"/>
      <c r="F90" s="67"/>
      <c r="G90" s="68"/>
      <c r="H90" s="68"/>
      <c r="I90" s="69"/>
      <c r="J90" s="69"/>
      <c r="K90" s="76"/>
      <c r="L90" s="76"/>
      <c r="M90" s="77"/>
      <c r="N90" s="71"/>
      <c r="O90" s="78"/>
      <c r="P90" s="78"/>
      <c r="Q90" s="78"/>
      <c r="R90" s="78"/>
      <c r="S90" s="77"/>
      <c r="T90" s="78"/>
      <c r="U90" s="77"/>
      <c r="V90" s="77"/>
      <c r="W90" s="78"/>
      <c r="X90" s="79"/>
      <c r="Y90" s="79"/>
      <c r="Z90" s="79"/>
      <c r="AA90" s="79"/>
      <c r="AB90" s="77"/>
      <c r="AC90" s="77"/>
      <c r="AD90" s="77"/>
      <c r="AE90" s="77"/>
      <c r="AF90" s="80"/>
      <c r="AG90" s="81"/>
      <c r="AH90" s="19"/>
      <c r="AI90" s="97"/>
      <c r="AJ90" s="98"/>
      <c r="AK90" s="99"/>
      <c r="AL90" s="100"/>
      <c r="AM90" s="98"/>
      <c r="AN90" s="98"/>
      <c r="AO90" s="97"/>
      <c r="AP90" s="101"/>
      <c r="AQ90" s="82"/>
      <c r="AR90" s="82"/>
      <c r="AS90" s="83"/>
      <c r="AT90" s="19"/>
      <c r="AU90" s="25">
        <f t="shared" si="22"/>
        <v>0</v>
      </c>
      <c r="AV90" s="25">
        <f t="shared" si="23"/>
        <v>0</v>
      </c>
      <c r="AW90" s="19"/>
      <c r="AX90" s="10">
        <f t="shared" si="24"/>
        <v>0</v>
      </c>
      <c r="AY90" s="10">
        <f t="shared" si="25"/>
        <v>0</v>
      </c>
      <c r="AZ90" s="10">
        <f t="shared" si="26"/>
        <v>0</v>
      </c>
      <c r="BA90" s="10">
        <f t="shared" si="27"/>
        <v>0</v>
      </c>
      <c r="BB90" s="40">
        <f t="shared" si="32"/>
        <v>0</v>
      </c>
      <c r="BC90" s="11">
        <f t="shared" si="28"/>
        <v>0</v>
      </c>
      <c r="BD90" s="41"/>
      <c r="BE90" s="19"/>
      <c r="BF90" s="66"/>
      <c r="BG90" s="66"/>
      <c r="BH90" s="66"/>
      <c r="BI90" s="66"/>
      <c r="BJ90" s="26">
        <f t="shared" si="29"/>
        <v>0</v>
      </c>
      <c r="BK90" s="26">
        <f t="shared" si="30"/>
        <v>0</v>
      </c>
      <c r="BL90" s="19"/>
      <c r="BM90" s="42"/>
    </row>
    <row r="91" spans="1:65" s="3" customFormat="1">
      <c r="A91" s="49">
        <f t="shared" si="31"/>
        <v>84</v>
      </c>
      <c r="B91" s="39"/>
      <c r="C91" s="70"/>
      <c r="D91" s="68"/>
      <c r="E91" s="68"/>
      <c r="F91" s="67"/>
      <c r="G91" s="68"/>
      <c r="H91" s="68"/>
      <c r="I91" s="69"/>
      <c r="J91" s="69"/>
      <c r="K91" s="76"/>
      <c r="L91" s="76"/>
      <c r="M91" s="77"/>
      <c r="N91" s="71"/>
      <c r="O91" s="78"/>
      <c r="P91" s="78"/>
      <c r="Q91" s="78"/>
      <c r="R91" s="78"/>
      <c r="S91" s="77"/>
      <c r="T91" s="78"/>
      <c r="U91" s="77"/>
      <c r="V91" s="77"/>
      <c r="W91" s="78"/>
      <c r="X91" s="79"/>
      <c r="Y91" s="79"/>
      <c r="Z91" s="79"/>
      <c r="AA91" s="79"/>
      <c r="AB91" s="77"/>
      <c r="AC91" s="77"/>
      <c r="AD91" s="77"/>
      <c r="AE91" s="77"/>
      <c r="AF91" s="80"/>
      <c r="AG91" s="81"/>
      <c r="AH91" s="19"/>
      <c r="AI91" s="97"/>
      <c r="AJ91" s="98"/>
      <c r="AK91" s="99"/>
      <c r="AL91" s="100"/>
      <c r="AM91" s="98"/>
      <c r="AN91" s="98"/>
      <c r="AO91" s="97"/>
      <c r="AP91" s="101"/>
      <c r="AQ91" s="82"/>
      <c r="AR91" s="82"/>
      <c r="AS91" s="83"/>
      <c r="AT91" s="19"/>
      <c r="AU91" s="25">
        <f t="shared" si="22"/>
        <v>0</v>
      </c>
      <c r="AV91" s="25">
        <f t="shared" si="23"/>
        <v>0</v>
      </c>
      <c r="AW91" s="19"/>
      <c r="AX91" s="10">
        <f t="shared" si="24"/>
        <v>0</v>
      </c>
      <c r="AY91" s="10">
        <f t="shared" si="25"/>
        <v>0</v>
      </c>
      <c r="AZ91" s="10">
        <f t="shared" si="26"/>
        <v>0</v>
      </c>
      <c r="BA91" s="10">
        <f t="shared" si="27"/>
        <v>0</v>
      </c>
      <c r="BB91" s="40">
        <f t="shared" si="32"/>
        <v>0</v>
      </c>
      <c r="BC91" s="11">
        <f t="shared" si="28"/>
        <v>0</v>
      </c>
      <c r="BD91" s="41"/>
      <c r="BE91" s="19"/>
      <c r="BF91" s="66"/>
      <c r="BG91" s="66"/>
      <c r="BH91" s="66"/>
      <c r="BI91" s="66"/>
      <c r="BJ91" s="26">
        <f t="shared" si="29"/>
        <v>0</v>
      </c>
      <c r="BK91" s="26">
        <f t="shared" si="30"/>
        <v>0</v>
      </c>
      <c r="BL91" s="19"/>
      <c r="BM91" s="42"/>
    </row>
    <row r="92" spans="1:65" s="3" customFormat="1">
      <c r="A92" s="49">
        <f t="shared" si="31"/>
        <v>85</v>
      </c>
      <c r="B92" s="39"/>
      <c r="C92" s="70"/>
      <c r="D92" s="68"/>
      <c r="E92" s="68"/>
      <c r="F92" s="67"/>
      <c r="G92" s="68"/>
      <c r="H92" s="68"/>
      <c r="I92" s="69"/>
      <c r="J92" s="69"/>
      <c r="K92" s="76"/>
      <c r="L92" s="76"/>
      <c r="M92" s="77"/>
      <c r="N92" s="71"/>
      <c r="O92" s="78"/>
      <c r="P92" s="78"/>
      <c r="Q92" s="78"/>
      <c r="R92" s="78"/>
      <c r="S92" s="77"/>
      <c r="T92" s="78"/>
      <c r="U92" s="77"/>
      <c r="V92" s="77"/>
      <c r="W92" s="78"/>
      <c r="X92" s="79"/>
      <c r="Y92" s="79"/>
      <c r="Z92" s="79"/>
      <c r="AA92" s="79"/>
      <c r="AB92" s="77"/>
      <c r="AC92" s="77"/>
      <c r="AD92" s="77"/>
      <c r="AE92" s="77"/>
      <c r="AF92" s="80"/>
      <c r="AG92" s="81"/>
      <c r="AH92" s="19"/>
      <c r="AI92" s="97"/>
      <c r="AJ92" s="98"/>
      <c r="AK92" s="99"/>
      <c r="AL92" s="100"/>
      <c r="AM92" s="98"/>
      <c r="AN92" s="98"/>
      <c r="AO92" s="97"/>
      <c r="AP92" s="101"/>
      <c r="AQ92" s="82"/>
      <c r="AR92" s="82"/>
      <c r="AS92" s="83"/>
      <c r="AT92" s="19"/>
      <c r="AU92" s="25">
        <f t="shared" si="22"/>
        <v>0</v>
      </c>
      <c r="AV92" s="25">
        <f t="shared" si="23"/>
        <v>0</v>
      </c>
      <c r="AW92" s="19"/>
      <c r="AX92" s="10">
        <f t="shared" si="24"/>
        <v>0</v>
      </c>
      <c r="AY92" s="10">
        <f t="shared" si="25"/>
        <v>0</v>
      </c>
      <c r="AZ92" s="10">
        <f t="shared" si="26"/>
        <v>0</v>
      </c>
      <c r="BA92" s="10">
        <f t="shared" si="27"/>
        <v>0</v>
      </c>
      <c r="BB92" s="40">
        <f t="shared" ref="BB92" si="33">AX92+AY92+AZ92+BA92</f>
        <v>0</v>
      </c>
      <c r="BC92" s="11">
        <f t="shared" si="28"/>
        <v>0</v>
      </c>
      <c r="BD92" s="41"/>
      <c r="BE92" s="19"/>
      <c r="BF92" s="66"/>
      <c r="BG92" s="66"/>
      <c r="BH92" s="66"/>
      <c r="BI92" s="66"/>
      <c r="BJ92" s="26">
        <f t="shared" si="29"/>
        <v>0</v>
      </c>
      <c r="BK92" s="26">
        <f t="shared" si="30"/>
        <v>0</v>
      </c>
      <c r="BL92" s="19"/>
      <c r="BM92" s="42"/>
    </row>
    <row r="93" spans="1:65">
      <c r="AG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65">
      <c r="AG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65">
      <c r="AG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65">
      <c r="AG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33:45">
      <c r="AG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33:45">
      <c r="AG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33:45">
      <c r="AG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33:45">
      <c r="AG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</sheetData>
  <sheetProtection algorithmName="SHA-512" hashValue="QS6tWkYaIvYpH2P3Esk5Rt1eVsUrOQiitp5h42FWeDDE61wmKg6GeilkaFH3BA4wR75gxS7IpMyvJU6NXIWXvg==" saltValue="X0Mn0a9xwrsNuOEqw+l6NQ==" spinCount="100000" sheet="1" objects="1" scenarios="1" selectLockedCells="1"/>
  <mergeCells count="31">
    <mergeCell ref="BM4:BM6"/>
    <mergeCell ref="A5:A6"/>
    <mergeCell ref="B5:B6"/>
    <mergeCell ref="D5:D6"/>
    <mergeCell ref="E5:E6"/>
    <mergeCell ref="C5:C6"/>
    <mergeCell ref="F5:F6"/>
    <mergeCell ref="G5:G6"/>
    <mergeCell ref="H5:H6"/>
    <mergeCell ref="J5:J6"/>
    <mergeCell ref="I5:I6"/>
    <mergeCell ref="BK5:BK6"/>
    <mergeCell ref="BJ5:BJ6"/>
    <mergeCell ref="BD5:BD6"/>
    <mergeCell ref="AQ5:AS5"/>
    <mergeCell ref="BF5:BF6"/>
    <mergeCell ref="BG5:BG6"/>
    <mergeCell ref="M5:M6"/>
    <mergeCell ref="K5:L5"/>
    <mergeCell ref="O5:U5"/>
    <mergeCell ref="V5:AF5"/>
    <mergeCell ref="AG5:AG6"/>
    <mergeCell ref="N5:N6"/>
    <mergeCell ref="AI5:AI6"/>
    <mergeCell ref="AJ5:AJ6"/>
    <mergeCell ref="AK5:AK6"/>
    <mergeCell ref="AL5:AL6"/>
    <mergeCell ref="AM5:AM6"/>
    <mergeCell ref="AN5:AN6"/>
    <mergeCell ref="AO5:AO6"/>
    <mergeCell ref="AP5:AP6"/>
  </mergeCells>
  <phoneticPr fontId="9"/>
  <conditionalFormatting sqref="BM12">
    <cfRule type="expression" dxfId="41" priority="403">
      <formula>#REF!="精算済"</formula>
    </cfRule>
  </conditionalFormatting>
  <conditionalFormatting sqref="BM12 AU3:AV3 AX3:BD3 BJ3:BK3 BM7:BO7 B12:J12 BF12:BI12 O4:AG4 AQ4:AS4">
    <cfRule type="expression" dxfId="40" priority="404">
      <formula>#REF!="精算済"</formula>
    </cfRule>
  </conditionalFormatting>
  <conditionalFormatting sqref="BM12 I12">
    <cfRule type="expression" dxfId="39" priority="405">
      <formula>#REF!="精算済"</formula>
    </cfRule>
  </conditionalFormatting>
  <conditionalFormatting sqref="A12 AS12 O12:AG12 AU12:AV12 AX12:BD12 BJ12">
    <cfRule type="expression" dxfId="38" priority="406">
      <formula>#REF!="精算済"</formula>
    </cfRule>
  </conditionalFormatting>
  <conditionalFormatting sqref="C12">
    <cfRule type="expression" dxfId="37" priority="271">
      <formula>#REF!="精算済"</formula>
    </cfRule>
  </conditionalFormatting>
  <conditionalFormatting sqref="C12">
    <cfRule type="expression" dxfId="36" priority="272">
      <formula>#REF!="精算済"</formula>
    </cfRule>
  </conditionalFormatting>
  <conditionalFormatting sqref="AQ12:AR12">
    <cfRule type="expression" dxfId="35" priority="270">
      <formula>#REF!="精算済"</formula>
    </cfRule>
  </conditionalFormatting>
  <conditionalFormatting sqref="U6:AA6">
    <cfRule type="expression" dxfId="34" priority="267">
      <formula>#REF!="精算済"</formula>
    </cfRule>
  </conditionalFormatting>
  <conditionalFormatting sqref="AB6:AF6">
    <cfRule type="expression" dxfId="33" priority="201">
      <formula>#REF!="精算済"</formula>
    </cfRule>
  </conditionalFormatting>
  <conditionalFormatting sqref="K12:N12">
    <cfRule type="expression" dxfId="32" priority="183">
      <formula>#REF!="精算済"</formula>
    </cfRule>
  </conditionalFormatting>
  <conditionalFormatting sqref="BB6:BC6">
    <cfRule type="expression" dxfId="31" priority="182">
      <formula>#REF!="精算済"</formula>
    </cfRule>
  </conditionalFormatting>
  <conditionalFormatting sqref="AZ6">
    <cfRule type="expression" dxfId="30" priority="141">
      <formula>#REF!="精算済"</formula>
    </cfRule>
  </conditionalFormatting>
  <conditionalFormatting sqref="AX6">
    <cfRule type="expression" dxfId="29" priority="143">
      <formula>#REF!="精算済"</formula>
    </cfRule>
  </conditionalFormatting>
  <conditionalFormatting sqref="AY6">
    <cfRule type="expression" dxfId="28" priority="142">
      <formula>#REF!="精算済"</formula>
    </cfRule>
  </conditionalFormatting>
  <conditionalFormatting sqref="BK12">
    <cfRule type="expression" dxfId="27" priority="186">
      <formula>#REF!="精算済"</formula>
    </cfRule>
  </conditionalFormatting>
  <conditionalFormatting sqref="R7:AG7 AQ7:AS7">
    <cfRule type="expression" dxfId="26" priority="32">
      <formula>#REF!="精算済"</formula>
    </cfRule>
  </conditionalFormatting>
  <conditionalFormatting sqref="AU7">
    <cfRule type="expression" dxfId="25" priority="30">
      <formula>#REF!="精算済"</formula>
    </cfRule>
  </conditionalFormatting>
  <conditionalFormatting sqref="AV7">
    <cfRule type="expression" dxfId="24" priority="29">
      <formula>#REF!="精算済"</formula>
    </cfRule>
  </conditionalFormatting>
  <conditionalFormatting sqref="AX7:BD7">
    <cfRule type="expression" dxfId="23" priority="28">
      <formula>#REF!="精算済"</formula>
    </cfRule>
  </conditionalFormatting>
  <conditionalFormatting sqref="BJ7:BK7">
    <cfRule type="expression" dxfId="22" priority="27">
      <formula>#REF!="精算済"</formula>
    </cfRule>
  </conditionalFormatting>
  <conditionalFormatting sqref="BM8:BM11">
    <cfRule type="expression" dxfId="21" priority="23">
      <formula>#REF!="精算済"</formula>
    </cfRule>
  </conditionalFormatting>
  <conditionalFormatting sqref="BM8:BM11 B8:J11 BF8:BI11">
    <cfRule type="expression" dxfId="20" priority="24">
      <formula>#REF!="精算済"</formula>
    </cfRule>
  </conditionalFormatting>
  <conditionalFormatting sqref="BM8:BM11 I8:I11">
    <cfRule type="expression" dxfId="19" priority="25">
      <formula>#REF!="精算済"</formula>
    </cfRule>
  </conditionalFormatting>
  <conditionalFormatting sqref="O8:AG11 A8:A11 AS8:AS11 AU8:AV11 AX8:BD11 BJ8:BJ11">
    <cfRule type="expression" dxfId="18" priority="26">
      <formula>#REF!="精算済"</formula>
    </cfRule>
  </conditionalFormatting>
  <conditionalFormatting sqref="C8:C11">
    <cfRule type="expression" dxfId="17" priority="21">
      <formula>#REF!="精算済"</formula>
    </cfRule>
  </conditionalFormatting>
  <conditionalFormatting sqref="C8:C11">
    <cfRule type="expression" dxfId="16" priority="22">
      <formula>#REF!="精算済"</formula>
    </cfRule>
  </conditionalFormatting>
  <conditionalFormatting sqref="AQ8:AR11">
    <cfRule type="expression" dxfId="15" priority="20">
      <formula>#REF!="精算済"</formula>
    </cfRule>
  </conditionalFormatting>
  <conditionalFormatting sqref="K8:N11">
    <cfRule type="expression" dxfId="14" priority="18">
      <formula>#REF!="精算済"</formula>
    </cfRule>
  </conditionalFormatting>
  <conditionalFormatting sqref="BK8:BK11">
    <cfRule type="expression" dxfId="13" priority="19">
      <formula>#REF!="精算済"</formula>
    </cfRule>
  </conditionalFormatting>
  <conditionalFormatting sqref="BM13:BM92">
    <cfRule type="expression" dxfId="12" priority="14">
      <formula>#REF!="精算済"</formula>
    </cfRule>
  </conditionalFormatting>
  <conditionalFormatting sqref="BM13:BM92 B13:J92 BF13:BI92">
    <cfRule type="expression" dxfId="11" priority="15">
      <formula>#REF!="精算済"</formula>
    </cfRule>
  </conditionalFormatting>
  <conditionalFormatting sqref="BM13:BM92 I13:I92">
    <cfRule type="expression" dxfId="10" priority="16">
      <formula>#REF!="精算済"</formula>
    </cfRule>
  </conditionalFormatting>
  <conditionalFormatting sqref="O13:AG92 A13:A92 AS13:AS92 AU13:AV92 AX13:BD92 BJ13:BJ92">
    <cfRule type="expression" dxfId="9" priority="17">
      <formula>#REF!="精算済"</formula>
    </cfRule>
  </conditionalFormatting>
  <conditionalFormatting sqref="C13:C92">
    <cfRule type="expression" dxfId="8" priority="12">
      <formula>#REF!="精算済"</formula>
    </cfRule>
  </conditionalFormatting>
  <conditionalFormatting sqref="C13:C92">
    <cfRule type="expression" dxfId="7" priority="13">
      <formula>#REF!="精算済"</formula>
    </cfRule>
  </conditionalFormatting>
  <conditionalFormatting sqref="AQ13:AR92">
    <cfRule type="expression" dxfId="6" priority="11">
      <formula>#REF!="精算済"</formula>
    </cfRule>
  </conditionalFormatting>
  <conditionalFormatting sqref="K13:N92">
    <cfRule type="expression" dxfId="5" priority="9">
      <formula>#REF!="精算済"</formula>
    </cfRule>
  </conditionalFormatting>
  <conditionalFormatting sqref="BK13:BK92">
    <cfRule type="expression" dxfId="4" priority="10">
      <formula>#REF!="精算済"</formula>
    </cfRule>
  </conditionalFormatting>
  <conditionalFormatting sqref="A7">
    <cfRule type="expression" dxfId="3" priority="8">
      <formula>#REF!="精算済"</formula>
    </cfRule>
  </conditionalFormatting>
  <conditionalFormatting sqref="AI8:AP71">
    <cfRule type="expression" dxfId="2" priority="7">
      <formula>#REF!="精算済"</formula>
    </cfRule>
  </conditionalFormatting>
  <conditionalFormatting sqref="AI72:AP82">
    <cfRule type="expression" dxfId="1" priority="5">
      <formula>#REF!="精算済"</formula>
    </cfRule>
  </conditionalFormatting>
  <conditionalFormatting sqref="AI83:AP92">
    <cfRule type="expression" dxfId="0" priority="4">
      <formula>#REF!="精算済"</formula>
    </cfRule>
  </conditionalFormatting>
  <pageMargins left="0.31496062992125984" right="0.31496062992125984" top="0.55118110236220474" bottom="0.55118110236220474" header="0.31496062992125984" footer="0.31496062992125984"/>
  <pageSetup paperSize="8" scale="70" orientation="landscape" horizontalDpi="300" verticalDpi="300" r:id="rId1"/>
  <headerFooter>
    <oddHeader>&amp;C&amp;"-,太字"&amp;16&amp;A収入明細&amp;R&amp;"-,太字"社外秘</oddHeader>
    <oddFooter>&amp;R&amp;Pページ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初期化ダイヤログ表示">
                <anchor moveWithCells="1" sizeWithCells="1">
                  <from>
                    <xdr:col>1</xdr:col>
                    <xdr:colOff>66675</xdr:colOff>
                    <xdr:row>0</xdr:row>
                    <xdr:rowOff>104775</xdr:rowOff>
                  </from>
                  <to>
                    <xdr:col>2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5" name="Button 11">
              <controlPr defaultSize="0" print="0" autoFill="0" autoPict="0" macro="[0]!SaveToCsv">
                <anchor moveWithCells="1" sizeWithCells="1">
                  <from>
                    <xdr:col>4</xdr:col>
                    <xdr:colOff>257175</xdr:colOff>
                    <xdr:row>2</xdr:row>
                    <xdr:rowOff>123825</xdr:rowOff>
                  </from>
                  <to>
                    <xdr:col>6</xdr:col>
                    <xdr:colOff>304800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6" name="Button 12">
              <controlPr defaultSize="0" autoFill="0" autoPict="0" macro="[0]!_xludf.Clear">
                <anchor moveWithCells="1" sizeWithCells="1">
                  <from>
                    <xdr:col>4</xdr:col>
                    <xdr:colOff>257175</xdr:colOff>
                    <xdr:row>0</xdr:row>
                    <xdr:rowOff>95250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7" name="Button 16">
              <controlPr defaultSize="0" print="0" autoFill="0" autoPict="0" macro="[0]!データ読み取り">
                <anchor moveWithCells="1" sizeWithCells="1">
                  <from>
                    <xdr:col>2</xdr:col>
                    <xdr:colOff>514350</xdr:colOff>
                    <xdr:row>0</xdr:row>
                    <xdr:rowOff>104775</xdr:rowOff>
                  </from>
                  <to>
                    <xdr:col>4</xdr:col>
                    <xdr:colOff>123825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5" r:id="rId8" name="Button 17">
              <controlPr defaultSize="0" print="0" autoFill="0" autoPict="0" macro="[0]!Export">
                <anchor moveWithCells="1" sizeWithCells="1">
                  <from>
                    <xdr:col>2</xdr:col>
                    <xdr:colOff>514350</xdr:colOff>
                    <xdr:row>2</xdr:row>
                    <xdr:rowOff>123825</xdr:rowOff>
                  </from>
                  <to>
                    <xdr:col>4</xdr:col>
                    <xdr:colOff>114300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</vt:i4>
      </vt:variant>
      <vt:variant>
        <vt:lpstr>ダイアログ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201907</vt:lpstr>
      <vt:lpstr>INIT</vt:lpstr>
      <vt:lpstr>'201907'!Print_Area</vt:lpstr>
      <vt:lpstr>'201907'!Print_Titles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chenqian</dc:creator>
  <cp:lastModifiedBy>sxrsing</cp:lastModifiedBy>
  <cp:lastPrinted>2020-07-28T12:18:27Z</cp:lastPrinted>
  <dcterms:created xsi:type="dcterms:W3CDTF">2006-09-13T11:12:02Z</dcterms:created>
  <dcterms:modified xsi:type="dcterms:W3CDTF">2020-08-26T10:14:54Z</dcterms:modified>
</cp:coreProperties>
</file>